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35820608-0EBE-4CFE-84EC-9DBF6E1B15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 for power query" sheetId="1" r:id="rId1"/>
    <sheet name="dataset" sheetId="2" r:id="rId2"/>
    <sheet name="Problem to solv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FWoosJzIMmdgQWZ+qRe7yx2+NIfYzQTlzIg1q6i0dY="/>
    </ext>
  </extLst>
</workbook>
</file>

<file path=xl/calcChain.xml><?xml version="1.0" encoding="utf-8"?>
<calcChain xmlns="http://schemas.openxmlformats.org/spreadsheetml/2006/main">
  <c r="I46" i="2" l="1"/>
  <c r="I44" i="2"/>
  <c r="I43" i="2"/>
  <c r="I40" i="2"/>
  <c r="I30" i="2"/>
  <c r="I24" i="2"/>
  <c r="I9" i="2"/>
  <c r="I3" i="2"/>
  <c r="I47" i="1"/>
  <c r="I45" i="1"/>
  <c r="I44" i="1"/>
  <c r="I41" i="1"/>
  <c r="I31" i="1"/>
  <c r="I25" i="1"/>
  <c r="I9" i="1"/>
  <c r="I3" i="1"/>
</calcChain>
</file>

<file path=xl/sharedStrings.xml><?xml version="1.0" encoding="utf-8"?>
<sst xmlns="http://schemas.openxmlformats.org/spreadsheetml/2006/main" count="647" uniqueCount="232">
  <si>
    <t>OrderID</t>
  </si>
  <si>
    <t>CustomerName</t>
  </si>
  <si>
    <t>Email</t>
  </si>
  <si>
    <t>OrderDate</t>
  </si>
  <si>
    <t>ShippingAddress</t>
  </si>
  <si>
    <t>Quantity</t>
  </si>
  <si>
    <t>UnitPrice</t>
  </si>
  <si>
    <t>Country</t>
  </si>
  <si>
    <t>Phone</t>
  </si>
  <si>
    <t>PaymentStatus</t>
  </si>
  <si>
    <t>ORD01126</t>
  </si>
  <si>
    <t>Sophia Lee</t>
  </si>
  <si>
    <t>sophia.lee39@example.com</t>
  </si>
  <si>
    <t>321 Maple St, Kolkata, WB 700001</t>
  </si>
  <si>
    <t>india</t>
  </si>
  <si>
    <t>(780) 954-7375</t>
  </si>
  <si>
    <t>Refunded</t>
  </si>
  <si>
    <t>ORD01109</t>
  </si>
  <si>
    <t>Liam Wilson +1-854-5833</t>
  </si>
  <si>
    <t>liam.wilson91@example.com</t>
  </si>
  <si>
    <t>123 Elm St | New York - 10001</t>
  </si>
  <si>
    <t>US</t>
  </si>
  <si>
    <t>ORD01122</t>
  </si>
  <si>
    <t>ALICE Johnson</t>
  </si>
  <si>
    <t>321 Maple St, New York, 10001</t>
  </si>
  <si>
    <t>USA</t>
  </si>
  <si>
    <t>+91 90990 90980</t>
  </si>
  <si>
    <t xml:space="preserve">Paid </t>
  </si>
  <si>
    <t>ORD01052</t>
  </si>
  <si>
    <t>Ethan Walker</t>
  </si>
  <si>
    <t>ethan.walker74@example.com</t>
  </si>
  <si>
    <t>321 Maple St | Hyderabad - 500001</t>
  </si>
  <si>
    <t>India</t>
  </si>
  <si>
    <t>+91 90359 96275</t>
  </si>
  <si>
    <t>ORD01089</t>
  </si>
  <si>
    <t>isabella taylor</t>
  </si>
  <si>
    <t>isabella.taylor10@example.com</t>
  </si>
  <si>
    <t>9 Sycamore Pl, Bengaluru, 560001</t>
  </si>
  <si>
    <t>IN</t>
  </si>
  <si>
    <t>ORD01028</t>
  </si>
  <si>
    <t>olivia MARTIN</t>
  </si>
  <si>
    <t>olivia.martin4@example.com</t>
  </si>
  <si>
    <t>88 Spruce Dr, Kolkata, WB 700001</t>
  </si>
  <si>
    <t>PENDING</t>
  </si>
  <si>
    <t>ORD01148</t>
  </si>
  <si>
    <t>Noah Anderson</t>
  </si>
  <si>
    <t>noah.anderson at example.com</t>
  </si>
  <si>
    <t>321 Maple St, Hyderabad, 500001</t>
  </si>
  <si>
    <t>(807) 331-9510</t>
  </si>
  <si>
    <t>ORD01049</t>
  </si>
  <si>
    <t>PRIYA PATEL</t>
  </si>
  <si>
    <t>priya.patel98@example.com</t>
  </si>
  <si>
    <t>202 Willow Way | New York - 10001</t>
  </si>
  <si>
    <t>U.S.A.</t>
  </si>
  <si>
    <t>Pending</t>
  </si>
  <si>
    <t>ORD01095</t>
  </si>
  <si>
    <t>noah anderson</t>
  </si>
  <si>
    <t>noah.anderson38@example.com</t>
  </si>
  <si>
    <t>77 Aspen Ct | New York - 10001</t>
  </si>
  <si>
    <t>ORD01136</t>
  </si>
  <si>
    <t>priya patel</t>
  </si>
  <si>
    <t>priya.patel27@example.com</t>
  </si>
  <si>
    <t>456 Oak Ave, New York, 10001</t>
  </si>
  <si>
    <t>+91 97801 22795</t>
  </si>
  <si>
    <t>ORD01018</t>
  </si>
  <si>
    <t>olivia.martin53@example.com</t>
  </si>
  <si>
    <t>321 Maple St, Mumbai, 400001</t>
  </si>
  <si>
    <t>(442) 985-3662</t>
  </si>
  <si>
    <t>ORD01080</t>
  </si>
  <si>
    <t>michael brown</t>
  </si>
  <si>
    <t>michael.brown90@example.com</t>
  </si>
  <si>
    <t>101 Birch Lane, London, ENG SW1A 1AA</t>
  </si>
  <si>
    <t>United Kingdom</t>
  </si>
  <si>
    <t>Paid</t>
  </si>
  <si>
    <t>ORD01015</t>
  </si>
  <si>
    <t>ALICE JOHNSON</t>
  </si>
  <si>
    <t>alice.johnson32@example.com</t>
  </si>
  <si>
    <t>321 Maple St | Pune - 411001</t>
  </si>
  <si>
    <t>(648) 953-9900</t>
  </si>
  <si>
    <t>refunded</t>
  </si>
  <si>
    <t>ORD01061</t>
  </si>
  <si>
    <t>Charlotte Clark</t>
  </si>
  <si>
    <t>charlotte.clark62@example.com</t>
  </si>
  <si>
    <t>88 Spruce Dr | Bengaluru - 560001</t>
  </si>
  <si>
    <t>paid</t>
  </si>
  <si>
    <t>ORD01023</t>
  </si>
  <si>
    <t>Emily Davis</t>
  </si>
  <si>
    <t>emily.davis97@example.com</t>
  </si>
  <si>
    <t>555 Cedar Blvd, Pune, 411001</t>
  </si>
  <si>
    <t>+91 93680 36100</t>
  </si>
  <si>
    <t>ORD01029</t>
  </si>
  <si>
    <t>Ava Robinson</t>
  </si>
  <si>
    <t>202 Willow Way | London - SW1A 1AA</t>
  </si>
  <si>
    <t>(665) 434-6529</t>
  </si>
  <si>
    <t>ORD01123</t>
  </si>
  <si>
    <t>amelia lewis</t>
  </si>
  <si>
    <t>amelia.lewis14@example.com</t>
  </si>
  <si>
    <t>555 Cedar Blvd, Seattle, 98101</t>
  </si>
  <si>
    <t>(446) 296-9625</t>
  </si>
  <si>
    <t>ORD01099</t>
  </si>
  <si>
    <t>mia harris</t>
  </si>
  <si>
    <t>mia.harris39@example.com</t>
  </si>
  <si>
    <t>9 Sycamore Pl, Delhi, DL 110001</t>
  </si>
  <si>
    <t>ORD01143</t>
  </si>
  <si>
    <t>MASON THOMAS</t>
  </si>
  <si>
    <t>mason.thomas16@example.com</t>
  </si>
  <si>
    <t>123 Elm St | Chennai - 600001</t>
  </si>
  <si>
    <t>(414) 930-6744</t>
  </si>
  <si>
    <t>ORD01016</t>
  </si>
  <si>
    <t>amelia.lewis44@example.com</t>
  </si>
  <si>
    <t>456 Oak Ave, Pune, PN 411001</t>
  </si>
  <si>
    <t>+91 98280 74032</t>
  </si>
  <si>
    <t>ORD01070</t>
  </si>
  <si>
    <t>john smith</t>
  </si>
  <si>
    <t>john.smith68@example.com</t>
  </si>
  <si>
    <t>101 Birch Lane | New York - 10001</t>
  </si>
  <si>
    <t>United States</t>
  </si>
  <si>
    <t>+91 95562 39041</t>
  </si>
  <si>
    <t>ORD01013</t>
  </si>
  <si>
    <t>MIA HARRIS</t>
  </si>
  <si>
    <t>88 Spruce Dr, Seattle, 98101</t>
  </si>
  <si>
    <t>(258) 620-2312</t>
  </si>
  <si>
    <t>ORD01010</t>
  </si>
  <si>
    <t>jane doe</t>
  </si>
  <si>
    <t>jane.doe53@example.com</t>
  </si>
  <si>
    <t>789 Pine Rd, Kolkata, 700001</t>
  </si>
  <si>
    <t>ORD01030</t>
  </si>
  <si>
    <t>mason thomas None</t>
  </si>
  <si>
    <t>mason.thomas97@example.com</t>
  </si>
  <si>
    <t>101 Birch Lane, Mumbai, 400001</t>
  </si>
  <si>
    <t>ORD01146</t>
  </si>
  <si>
    <t>mia.harris28@example.com</t>
  </si>
  <si>
    <t>77 Aspen Ct, Delhi, DL 110001</t>
  </si>
  <si>
    <t>+91 94646 54270</t>
  </si>
  <si>
    <t>ORD01092</t>
  </si>
  <si>
    <t>amelia.lewis91@example.com</t>
  </si>
  <si>
    <t>123 Elm St, New York, 10001</t>
  </si>
  <si>
    <t>+91 91292 42847</t>
  </si>
  <si>
    <t>ORD01053</t>
  </si>
  <si>
    <t>jane.doe87@example.com</t>
  </si>
  <si>
    <t>321 Maple St | Kolkata - 700001</t>
  </si>
  <si>
    <t>(843) 199-1645</t>
  </si>
  <si>
    <t>ORD01125</t>
  </si>
  <si>
    <t>MIA HARRIS 7164344392</t>
  </si>
  <si>
    <t>mia.harris30@example.com</t>
  </si>
  <si>
    <t>202 Willow Way, Delhi, 110001</t>
  </si>
  <si>
    <t>ORD01150</t>
  </si>
  <si>
    <t>john.smith13@example.com</t>
  </si>
  <si>
    <t>789 Pine Rd, Hyderabad, 500001</t>
  </si>
  <si>
    <t>ORD01130</t>
  </si>
  <si>
    <t>Ava Robinson +91 94397 74634</t>
  </si>
  <si>
    <t>ava.robinson22@example.com</t>
  </si>
  <si>
    <t>+91 94397 74634</t>
  </si>
  <si>
    <t>ORD01073</t>
  </si>
  <si>
    <t>jane.doe6@example.com</t>
  </si>
  <si>
    <t>88 Spruce Dr | Hyderabad - 500001</t>
  </si>
  <si>
    <t>(529) 719-8792</t>
  </si>
  <si>
    <t>ORD01056</t>
  </si>
  <si>
    <t>NOAH ANDERSON</t>
  </si>
  <si>
    <t>noah.anderson60@example.com</t>
  </si>
  <si>
    <t>88 Spruce Dr, Delhi, 110001</t>
  </si>
  <si>
    <t>+91 96689 25292</t>
  </si>
  <si>
    <t>ORD01079</t>
  </si>
  <si>
    <t>amelia.lewis29@example.com</t>
  </si>
  <si>
    <t>789 Pine Rd | Bengaluru - 560001</t>
  </si>
  <si>
    <t>+91 90436 64381</t>
  </si>
  <si>
    <t>ORD01003</t>
  </si>
  <si>
    <t>olivia.martin49@example.com</t>
  </si>
  <si>
    <t>123 Elm St | Mumbai - 400001</t>
  </si>
  <si>
    <t>+91 92664 58520</t>
  </si>
  <si>
    <t>ORD01088</t>
  </si>
  <si>
    <t>noah.anderson51@example.com</t>
  </si>
  <si>
    <t>101 Birch Lane | Delhi - 110001</t>
  </si>
  <si>
    <t>+91 94089 24869</t>
  </si>
  <si>
    <t>ORD01043</t>
  </si>
  <si>
    <t>lucas white</t>
  </si>
  <si>
    <t>lucas.white21@example.com</t>
  </si>
  <si>
    <t>77 Aspen Ct | Delhi - 110001</t>
  </si>
  <si>
    <t>ORD01041</t>
  </si>
  <si>
    <t>ethan.walker96@example.com</t>
  </si>
  <si>
    <t>555 Cedar Blvd, London, ENG SW1A 1AA</t>
  </si>
  <si>
    <t>+91 97195 26299</t>
  </si>
  <si>
    <t>ORD01064</t>
  </si>
  <si>
    <t>alice.johnson86@example.com</t>
  </si>
  <si>
    <t>ORD01144</t>
  </si>
  <si>
    <t>emily.davis66@example.com</t>
  </si>
  <si>
    <t>789 Pine Rd, Delhi, 110001</t>
  </si>
  <si>
    <t>ORD01025</t>
  </si>
  <si>
    <t>charlotte.clark57@example.com</t>
  </si>
  <si>
    <t>77 Aspen Ct, Pune, 411001</t>
  </si>
  <si>
    <t>ORD01132</t>
  </si>
  <si>
    <t>AVA ROBINSON</t>
  </si>
  <si>
    <t>ava.robinson74@example.com</t>
  </si>
  <si>
    <t>789 Pine Rd | Hyderabad - 500001</t>
  </si>
  <si>
    <t>+91 96161 46739</t>
  </si>
  <si>
    <t>ORD01111</t>
  </si>
  <si>
    <t>MOHAMMED KHAN</t>
  </si>
  <si>
    <t>mohammed.khan92@example.com</t>
  </si>
  <si>
    <t>789 Pine Rd | London - SW1A 1AA</t>
  </si>
  <si>
    <t>U.K.</t>
  </si>
  <si>
    <t>ORD01087</t>
  </si>
  <si>
    <t>noah.anderson87@example.com</t>
  </si>
  <si>
    <t>ORD01124</t>
  </si>
  <si>
    <t>ISABELLA TAYLOR</t>
  </si>
  <si>
    <t>isabella.taylor98@example.com</t>
  </si>
  <si>
    <t>321 Maple St, Bengaluru, 560001</t>
  </si>
  <si>
    <t>ORD01035</t>
  </si>
  <si>
    <t>sophia.lee58@example.com</t>
  </si>
  <si>
    <t>77 Aspen Ct, Pune, PN 411001</t>
  </si>
  <si>
    <t>ORD01077</t>
  </si>
  <si>
    <t>9 Sycamore Pl, London, SW1A 1AA</t>
  </si>
  <si>
    <t>UK</t>
  </si>
  <si>
    <t>(654) 725-5668</t>
  </si>
  <si>
    <t>ORD01021</t>
  </si>
  <si>
    <t>Liam Wilson</t>
  </si>
  <si>
    <t>liam.wilson86@example.com</t>
  </si>
  <si>
    <t>202 Willow Way, Seattle, 98101</t>
  </si>
  <si>
    <t>+91 92041 49363</t>
  </si>
  <si>
    <t>ORD01119</t>
  </si>
  <si>
    <t>liam.wilson31@example.com</t>
  </si>
  <si>
    <t>456 Oak Ave, Chennai, TN 600001</t>
  </si>
  <si>
    <t>+91 96236 71112</t>
  </si>
  <si>
    <t>Steps to solve</t>
  </si>
  <si>
    <t>Step 1: remove the duplicates from order ID column</t>
  </si>
  <si>
    <t>Step2: Sort the data in ascending order based on orderID column</t>
  </si>
  <si>
    <t>step 3: Trim the country column and proper case it the replace the short form country column to full form like IN to India</t>
  </si>
  <si>
    <t xml:space="preserve">step 4: replace the apporpiate datatype of quanity,unit price to currency </t>
  </si>
  <si>
    <t>step 5: apply trim(substitute(string concat" name colum"&amp;"example.com"))) --&gt; on email column- on blank values</t>
  </si>
  <si>
    <t>step 6:- find the blank value in quantity column and replace with average() value</t>
  </si>
  <si>
    <t>step 7:split the shipping address using tet to column using the delimiter</t>
  </si>
  <si>
    <t>step 8: replace the blank to unknown--do proper case</t>
  </si>
  <si>
    <t>step 10: create the calculate column Totalprice=quantity*unitprice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</si>
</sst>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xSplit="2" topLeftCell="C1" activePane="topRight" state="frozen"/>
      <selection pane="topRight" sqref="A1:A1048576"/>
    </sheetView>
  </sheetViews>
  <sheetFormatPr defaultColWidth="14.44140625" defaultRowHeight="15" customHeight="1" x14ac:dyDescent="0.3"/>
  <cols>
    <col min="1" max="1" width="17" customWidth="1"/>
    <col min="2" max="2" width="27" customWidth="1"/>
    <col min="3" max="3" width="30.6640625" customWidth="1"/>
    <col min="4" max="4" width="24.44140625" customWidth="1"/>
    <col min="5" max="5" width="33.33203125" customWidth="1"/>
    <col min="6" max="8" width="8.6640625" customWidth="1"/>
    <col min="9" max="9" width="20.109375" customWidth="1"/>
    <col min="10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146</v>
      </c>
      <c r="B2" s="2" t="s">
        <v>11</v>
      </c>
      <c r="C2" s="2" t="s">
        <v>12</v>
      </c>
      <c r="D2" s="3">
        <v>45685</v>
      </c>
      <c r="E2" s="2" t="s">
        <v>13</v>
      </c>
      <c r="F2" s="2">
        <v>1</v>
      </c>
      <c r="G2" s="2">
        <v>119.99</v>
      </c>
      <c r="H2" s="2" t="s">
        <v>14</v>
      </c>
      <c r="I2" s="2" t="s">
        <v>15</v>
      </c>
      <c r="J2" s="2" t="s">
        <v>16</v>
      </c>
    </row>
    <row r="3" spans="1:26" ht="14.25" customHeight="1" x14ac:dyDescent="0.3">
      <c r="A3" s="2" t="s">
        <v>44</v>
      </c>
      <c r="B3" s="2" t="s">
        <v>18</v>
      </c>
      <c r="C3" s="2" t="s">
        <v>19</v>
      </c>
      <c r="D3" s="3">
        <v>45518</v>
      </c>
      <c r="E3" s="2" t="s">
        <v>20</v>
      </c>
      <c r="F3" s="2">
        <v>3</v>
      </c>
      <c r="G3" s="2">
        <v>119.99</v>
      </c>
      <c r="H3" s="2" t="s">
        <v>21</v>
      </c>
      <c r="I3" s="2">
        <f>1-854-5833</f>
        <v>-6686</v>
      </c>
      <c r="J3" s="2" t="s">
        <v>16</v>
      </c>
    </row>
    <row r="4" spans="1:26" ht="14.25" customHeight="1" x14ac:dyDescent="0.3">
      <c r="A4" s="2" t="s">
        <v>130</v>
      </c>
      <c r="B4" s="2" t="s">
        <v>23</v>
      </c>
      <c r="D4" s="3">
        <v>45791</v>
      </c>
      <c r="E4" s="2" t="s">
        <v>24</v>
      </c>
      <c r="F4" s="2">
        <v>1</v>
      </c>
      <c r="G4" s="2">
        <v>149.99</v>
      </c>
      <c r="H4" s="2" t="s">
        <v>25</v>
      </c>
      <c r="I4" s="2" t="s">
        <v>26</v>
      </c>
      <c r="J4" s="2" t="s">
        <v>27</v>
      </c>
    </row>
    <row r="5" spans="1:26" ht="14.25" customHeight="1" x14ac:dyDescent="0.3">
      <c r="A5" s="2" t="s">
        <v>184</v>
      </c>
      <c r="B5" s="2" t="s">
        <v>29</v>
      </c>
      <c r="C5" s="2" t="s">
        <v>30</v>
      </c>
      <c r="D5" s="3">
        <v>45573</v>
      </c>
      <c r="E5" s="2" t="s">
        <v>31</v>
      </c>
      <c r="F5" s="2">
        <v>4</v>
      </c>
      <c r="G5" s="2">
        <v>49.99</v>
      </c>
      <c r="H5" s="2" t="s">
        <v>32</v>
      </c>
      <c r="I5" s="2" t="s">
        <v>33</v>
      </c>
    </row>
    <row r="6" spans="1:26" ht="14.25" customHeight="1" x14ac:dyDescent="0.3">
      <c r="A6" s="2" t="s">
        <v>103</v>
      </c>
      <c r="B6" s="2" t="s">
        <v>35</v>
      </c>
      <c r="C6" s="2" t="s">
        <v>36</v>
      </c>
      <c r="D6" s="3">
        <v>45647</v>
      </c>
      <c r="E6" s="2" t="s">
        <v>37</v>
      </c>
      <c r="F6" s="2">
        <v>1</v>
      </c>
      <c r="G6" s="2">
        <v>49.99</v>
      </c>
      <c r="H6" s="2" t="s">
        <v>38</v>
      </c>
      <c r="I6" s="2">
        <v>6377058351</v>
      </c>
      <c r="J6" s="2" t="s">
        <v>16</v>
      </c>
    </row>
    <row r="7" spans="1:26" ht="14.25" customHeight="1" x14ac:dyDescent="0.3">
      <c r="A7" s="2" t="s">
        <v>59</v>
      </c>
      <c r="B7" s="2" t="s">
        <v>40</v>
      </c>
      <c r="C7" s="2" t="s">
        <v>41</v>
      </c>
      <c r="D7" s="3">
        <v>45770</v>
      </c>
      <c r="E7" s="2" t="s">
        <v>42</v>
      </c>
      <c r="F7" s="2">
        <v>2</v>
      </c>
      <c r="G7" s="2">
        <v>149.99</v>
      </c>
      <c r="H7" s="2" t="s">
        <v>38</v>
      </c>
      <c r="I7" s="2">
        <v>9110335359</v>
      </c>
      <c r="J7" s="2" t="s">
        <v>43</v>
      </c>
    </row>
    <row r="8" spans="1:26" ht="14.25" customHeight="1" x14ac:dyDescent="0.3">
      <c r="A8" s="2" t="s">
        <v>190</v>
      </c>
      <c r="B8" s="2" t="s">
        <v>45</v>
      </c>
      <c r="C8" s="2" t="s">
        <v>46</v>
      </c>
      <c r="D8" s="3">
        <v>45301</v>
      </c>
      <c r="E8" s="2" t="s">
        <v>47</v>
      </c>
      <c r="F8" s="2">
        <v>3</v>
      </c>
      <c r="G8" s="2">
        <v>39.99</v>
      </c>
      <c r="H8" s="2" t="s">
        <v>32</v>
      </c>
      <c r="I8" s="2" t="s">
        <v>48</v>
      </c>
      <c r="J8" s="2" t="s">
        <v>27</v>
      </c>
    </row>
    <row r="9" spans="1:26" ht="14.25" customHeight="1" x14ac:dyDescent="0.3">
      <c r="A9" s="2" t="s">
        <v>149</v>
      </c>
      <c r="B9" s="2" t="s">
        <v>50</v>
      </c>
      <c r="C9" s="2" t="s">
        <v>51</v>
      </c>
      <c r="D9" s="3">
        <v>45586</v>
      </c>
      <c r="E9" s="2" t="s">
        <v>52</v>
      </c>
      <c r="F9" s="2">
        <v>1</v>
      </c>
      <c r="G9" s="2">
        <v>39.99</v>
      </c>
      <c r="H9" s="2" t="s">
        <v>53</v>
      </c>
      <c r="I9" s="2">
        <f>1-832-2121</f>
        <v>-2952</v>
      </c>
      <c r="J9" s="2" t="s">
        <v>54</v>
      </c>
    </row>
    <row r="10" spans="1:26" ht="14.25" customHeight="1" x14ac:dyDescent="0.3">
      <c r="A10" s="2" t="s">
        <v>10</v>
      </c>
      <c r="B10" s="2" t="s">
        <v>56</v>
      </c>
      <c r="C10" s="2" t="s">
        <v>57</v>
      </c>
      <c r="D10" s="3">
        <v>45627</v>
      </c>
      <c r="E10" s="2" t="s">
        <v>58</v>
      </c>
      <c r="G10" s="2">
        <v>19.989999999999998</v>
      </c>
      <c r="H10" s="2" t="s">
        <v>53</v>
      </c>
      <c r="I10" s="2">
        <v>7066312714</v>
      </c>
      <c r="J10" s="2" t="s">
        <v>43</v>
      </c>
    </row>
    <row r="11" spans="1:26" ht="14.25" customHeight="1" x14ac:dyDescent="0.3">
      <c r="A11" s="2" t="s">
        <v>142</v>
      </c>
      <c r="B11" s="2" t="s">
        <v>60</v>
      </c>
      <c r="C11" s="2" t="s">
        <v>61</v>
      </c>
      <c r="D11" s="3">
        <v>45755</v>
      </c>
      <c r="E11" s="2" t="s">
        <v>62</v>
      </c>
      <c r="F11" s="2">
        <v>5</v>
      </c>
      <c r="G11" s="2">
        <v>149.99</v>
      </c>
      <c r="H11" s="2" t="s">
        <v>25</v>
      </c>
      <c r="I11" s="2" t="s">
        <v>63</v>
      </c>
      <c r="J11" s="2" t="s">
        <v>27</v>
      </c>
    </row>
    <row r="12" spans="1:26" ht="14.25" customHeight="1" x14ac:dyDescent="0.3">
      <c r="A12" s="2" t="s">
        <v>202</v>
      </c>
      <c r="B12" s="2" t="s">
        <v>40</v>
      </c>
      <c r="C12" s="2" t="s">
        <v>65</v>
      </c>
      <c r="D12" s="3">
        <v>45714</v>
      </c>
      <c r="E12" s="2" t="s">
        <v>66</v>
      </c>
      <c r="F12" s="2">
        <v>5</v>
      </c>
      <c r="G12" s="2">
        <v>15.99</v>
      </c>
      <c r="H12" s="2" t="s">
        <v>32</v>
      </c>
      <c r="I12" s="2" t="s">
        <v>67</v>
      </c>
      <c r="J12" s="2" t="s">
        <v>43</v>
      </c>
    </row>
    <row r="13" spans="1:26" ht="14.25" customHeight="1" x14ac:dyDescent="0.3">
      <c r="A13" s="2" t="s">
        <v>94</v>
      </c>
      <c r="B13" s="2" t="s">
        <v>69</v>
      </c>
      <c r="C13" s="2" t="s">
        <v>70</v>
      </c>
      <c r="D13" s="3">
        <v>45373</v>
      </c>
      <c r="E13" s="2" t="s">
        <v>71</v>
      </c>
      <c r="F13" s="2">
        <v>5</v>
      </c>
      <c r="G13" s="2">
        <v>119.99</v>
      </c>
      <c r="H13" s="2" t="s">
        <v>72</v>
      </c>
      <c r="I13" s="2">
        <v>7926728669</v>
      </c>
      <c r="J13" s="2" t="s">
        <v>73</v>
      </c>
    </row>
    <row r="14" spans="1:26" ht="14.25" customHeight="1" x14ac:dyDescent="0.3">
      <c r="A14" s="2" t="s">
        <v>22</v>
      </c>
      <c r="B14" s="2" t="s">
        <v>75</v>
      </c>
      <c r="C14" s="2" t="s">
        <v>76</v>
      </c>
      <c r="D14" s="3">
        <v>45833</v>
      </c>
      <c r="E14" s="2" t="s">
        <v>77</v>
      </c>
      <c r="F14" s="2">
        <v>1</v>
      </c>
      <c r="G14" s="2">
        <v>19.989999999999998</v>
      </c>
      <c r="H14" s="2" t="s">
        <v>32</v>
      </c>
      <c r="I14" s="2" t="s">
        <v>78</v>
      </c>
      <c r="J14" s="2" t="s">
        <v>79</v>
      </c>
    </row>
    <row r="15" spans="1:26" ht="14.25" customHeight="1" x14ac:dyDescent="0.3">
      <c r="A15" s="2" t="s">
        <v>218</v>
      </c>
      <c r="B15" s="2" t="s">
        <v>81</v>
      </c>
      <c r="C15" s="2" t="s">
        <v>82</v>
      </c>
      <c r="D15" s="3">
        <v>45794</v>
      </c>
      <c r="E15" s="2" t="s">
        <v>83</v>
      </c>
      <c r="F15" s="2">
        <v>3</v>
      </c>
      <c r="G15" s="2">
        <v>15.99</v>
      </c>
      <c r="H15" s="2" t="s">
        <v>14</v>
      </c>
      <c r="I15" s="2">
        <v>8946766309</v>
      </c>
      <c r="J15" s="2" t="s">
        <v>84</v>
      </c>
    </row>
    <row r="16" spans="1:26" ht="14.25" customHeight="1" x14ac:dyDescent="0.3">
      <c r="A16" s="2" t="s">
        <v>195</v>
      </c>
      <c r="B16" s="2" t="s">
        <v>86</v>
      </c>
      <c r="C16" s="2" t="s">
        <v>87</v>
      </c>
      <c r="D16" s="3">
        <v>45317</v>
      </c>
      <c r="E16" s="2" t="s">
        <v>88</v>
      </c>
      <c r="F16" s="2">
        <v>3</v>
      </c>
      <c r="G16" s="2">
        <v>79.989999999999995</v>
      </c>
      <c r="H16" s="2" t="s">
        <v>14</v>
      </c>
      <c r="I16" s="2" t="s">
        <v>89</v>
      </c>
      <c r="J16" s="2" t="s">
        <v>43</v>
      </c>
    </row>
    <row r="17" spans="1:10" ht="14.25" customHeight="1" x14ac:dyDescent="0.3">
      <c r="A17" s="2" t="s">
        <v>17</v>
      </c>
      <c r="B17" s="2" t="s">
        <v>91</v>
      </c>
      <c r="D17" s="3">
        <v>45576</v>
      </c>
      <c r="E17" s="2" t="s">
        <v>92</v>
      </c>
      <c r="G17" s="2">
        <v>15.99</v>
      </c>
      <c r="H17" s="2" t="s">
        <v>72</v>
      </c>
      <c r="I17" s="2" t="s">
        <v>93</v>
      </c>
    </row>
    <row r="18" spans="1:10" ht="14.25" customHeight="1" x14ac:dyDescent="0.3">
      <c r="A18" s="2" t="s">
        <v>99</v>
      </c>
      <c r="B18" s="2" t="s">
        <v>95</v>
      </c>
      <c r="C18" s="2" t="s">
        <v>96</v>
      </c>
      <c r="D18" s="3">
        <v>45654</v>
      </c>
      <c r="E18" s="2" t="s">
        <v>97</v>
      </c>
      <c r="F18" s="2">
        <v>2</v>
      </c>
      <c r="G18" s="2">
        <v>39.99</v>
      </c>
      <c r="H18" s="2" t="s">
        <v>53</v>
      </c>
      <c r="I18" s="2" t="s">
        <v>98</v>
      </c>
      <c r="J18" s="2" t="s">
        <v>79</v>
      </c>
    </row>
    <row r="19" spans="1:10" ht="14.25" customHeight="1" x14ac:dyDescent="0.3">
      <c r="A19" s="2" t="s">
        <v>55</v>
      </c>
      <c r="B19" s="2" t="s">
        <v>100</v>
      </c>
      <c r="C19" s="2" t="s">
        <v>101</v>
      </c>
      <c r="D19" s="3">
        <v>45778</v>
      </c>
      <c r="E19" s="2" t="s">
        <v>102</v>
      </c>
      <c r="F19" s="2">
        <v>1</v>
      </c>
      <c r="G19" s="2">
        <v>79.989999999999995</v>
      </c>
      <c r="H19" s="2" t="s">
        <v>38</v>
      </c>
      <c r="I19" s="2">
        <v>9044014286</v>
      </c>
      <c r="J19" s="2" t="s">
        <v>79</v>
      </c>
    </row>
    <row r="20" spans="1:10" ht="14.25" customHeight="1" x14ac:dyDescent="0.3">
      <c r="A20" s="2" t="s">
        <v>134</v>
      </c>
      <c r="B20" s="2" t="s">
        <v>104</v>
      </c>
      <c r="C20" s="2" t="s">
        <v>105</v>
      </c>
      <c r="D20" s="3">
        <v>45461</v>
      </c>
      <c r="E20" s="2" t="s">
        <v>106</v>
      </c>
      <c r="F20" s="2">
        <v>1</v>
      </c>
      <c r="G20" s="2">
        <v>29.99</v>
      </c>
      <c r="H20" s="2" t="s">
        <v>38</v>
      </c>
      <c r="I20" s="2" t="s">
        <v>107</v>
      </c>
    </row>
    <row r="21" spans="1:10" ht="14.25" customHeight="1" x14ac:dyDescent="0.3">
      <c r="A21" s="2" t="s">
        <v>34</v>
      </c>
      <c r="B21" s="2" t="s">
        <v>95</v>
      </c>
      <c r="C21" s="2" t="s">
        <v>109</v>
      </c>
      <c r="D21" s="3">
        <v>45344</v>
      </c>
      <c r="E21" s="2" t="s">
        <v>110</v>
      </c>
      <c r="G21" s="2">
        <v>79.989999999999995</v>
      </c>
      <c r="H21" s="2" t="s">
        <v>38</v>
      </c>
      <c r="I21" s="2" t="s">
        <v>111</v>
      </c>
      <c r="J21" s="2" t="s">
        <v>79</v>
      </c>
    </row>
    <row r="22" spans="1:10" ht="14.25" customHeight="1" x14ac:dyDescent="0.3">
      <c r="A22" s="2" t="s">
        <v>170</v>
      </c>
      <c r="B22" s="2" t="s">
        <v>113</v>
      </c>
      <c r="C22" s="2" t="s">
        <v>114</v>
      </c>
      <c r="D22" s="3">
        <v>45464</v>
      </c>
      <c r="E22" s="2" t="s">
        <v>115</v>
      </c>
      <c r="F22" s="2">
        <v>4</v>
      </c>
      <c r="G22" s="2">
        <v>49.99</v>
      </c>
      <c r="H22" s="2" t="s">
        <v>116</v>
      </c>
      <c r="I22" s="2" t="s">
        <v>117</v>
      </c>
      <c r="J22" s="2" t="s">
        <v>16</v>
      </c>
    </row>
    <row r="23" spans="1:10" ht="14.25" customHeight="1" x14ac:dyDescent="0.3">
      <c r="A23" s="2" t="s">
        <v>200</v>
      </c>
      <c r="B23" s="2" t="s">
        <v>40</v>
      </c>
      <c r="C23" s="2" t="s">
        <v>65</v>
      </c>
      <c r="D23" s="3">
        <v>45714</v>
      </c>
      <c r="E23" s="2" t="s">
        <v>66</v>
      </c>
      <c r="F23" s="2">
        <v>5</v>
      </c>
      <c r="G23" s="2">
        <v>15.99</v>
      </c>
      <c r="H23" s="2" t="s">
        <v>32</v>
      </c>
      <c r="I23" s="2" t="s">
        <v>67</v>
      </c>
      <c r="J23" s="2" t="s">
        <v>43</v>
      </c>
    </row>
    <row r="24" spans="1:10" ht="14.25" customHeight="1" x14ac:dyDescent="0.3">
      <c r="A24" s="2" t="s">
        <v>68</v>
      </c>
      <c r="B24" s="2" t="s">
        <v>119</v>
      </c>
      <c r="D24" s="3">
        <v>45362</v>
      </c>
      <c r="E24" s="2" t="s">
        <v>120</v>
      </c>
      <c r="F24" s="2">
        <v>2</v>
      </c>
      <c r="G24" s="2">
        <v>15.99</v>
      </c>
      <c r="H24" s="2" t="s">
        <v>21</v>
      </c>
      <c r="I24" s="2" t="s">
        <v>121</v>
      </c>
      <c r="J24" s="2" t="s">
        <v>43</v>
      </c>
    </row>
    <row r="25" spans="1:10" ht="14.25" customHeight="1" x14ac:dyDescent="0.3">
      <c r="A25" s="2" t="s">
        <v>162</v>
      </c>
      <c r="B25" s="2" t="s">
        <v>123</v>
      </c>
      <c r="C25" s="2" t="s">
        <v>124</v>
      </c>
      <c r="D25" s="3">
        <v>45725</v>
      </c>
      <c r="E25" s="2" t="s">
        <v>125</v>
      </c>
      <c r="F25" s="2">
        <v>1</v>
      </c>
      <c r="G25" s="2">
        <v>49.99</v>
      </c>
      <c r="H25" s="2" t="s">
        <v>38</v>
      </c>
      <c r="I25" s="2">
        <f>1-874-8062</f>
        <v>-8935</v>
      </c>
      <c r="J25" s="2" t="s">
        <v>16</v>
      </c>
    </row>
    <row r="26" spans="1:10" ht="14.25" customHeight="1" x14ac:dyDescent="0.3">
      <c r="A26" s="2" t="s">
        <v>209</v>
      </c>
      <c r="B26" s="2" t="s">
        <v>127</v>
      </c>
      <c r="C26" s="2" t="s">
        <v>128</v>
      </c>
      <c r="D26" s="3">
        <v>45496</v>
      </c>
      <c r="E26" s="2" t="s">
        <v>129</v>
      </c>
      <c r="F26" s="2">
        <v>5</v>
      </c>
      <c r="G26" s="2">
        <v>15.99</v>
      </c>
      <c r="H26" s="2" t="s">
        <v>32</v>
      </c>
      <c r="J26" s="2" t="s">
        <v>54</v>
      </c>
    </row>
    <row r="27" spans="1:10" ht="14.25" customHeight="1" x14ac:dyDescent="0.3">
      <c r="A27" s="2" t="s">
        <v>153</v>
      </c>
      <c r="B27" s="2" t="s">
        <v>100</v>
      </c>
      <c r="C27" s="2" t="s">
        <v>131</v>
      </c>
      <c r="D27" s="3">
        <v>45871</v>
      </c>
      <c r="E27" s="2" t="s">
        <v>132</v>
      </c>
      <c r="F27" s="2">
        <v>3</v>
      </c>
      <c r="G27" s="2">
        <v>19.989999999999998</v>
      </c>
      <c r="H27" s="2" t="s">
        <v>14</v>
      </c>
      <c r="I27" s="2" t="s">
        <v>133</v>
      </c>
      <c r="J27" s="2" t="s">
        <v>43</v>
      </c>
    </row>
    <row r="28" spans="1:10" ht="14.25" customHeight="1" x14ac:dyDescent="0.3">
      <c r="A28" s="2" t="s">
        <v>112</v>
      </c>
      <c r="B28" s="2" t="s">
        <v>95</v>
      </c>
      <c r="C28" s="2" t="s">
        <v>135</v>
      </c>
      <c r="D28" s="3">
        <v>45856</v>
      </c>
      <c r="E28" s="2" t="s">
        <v>136</v>
      </c>
      <c r="F28" s="2">
        <v>2</v>
      </c>
      <c r="G28" s="2">
        <v>149.99</v>
      </c>
      <c r="H28" s="2" t="s">
        <v>25</v>
      </c>
      <c r="I28" s="2" t="s">
        <v>137</v>
      </c>
      <c r="J28" s="2" t="s">
        <v>54</v>
      </c>
    </row>
    <row r="29" spans="1:10" ht="14.25" customHeight="1" x14ac:dyDescent="0.3">
      <c r="A29" s="2" t="s">
        <v>182</v>
      </c>
      <c r="B29" s="2" t="s">
        <v>123</v>
      </c>
      <c r="C29" s="2" t="s">
        <v>139</v>
      </c>
      <c r="D29" s="3">
        <v>45743</v>
      </c>
      <c r="E29" s="2" t="s">
        <v>140</v>
      </c>
      <c r="F29" s="2">
        <v>4</v>
      </c>
      <c r="G29" s="2">
        <v>39.99</v>
      </c>
      <c r="H29" s="2" t="s">
        <v>32</v>
      </c>
      <c r="I29" s="2" t="s">
        <v>141</v>
      </c>
      <c r="J29" s="2" t="s">
        <v>79</v>
      </c>
    </row>
    <row r="30" spans="1:10" ht="14.25" customHeight="1" x14ac:dyDescent="0.3">
      <c r="A30" s="2" t="s">
        <v>80</v>
      </c>
      <c r="B30" s="2" t="s">
        <v>143</v>
      </c>
      <c r="C30" s="2" t="s">
        <v>144</v>
      </c>
      <c r="D30" s="3">
        <v>45368</v>
      </c>
      <c r="E30" s="2" t="s">
        <v>145</v>
      </c>
      <c r="F30" s="2">
        <v>1</v>
      </c>
      <c r="G30" s="2">
        <v>79.989999999999995</v>
      </c>
      <c r="H30" s="2" t="s">
        <v>32</v>
      </c>
      <c r="I30" s="2">
        <v>7164344392</v>
      </c>
      <c r="J30" s="2" t="s">
        <v>73</v>
      </c>
    </row>
    <row r="31" spans="1:10" ht="14.25" customHeight="1" x14ac:dyDescent="0.3">
      <c r="A31" s="2" t="s">
        <v>157</v>
      </c>
      <c r="B31" s="2" t="s">
        <v>113</v>
      </c>
      <c r="C31" s="2" t="s">
        <v>147</v>
      </c>
      <c r="D31" s="3">
        <v>45731</v>
      </c>
      <c r="E31" s="2" t="s">
        <v>148</v>
      </c>
      <c r="F31" s="2">
        <v>3</v>
      </c>
      <c r="G31" s="2">
        <v>29.99</v>
      </c>
      <c r="H31" s="2" t="s">
        <v>14</v>
      </c>
      <c r="I31" s="2">
        <f>1-803-7291</f>
        <v>-8093</v>
      </c>
      <c r="J31" s="2" t="s">
        <v>16</v>
      </c>
    </row>
    <row r="32" spans="1:10" ht="14.25" customHeight="1" x14ac:dyDescent="0.3">
      <c r="A32" s="2" t="s">
        <v>138</v>
      </c>
      <c r="B32" s="2" t="s">
        <v>150</v>
      </c>
      <c r="C32" s="2" t="s">
        <v>151</v>
      </c>
      <c r="D32" s="3">
        <v>45356</v>
      </c>
      <c r="E32" s="2" t="s">
        <v>110</v>
      </c>
      <c r="F32" s="2">
        <v>2</v>
      </c>
      <c r="G32" s="2">
        <v>149.99</v>
      </c>
      <c r="H32" s="2" t="s">
        <v>14</v>
      </c>
      <c r="I32" s="2" t="s">
        <v>152</v>
      </c>
      <c r="J32" s="2" t="s">
        <v>43</v>
      </c>
    </row>
    <row r="33" spans="1:10" ht="14.25" customHeight="1" x14ac:dyDescent="0.3">
      <c r="A33" s="2" t="s">
        <v>28</v>
      </c>
      <c r="B33" s="2" t="s">
        <v>123</v>
      </c>
      <c r="C33" s="2" t="s">
        <v>154</v>
      </c>
      <c r="D33" s="3">
        <v>45355</v>
      </c>
      <c r="E33" s="2" t="s">
        <v>155</v>
      </c>
      <c r="F33" s="2">
        <v>2</v>
      </c>
      <c r="G33" s="2">
        <v>19.989999999999998</v>
      </c>
      <c r="H33" s="2" t="s">
        <v>14</v>
      </c>
      <c r="I33" s="2" t="s">
        <v>156</v>
      </c>
      <c r="J33" s="2" t="s">
        <v>43</v>
      </c>
    </row>
    <row r="34" spans="1:10" ht="14.25" customHeight="1" x14ac:dyDescent="0.3">
      <c r="A34" s="2" t="s">
        <v>49</v>
      </c>
      <c r="B34" s="2" t="s">
        <v>158</v>
      </c>
      <c r="C34" s="2" t="s">
        <v>159</v>
      </c>
      <c r="D34" s="3">
        <v>45338</v>
      </c>
      <c r="E34" s="2" t="s">
        <v>160</v>
      </c>
      <c r="F34" s="2">
        <v>2</v>
      </c>
      <c r="G34" s="2">
        <v>15.99</v>
      </c>
      <c r="H34" s="2" t="s">
        <v>32</v>
      </c>
      <c r="I34" s="2" t="s">
        <v>161</v>
      </c>
      <c r="J34" s="2" t="s">
        <v>43</v>
      </c>
    </row>
    <row r="35" spans="1:10" ht="14.25" customHeight="1" x14ac:dyDescent="0.3">
      <c r="A35" s="2" t="s">
        <v>174</v>
      </c>
      <c r="B35" s="2" t="s">
        <v>95</v>
      </c>
      <c r="C35" s="2" t="s">
        <v>163</v>
      </c>
      <c r="D35" s="3">
        <v>45697</v>
      </c>
      <c r="E35" s="2" t="s">
        <v>164</v>
      </c>
      <c r="F35" s="2">
        <v>1</v>
      </c>
      <c r="G35" s="2">
        <v>19.989999999999998</v>
      </c>
      <c r="H35" s="2" t="s">
        <v>14</v>
      </c>
      <c r="I35" s="2" t="s">
        <v>165</v>
      </c>
      <c r="J35" s="2" t="s">
        <v>73</v>
      </c>
    </row>
    <row r="36" spans="1:10" ht="14.25" customHeight="1" x14ac:dyDescent="0.3">
      <c r="A36" s="2" t="s">
        <v>178</v>
      </c>
      <c r="B36" s="2" t="s">
        <v>40</v>
      </c>
      <c r="C36" s="2" t="s">
        <v>167</v>
      </c>
      <c r="D36" s="3">
        <v>45506</v>
      </c>
      <c r="E36" s="2" t="s">
        <v>168</v>
      </c>
      <c r="F36" s="2">
        <v>3</v>
      </c>
      <c r="G36" s="2">
        <v>29.99</v>
      </c>
      <c r="H36" s="2" t="s">
        <v>32</v>
      </c>
      <c r="I36" s="2" t="s">
        <v>169</v>
      </c>
      <c r="J36" s="2" t="s">
        <v>16</v>
      </c>
    </row>
    <row r="37" spans="1:10" ht="14.25" customHeight="1" x14ac:dyDescent="0.3">
      <c r="A37" s="2" t="s">
        <v>206</v>
      </c>
      <c r="B37" s="2" t="s">
        <v>45</v>
      </c>
      <c r="C37" s="2" t="s">
        <v>171</v>
      </c>
      <c r="D37" s="3">
        <v>45482</v>
      </c>
      <c r="E37" s="2" t="s">
        <v>172</v>
      </c>
      <c r="F37" s="2">
        <v>3</v>
      </c>
      <c r="G37" s="2">
        <v>79.989999999999995</v>
      </c>
      <c r="H37" s="2" t="s">
        <v>32</v>
      </c>
      <c r="I37" s="2" t="s">
        <v>173</v>
      </c>
      <c r="J37" s="2" t="s">
        <v>73</v>
      </c>
    </row>
    <row r="38" spans="1:10" ht="14.25" customHeight="1" x14ac:dyDescent="0.3">
      <c r="A38" s="2" t="s">
        <v>126</v>
      </c>
      <c r="B38" s="2" t="s">
        <v>175</v>
      </c>
      <c r="C38" s="2" t="s">
        <v>176</v>
      </c>
      <c r="D38" s="3">
        <v>45855</v>
      </c>
      <c r="E38" s="2" t="s">
        <v>177</v>
      </c>
      <c r="F38" s="2">
        <v>5</v>
      </c>
      <c r="G38" s="2">
        <v>49.99</v>
      </c>
      <c r="H38" s="2" t="s">
        <v>38</v>
      </c>
      <c r="I38" s="2">
        <v>7237886015</v>
      </c>
    </row>
    <row r="39" spans="1:10" ht="14.25" customHeight="1" x14ac:dyDescent="0.3">
      <c r="A39" s="2" t="s">
        <v>90</v>
      </c>
      <c r="B39" s="2" t="s">
        <v>29</v>
      </c>
      <c r="C39" s="2" t="s">
        <v>179</v>
      </c>
      <c r="D39" s="3">
        <v>45603</v>
      </c>
      <c r="E39" s="2" t="s">
        <v>180</v>
      </c>
      <c r="F39" s="2">
        <v>3</v>
      </c>
      <c r="G39" s="2">
        <v>29.99</v>
      </c>
      <c r="H39" s="2" t="s">
        <v>72</v>
      </c>
      <c r="I39" s="2" t="s">
        <v>181</v>
      </c>
      <c r="J39" s="2" t="s">
        <v>27</v>
      </c>
    </row>
    <row r="40" spans="1:10" ht="14.25" customHeight="1" x14ac:dyDescent="0.3">
      <c r="A40" s="2" t="s">
        <v>39</v>
      </c>
      <c r="B40" s="2" t="s">
        <v>75</v>
      </c>
      <c r="C40" s="2" t="s">
        <v>183</v>
      </c>
      <c r="D40" s="3">
        <v>45586</v>
      </c>
      <c r="E40" s="2" t="s">
        <v>120</v>
      </c>
      <c r="F40" s="2">
        <v>4</v>
      </c>
      <c r="G40" s="2">
        <v>119.99</v>
      </c>
      <c r="H40" s="2" t="s">
        <v>21</v>
      </c>
      <c r="I40" s="2">
        <v>9728427375</v>
      </c>
      <c r="J40" s="2" t="s">
        <v>73</v>
      </c>
    </row>
    <row r="41" spans="1:10" ht="14.25" customHeight="1" x14ac:dyDescent="0.3">
      <c r="A41" s="2" t="s">
        <v>187</v>
      </c>
      <c r="B41" s="2" t="s">
        <v>86</v>
      </c>
      <c r="C41" s="2" t="s">
        <v>185</v>
      </c>
      <c r="D41" s="3">
        <v>45575</v>
      </c>
      <c r="E41" s="2" t="s">
        <v>186</v>
      </c>
      <c r="F41" s="2">
        <v>2</v>
      </c>
      <c r="G41" s="2">
        <v>39.99</v>
      </c>
      <c r="H41" s="2" t="s">
        <v>38</v>
      </c>
      <c r="I41" s="2">
        <f>1-338-7743</f>
        <v>-8080</v>
      </c>
      <c r="J41" s="2" t="s">
        <v>73</v>
      </c>
    </row>
    <row r="42" spans="1:10" ht="14.25" customHeight="1" x14ac:dyDescent="0.3">
      <c r="A42" s="2" t="s">
        <v>85</v>
      </c>
      <c r="B42" s="2" t="s">
        <v>81</v>
      </c>
      <c r="C42" s="2" t="s">
        <v>188</v>
      </c>
      <c r="D42" s="3">
        <v>45454</v>
      </c>
      <c r="E42" s="2" t="s">
        <v>189</v>
      </c>
      <c r="F42" s="2">
        <v>2</v>
      </c>
      <c r="G42" s="2">
        <v>19.989999999999998</v>
      </c>
      <c r="H42" s="2" t="s">
        <v>14</v>
      </c>
      <c r="I42" s="2">
        <v>9567267411</v>
      </c>
      <c r="J42" s="2" t="s">
        <v>27</v>
      </c>
    </row>
    <row r="43" spans="1:10" ht="14.25" customHeight="1" x14ac:dyDescent="0.3">
      <c r="A43" s="2" t="s">
        <v>213</v>
      </c>
      <c r="B43" s="2" t="s">
        <v>191</v>
      </c>
      <c r="C43" s="2" t="s">
        <v>192</v>
      </c>
      <c r="D43" s="3">
        <v>45665</v>
      </c>
      <c r="E43" s="2" t="s">
        <v>193</v>
      </c>
      <c r="F43" s="2">
        <v>2</v>
      </c>
      <c r="G43" s="2">
        <v>29.99</v>
      </c>
      <c r="H43" s="2" t="s">
        <v>38</v>
      </c>
      <c r="I43" s="2" t="s">
        <v>194</v>
      </c>
    </row>
    <row r="44" spans="1:10" ht="14.25" customHeight="1" x14ac:dyDescent="0.3">
      <c r="A44" s="2" t="s">
        <v>64</v>
      </c>
      <c r="B44" s="2" t="s">
        <v>196</v>
      </c>
      <c r="C44" s="2" t="s">
        <v>197</v>
      </c>
      <c r="D44" s="3">
        <v>45756</v>
      </c>
      <c r="E44" s="2" t="s">
        <v>198</v>
      </c>
      <c r="F44" s="2">
        <v>2</v>
      </c>
      <c r="G44" s="2">
        <v>29.99</v>
      </c>
      <c r="H44" s="2" t="s">
        <v>199</v>
      </c>
      <c r="I44" s="2">
        <f>1-722-8298</f>
        <v>-9019</v>
      </c>
      <c r="J44" s="2" t="s">
        <v>73</v>
      </c>
    </row>
    <row r="45" spans="1:10" ht="14.25" customHeight="1" x14ac:dyDescent="0.3">
      <c r="A45" s="2" t="s">
        <v>64</v>
      </c>
      <c r="B45" s="2" t="s">
        <v>45</v>
      </c>
      <c r="C45" s="2" t="s">
        <v>201</v>
      </c>
      <c r="D45" s="3">
        <v>45421</v>
      </c>
      <c r="E45" s="2" t="s">
        <v>136</v>
      </c>
      <c r="F45" s="2">
        <v>1</v>
      </c>
      <c r="G45" s="2">
        <v>149.99</v>
      </c>
      <c r="H45" s="2" t="s">
        <v>53</v>
      </c>
      <c r="I45" s="2">
        <f>1-346-8179</f>
        <v>-8524</v>
      </c>
      <c r="J45" s="2" t="s">
        <v>73</v>
      </c>
    </row>
    <row r="46" spans="1:10" ht="14.25" customHeight="1" x14ac:dyDescent="0.3">
      <c r="A46" s="2" t="s">
        <v>108</v>
      </c>
      <c r="B46" s="2" t="s">
        <v>203</v>
      </c>
      <c r="C46" s="2" t="s">
        <v>204</v>
      </c>
      <c r="D46" s="3">
        <v>45680</v>
      </c>
      <c r="E46" s="2" t="s">
        <v>205</v>
      </c>
      <c r="F46" s="2">
        <v>2</v>
      </c>
      <c r="G46" s="2">
        <v>49.99</v>
      </c>
      <c r="H46" s="2" t="s">
        <v>32</v>
      </c>
    </row>
    <row r="47" spans="1:10" ht="14.25" customHeight="1" x14ac:dyDescent="0.3">
      <c r="A47" s="2" t="s">
        <v>74</v>
      </c>
      <c r="B47" s="2" t="s">
        <v>11</v>
      </c>
      <c r="C47" s="2" t="s">
        <v>207</v>
      </c>
      <c r="D47" s="3">
        <v>45541</v>
      </c>
      <c r="E47" s="2" t="s">
        <v>208</v>
      </c>
      <c r="F47" s="2">
        <v>3</v>
      </c>
      <c r="G47" s="2">
        <v>29.99</v>
      </c>
      <c r="H47" s="2" t="s">
        <v>14</v>
      </c>
      <c r="I47" s="2">
        <f>1-501-4630</f>
        <v>-5130</v>
      </c>
    </row>
    <row r="48" spans="1:10" ht="14.25" customHeight="1" x14ac:dyDescent="0.3">
      <c r="A48" s="2" t="s">
        <v>118</v>
      </c>
      <c r="B48" s="2" t="s">
        <v>191</v>
      </c>
      <c r="D48" s="3">
        <v>45531</v>
      </c>
      <c r="E48" s="2" t="s">
        <v>210</v>
      </c>
      <c r="F48" s="2">
        <v>1</v>
      </c>
      <c r="G48" s="2">
        <v>79.989999999999995</v>
      </c>
      <c r="H48" s="2" t="s">
        <v>211</v>
      </c>
      <c r="I48" s="2" t="s">
        <v>212</v>
      </c>
      <c r="J48" s="2" t="s">
        <v>27</v>
      </c>
    </row>
    <row r="49" spans="1:10" ht="14.25" customHeight="1" x14ac:dyDescent="0.3">
      <c r="A49" s="2" t="s">
        <v>122</v>
      </c>
      <c r="B49" s="2" t="s">
        <v>214</v>
      </c>
      <c r="C49" s="2" t="s">
        <v>215</v>
      </c>
      <c r="D49" s="3">
        <v>45710</v>
      </c>
      <c r="E49" s="2" t="s">
        <v>216</v>
      </c>
      <c r="F49" s="2">
        <v>1</v>
      </c>
      <c r="G49" s="2">
        <v>29.99</v>
      </c>
      <c r="H49" s="2" t="s">
        <v>25</v>
      </c>
      <c r="I49" s="2" t="s">
        <v>217</v>
      </c>
      <c r="J49" s="2" t="s">
        <v>79</v>
      </c>
    </row>
    <row r="50" spans="1:10" ht="14.25" customHeight="1" x14ac:dyDescent="0.3">
      <c r="A50" s="2" t="s">
        <v>166</v>
      </c>
      <c r="B50" s="2" t="s">
        <v>214</v>
      </c>
      <c r="C50" s="2" t="s">
        <v>219</v>
      </c>
      <c r="D50" s="3">
        <v>45607</v>
      </c>
      <c r="E50" s="2" t="s">
        <v>220</v>
      </c>
      <c r="F50" s="2">
        <v>5</v>
      </c>
      <c r="G50" s="2">
        <v>29.99</v>
      </c>
      <c r="H50" s="2" t="s">
        <v>14</v>
      </c>
      <c r="I50" s="2" t="s">
        <v>221</v>
      </c>
      <c r="J50" s="2" t="s">
        <v>16</v>
      </c>
    </row>
    <row r="51" spans="1:10" ht="14.25" customHeight="1" x14ac:dyDescent="0.3"/>
    <row r="52" spans="1:10" ht="14.25" customHeight="1" x14ac:dyDescent="0.3"/>
    <row r="53" spans="1:10" ht="14.25" customHeight="1" x14ac:dyDescent="0.3"/>
    <row r="54" spans="1:10" ht="14.25" customHeight="1" x14ac:dyDescent="0.3"/>
    <row r="55" spans="1:10" ht="14.25" customHeight="1" x14ac:dyDescent="0.3"/>
    <row r="56" spans="1:10" ht="14.25" customHeight="1" x14ac:dyDescent="0.3"/>
    <row r="57" spans="1:10" ht="14.25" customHeight="1" x14ac:dyDescent="0.3"/>
    <row r="58" spans="1:10" ht="14.25" customHeight="1" x14ac:dyDescent="0.3"/>
    <row r="59" spans="1:10" ht="14.25" customHeight="1" x14ac:dyDescent="0.3"/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A1001">
    <sortCondition descending="1" ref="A1:A1001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xSplit="4" topLeftCell="E1" activePane="topRight" state="frozen"/>
      <selection pane="topRight" activeCell="E12" sqref="E12"/>
    </sheetView>
  </sheetViews>
  <sheetFormatPr defaultColWidth="14.44140625" defaultRowHeight="15" customHeight="1" x14ac:dyDescent="0.3"/>
  <cols>
    <col min="1" max="1" width="17" customWidth="1"/>
    <col min="2" max="2" width="27" customWidth="1"/>
    <col min="3" max="3" width="30.6640625" customWidth="1"/>
    <col min="4" max="4" width="24.44140625" customWidth="1"/>
    <col min="5" max="5" width="33.33203125" customWidth="1"/>
    <col min="6" max="8" width="8.6640625" customWidth="1"/>
    <col min="9" max="9" width="20.109375" customWidth="1"/>
    <col min="10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166</v>
      </c>
      <c r="B2" s="2" t="s">
        <v>11</v>
      </c>
      <c r="C2" s="2" t="s">
        <v>12</v>
      </c>
      <c r="D2" s="3">
        <v>45685</v>
      </c>
      <c r="E2" s="2" t="s">
        <v>13</v>
      </c>
      <c r="F2" s="2">
        <v>1</v>
      </c>
      <c r="G2" s="2">
        <v>119.99</v>
      </c>
      <c r="H2" s="2" t="s">
        <v>14</v>
      </c>
      <c r="I2" s="2" t="s">
        <v>15</v>
      </c>
      <c r="J2" s="2" t="s">
        <v>16</v>
      </c>
    </row>
    <row r="3" spans="1:26" ht="14.25" customHeight="1" x14ac:dyDescent="0.3">
      <c r="A3" s="2" t="s">
        <v>122</v>
      </c>
      <c r="B3" s="2" t="s">
        <v>18</v>
      </c>
      <c r="C3" s="2" t="s">
        <v>19</v>
      </c>
      <c r="D3" s="3">
        <v>45518</v>
      </c>
      <c r="E3" s="2" t="s">
        <v>20</v>
      </c>
      <c r="F3" s="2">
        <v>3</v>
      </c>
      <c r="G3" s="2">
        <v>119.99</v>
      </c>
      <c r="H3" s="2" t="s">
        <v>21</v>
      </c>
      <c r="I3" s="2">
        <f>1-854-5833</f>
        <v>-6686</v>
      </c>
      <c r="J3" s="2" t="s">
        <v>16</v>
      </c>
    </row>
    <row r="4" spans="1:26" ht="14.25" customHeight="1" x14ac:dyDescent="0.3">
      <c r="A4" s="2" t="s">
        <v>118</v>
      </c>
      <c r="B4" s="2" t="s">
        <v>23</v>
      </c>
      <c r="D4" s="3">
        <v>45791</v>
      </c>
      <c r="E4" s="2" t="s">
        <v>24</v>
      </c>
      <c r="F4" s="2">
        <v>1</v>
      </c>
      <c r="G4" s="2">
        <v>149.99</v>
      </c>
      <c r="H4" s="2" t="s">
        <v>25</v>
      </c>
      <c r="I4" s="2" t="s">
        <v>26</v>
      </c>
      <c r="J4" s="2" t="s">
        <v>27</v>
      </c>
    </row>
    <row r="5" spans="1:26" ht="14.25" customHeight="1" x14ac:dyDescent="0.3">
      <c r="A5" s="2" t="s">
        <v>74</v>
      </c>
      <c r="B5" s="2" t="s">
        <v>29</v>
      </c>
      <c r="C5" s="2" t="s">
        <v>30</v>
      </c>
      <c r="D5" s="3">
        <v>45573</v>
      </c>
      <c r="E5" s="2" t="s">
        <v>31</v>
      </c>
      <c r="F5" s="2">
        <v>4</v>
      </c>
      <c r="G5" s="2">
        <v>49.99</v>
      </c>
      <c r="H5" s="2" t="s">
        <v>32</v>
      </c>
      <c r="I5" s="2" t="s">
        <v>33</v>
      </c>
    </row>
    <row r="6" spans="1:26" ht="14.25" customHeight="1" x14ac:dyDescent="0.3">
      <c r="A6" s="2" t="s">
        <v>108</v>
      </c>
      <c r="B6" s="2" t="s">
        <v>35</v>
      </c>
      <c r="C6" s="2" t="s">
        <v>36</v>
      </c>
      <c r="D6" s="3">
        <v>45647</v>
      </c>
      <c r="E6" s="2" t="s">
        <v>37</v>
      </c>
      <c r="F6" s="2">
        <v>1</v>
      </c>
      <c r="G6" s="2">
        <v>49.99</v>
      </c>
      <c r="H6" s="2" t="s">
        <v>38</v>
      </c>
      <c r="I6" s="2">
        <v>6377058351</v>
      </c>
      <c r="J6" s="2" t="s">
        <v>16</v>
      </c>
    </row>
    <row r="7" spans="1:26" ht="14.25" customHeight="1" x14ac:dyDescent="0.3">
      <c r="A7" s="2" t="s">
        <v>64</v>
      </c>
      <c r="B7" s="2" t="s">
        <v>40</v>
      </c>
      <c r="C7" s="2" t="s">
        <v>41</v>
      </c>
      <c r="D7" s="3">
        <v>45770</v>
      </c>
      <c r="E7" s="2" t="s">
        <v>42</v>
      </c>
      <c r="F7" s="2">
        <v>2</v>
      </c>
      <c r="G7" s="2">
        <v>149.99</v>
      </c>
      <c r="H7" s="2" t="s">
        <v>38</v>
      </c>
      <c r="I7" s="2">
        <v>9110335359</v>
      </c>
      <c r="J7" s="2" t="s">
        <v>43</v>
      </c>
    </row>
    <row r="8" spans="1:26" ht="14.25" customHeight="1" x14ac:dyDescent="0.3">
      <c r="A8" s="2" t="s">
        <v>213</v>
      </c>
      <c r="B8" s="2" t="s">
        <v>45</v>
      </c>
      <c r="C8" s="2" t="s">
        <v>46</v>
      </c>
      <c r="D8" s="3">
        <v>45301</v>
      </c>
      <c r="E8" s="2" t="s">
        <v>47</v>
      </c>
      <c r="F8" s="2">
        <v>3</v>
      </c>
      <c r="G8" s="2">
        <v>39.99</v>
      </c>
      <c r="H8" s="2" t="s">
        <v>32</v>
      </c>
      <c r="I8" s="2" t="s">
        <v>48</v>
      </c>
      <c r="J8" s="2" t="s">
        <v>27</v>
      </c>
    </row>
    <row r="9" spans="1:26" ht="14.25" customHeight="1" x14ac:dyDescent="0.3">
      <c r="A9" s="2" t="s">
        <v>85</v>
      </c>
      <c r="B9" s="2" t="s">
        <v>50</v>
      </c>
      <c r="C9" s="2" t="s">
        <v>51</v>
      </c>
      <c r="D9" s="3">
        <v>45586</v>
      </c>
      <c r="E9" s="2" t="s">
        <v>52</v>
      </c>
      <c r="F9" s="2">
        <v>1</v>
      </c>
      <c r="G9" s="2">
        <v>39.99</v>
      </c>
      <c r="H9" s="2" t="s">
        <v>53</v>
      </c>
      <c r="I9" s="2">
        <f>1-832-2121</f>
        <v>-2952</v>
      </c>
      <c r="J9" s="2" t="s">
        <v>54</v>
      </c>
    </row>
    <row r="10" spans="1:26" ht="14.25" customHeight="1" x14ac:dyDescent="0.3">
      <c r="A10" s="2" t="s">
        <v>187</v>
      </c>
      <c r="B10" s="2" t="s">
        <v>56</v>
      </c>
      <c r="C10" s="2" t="s">
        <v>57</v>
      </c>
      <c r="D10" s="3">
        <v>45627</v>
      </c>
      <c r="E10" s="2" t="s">
        <v>58</v>
      </c>
      <c r="G10" s="2">
        <v>19.989999999999998</v>
      </c>
      <c r="H10" s="2" t="s">
        <v>53</v>
      </c>
      <c r="I10" s="2">
        <v>7066312714</v>
      </c>
      <c r="J10" s="2" t="s">
        <v>43</v>
      </c>
    </row>
    <row r="11" spans="1:26" ht="14.25" customHeight="1" x14ac:dyDescent="0.3">
      <c r="A11" s="2" t="s">
        <v>39</v>
      </c>
      <c r="B11" s="2" t="s">
        <v>60</v>
      </c>
      <c r="C11" s="2" t="s">
        <v>61</v>
      </c>
      <c r="D11" s="3">
        <v>45755</v>
      </c>
      <c r="E11" s="2" t="s">
        <v>62</v>
      </c>
      <c r="F11" s="2">
        <v>5</v>
      </c>
      <c r="G11" s="2">
        <v>149.99</v>
      </c>
      <c r="H11" s="2" t="s">
        <v>25</v>
      </c>
      <c r="I11" s="2" t="s">
        <v>63</v>
      </c>
      <c r="J11" s="2" t="s">
        <v>27</v>
      </c>
    </row>
    <row r="12" spans="1:26" ht="14.25" customHeight="1" x14ac:dyDescent="0.3">
      <c r="A12" s="2" t="s">
        <v>90</v>
      </c>
      <c r="B12" s="2" t="s">
        <v>40</v>
      </c>
      <c r="C12" s="2" t="s">
        <v>65</v>
      </c>
      <c r="D12" s="3">
        <v>45714</v>
      </c>
      <c r="E12" s="2" t="s">
        <v>66</v>
      </c>
      <c r="F12" s="2">
        <v>5</v>
      </c>
      <c r="G12" s="2">
        <v>15.99</v>
      </c>
      <c r="H12" s="2" t="s">
        <v>32</v>
      </c>
      <c r="I12" s="2" t="s">
        <v>67</v>
      </c>
      <c r="J12" s="2" t="s">
        <v>43</v>
      </c>
    </row>
    <row r="13" spans="1:26" ht="14.25" customHeight="1" x14ac:dyDescent="0.3">
      <c r="A13" s="2" t="s">
        <v>126</v>
      </c>
      <c r="B13" s="2" t="s">
        <v>69</v>
      </c>
      <c r="C13" s="2" t="s">
        <v>70</v>
      </c>
      <c r="D13" s="3">
        <v>45373</v>
      </c>
      <c r="E13" s="2" t="s">
        <v>71</v>
      </c>
      <c r="F13" s="2">
        <v>5</v>
      </c>
      <c r="G13" s="2">
        <v>119.99</v>
      </c>
      <c r="H13" s="2" t="s">
        <v>72</v>
      </c>
      <c r="I13" s="2">
        <v>7926728669</v>
      </c>
      <c r="J13" s="2" t="s">
        <v>73</v>
      </c>
    </row>
    <row r="14" spans="1:26" ht="14.25" customHeight="1" x14ac:dyDescent="0.3">
      <c r="A14" s="2" t="s">
        <v>206</v>
      </c>
      <c r="B14" s="2" t="s">
        <v>75</v>
      </c>
      <c r="C14" s="2" t="s">
        <v>76</v>
      </c>
      <c r="D14" s="3">
        <v>45833</v>
      </c>
      <c r="E14" s="2" t="s">
        <v>77</v>
      </c>
      <c r="F14" s="2">
        <v>1</v>
      </c>
      <c r="G14" s="2">
        <v>19.989999999999998</v>
      </c>
      <c r="H14" s="2" t="s">
        <v>32</v>
      </c>
      <c r="I14" s="2" t="s">
        <v>78</v>
      </c>
      <c r="J14" s="2" t="s">
        <v>79</v>
      </c>
    </row>
    <row r="15" spans="1:26" ht="14.25" customHeight="1" x14ac:dyDescent="0.3">
      <c r="A15" s="2" t="s">
        <v>178</v>
      </c>
      <c r="B15" s="2" t="s">
        <v>81</v>
      </c>
      <c r="C15" s="2" t="s">
        <v>82</v>
      </c>
      <c r="D15" s="3">
        <v>45794</v>
      </c>
      <c r="E15" s="2" t="s">
        <v>83</v>
      </c>
      <c r="F15" s="2">
        <v>3</v>
      </c>
      <c r="G15" s="2">
        <v>15.99</v>
      </c>
      <c r="H15" s="2" t="s">
        <v>14</v>
      </c>
      <c r="I15" s="2">
        <v>8946766309</v>
      </c>
      <c r="J15" s="2" t="s">
        <v>84</v>
      </c>
    </row>
    <row r="16" spans="1:26" ht="14.25" customHeight="1" x14ac:dyDescent="0.3">
      <c r="A16" s="2" t="s">
        <v>174</v>
      </c>
      <c r="B16" s="2" t="s">
        <v>86</v>
      </c>
      <c r="C16" s="2" t="s">
        <v>87</v>
      </c>
      <c r="D16" s="3">
        <v>45317</v>
      </c>
      <c r="E16" s="2" t="s">
        <v>88</v>
      </c>
      <c r="F16" s="2">
        <v>3</v>
      </c>
      <c r="G16" s="2">
        <v>79.989999999999995</v>
      </c>
      <c r="H16" s="2" t="s">
        <v>14</v>
      </c>
      <c r="I16" s="2" t="s">
        <v>89</v>
      </c>
      <c r="J16" s="2" t="s">
        <v>43</v>
      </c>
    </row>
    <row r="17" spans="1:10" ht="14.25" customHeight="1" x14ac:dyDescent="0.3">
      <c r="A17" s="2" t="s">
        <v>49</v>
      </c>
      <c r="B17" s="2" t="s">
        <v>91</v>
      </c>
      <c r="D17" s="3">
        <v>45576</v>
      </c>
      <c r="E17" s="2" t="s">
        <v>92</v>
      </c>
      <c r="G17" s="2">
        <v>15.99</v>
      </c>
      <c r="H17" s="2" t="s">
        <v>72</v>
      </c>
      <c r="I17" s="2" t="s">
        <v>93</v>
      </c>
    </row>
    <row r="18" spans="1:10" ht="14.25" customHeight="1" x14ac:dyDescent="0.3">
      <c r="A18" s="2" t="s">
        <v>28</v>
      </c>
      <c r="B18" s="2" t="s">
        <v>95</v>
      </c>
      <c r="C18" s="2" t="s">
        <v>96</v>
      </c>
      <c r="D18" s="3">
        <v>45654</v>
      </c>
      <c r="E18" s="2" t="s">
        <v>97</v>
      </c>
      <c r="F18" s="2">
        <v>2</v>
      </c>
      <c r="G18" s="2">
        <v>39.99</v>
      </c>
      <c r="H18" s="2" t="s">
        <v>53</v>
      </c>
      <c r="I18" s="2" t="s">
        <v>98</v>
      </c>
      <c r="J18" s="2" t="s">
        <v>79</v>
      </c>
    </row>
    <row r="19" spans="1:10" ht="14.25" customHeight="1" x14ac:dyDescent="0.3">
      <c r="A19" s="2" t="s">
        <v>138</v>
      </c>
      <c r="B19" s="2" t="s">
        <v>100</v>
      </c>
      <c r="C19" s="2" t="s">
        <v>101</v>
      </c>
      <c r="D19" s="3">
        <v>45778</v>
      </c>
      <c r="E19" s="2" t="s">
        <v>102</v>
      </c>
      <c r="F19" s="2">
        <v>1</v>
      </c>
      <c r="G19" s="2">
        <v>79.989999999999995</v>
      </c>
      <c r="H19" s="2" t="s">
        <v>38</v>
      </c>
      <c r="I19" s="2">
        <v>9044014286</v>
      </c>
      <c r="J19" s="2" t="s">
        <v>79</v>
      </c>
    </row>
    <row r="20" spans="1:10" ht="14.25" customHeight="1" x14ac:dyDescent="0.3">
      <c r="A20" s="2" t="s">
        <v>157</v>
      </c>
      <c r="B20" s="2" t="s">
        <v>104</v>
      </c>
      <c r="C20" s="2" t="s">
        <v>105</v>
      </c>
      <c r="D20" s="3">
        <v>45461</v>
      </c>
      <c r="E20" s="2" t="s">
        <v>106</v>
      </c>
      <c r="F20" s="2">
        <v>1</v>
      </c>
      <c r="G20" s="2">
        <v>29.99</v>
      </c>
      <c r="H20" s="2" t="s">
        <v>38</v>
      </c>
      <c r="I20" s="2" t="s">
        <v>107</v>
      </c>
    </row>
    <row r="21" spans="1:10" ht="14.25" customHeight="1" x14ac:dyDescent="0.3">
      <c r="A21" s="2" t="s">
        <v>80</v>
      </c>
      <c r="B21" s="2" t="s">
        <v>95</v>
      </c>
      <c r="C21" s="2" t="s">
        <v>109</v>
      </c>
      <c r="D21" s="3">
        <v>45344</v>
      </c>
      <c r="E21" s="2" t="s">
        <v>110</v>
      </c>
      <c r="G21" s="2">
        <v>79.989999999999995</v>
      </c>
      <c r="H21" s="2" t="s">
        <v>38</v>
      </c>
      <c r="I21" s="2" t="s">
        <v>111</v>
      </c>
      <c r="J21" s="2" t="s">
        <v>79</v>
      </c>
    </row>
    <row r="22" spans="1:10" ht="14.25" customHeight="1" x14ac:dyDescent="0.3">
      <c r="A22" s="2" t="s">
        <v>182</v>
      </c>
      <c r="B22" s="2" t="s">
        <v>113</v>
      </c>
      <c r="C22" s="2" t="s">
        <v>114</v>
      </c>
      <c r="D22" s="3">
        <v>45464</v>
      </c>
      <c r="E22" s="2" t="s">
        <v>115</v>
      </c>
      <c r="F22" s="2">
        <v>4</v>
      </c>
      <c r="G22" s="2">
        <v>49.99</v>
      </c>
      <c r="H22" s="2" t="s">
        <v>116</v>
      </c>
      <c r="I22" s="2" t="s">
        <v>117</v>
      </c>
      <c r="J22" s="2" t="s">
        <v>16</v>
      </c>
    </row>
    <row r="23" spans="1:10" ht="14.25" customHeight="1" x14ac:dyDescent="0.3">
      <c r="A23" s="2" t="s">
        <v>112</v>
      </c>
      <c r="B23" s="2" t="s">
        <v>119</v>
      </c>
      <c r="D23" s="3">
        <v>45362</v>
      </c>
      <c r="E23" s="2" t="s">
        <v>120</v>
      </c>
      <c r="F23" s="2">
        <v>2</v>
      </c>
      <c r="G23" s="2">
        <v>15.99</v>
      </c>
      <c r="H23" s="2" t="s">
        <v>21</v>
      </c>
      <c r="I23" s="2" t="s">
        <v>121</v>
      </c>
      <c r="J23" s="2" t="s">
        <v>43</v>
      </c>
    </row>
    <row r="24" spans="1:10" ht="14.25" customHeight="1" x14ac:dyDescent="0.3">
      <c r="A24" s="2" t="s">
        <v>153</v>
      </c>
      <c r="B24" s="2" t="s">
        <v>123</v>
      </c>
      <c r="C24" s="2" t="s">
        <v>124</v>
      </c>
      <c r="D24" s="3">
        <v>45725</v>
      </c>
      <c r="E24" s="2" t="s">
        <v>125</v>
      </c>
      <c r="F24" s="2">
        <v>1</v>
      </c>
      <c r="G24" s="2">
        <v>49.99</v>
      </c>
      <c r="H24" s="2" t="s">
        <v>38</v>
      </c>
      <c r="I24" s="2">
        <f>1-874-8062</f>
        <v>-8935</v>
      </c>
      <c r="J24" s="2" t="s">
        <v>16</v>
      </c>
    </row>
    <row r="25" spans="1:10" ht="14.25" customHeight="1" x14ac:dyDescent="0.3">
      <c r="A25" s="2" t="s">
        <v>209</v>
      </c>
      <c r="B25" s="2" t="s">
        <v>127</v>
      </c>
      <c r="C25" s="2" t="s">
        <v>128</v>
      </c>
      <c r="D25" s="3">
        <v>45496</v>
      </c>
      <c r="E25" s="2" t="s">
        <v>129</v>
      </c>
      <c r="F25" s="2">
        <v>5</v>
      </c>
      <c r="G25" s="2">
        <v>15.99</v>
      </c>
      <c r="H25" s="2" t="s">
        <v>32</v>
      </c>
      <c r="J25" s="2" t="s">
        <v>54</v>
      </c>
    </row>
    <row r="26" spans="1:10" ht="14.25" customHeight="1" x14ac:dyDescent="0.3">
      <c r="A26" s="2" t="s">
        <v>162</v>
      </c>
      <c r="B26" s="2" t="s">
        <v>100</v>
      </c>
      <c r="C26" s="2" t="s">
        <v>131</v>
      </c>
      <c r="D26" s="3">
        <v>45871</v>
      </c>
      <c r="E26" s="2" t="s">
        <v>132</v>
      </c>
      <c r="F26" s="2">
        <v>3</v>
      </c>
      <c r="G26" s="2">
        <v>19.989999999999998</v>
      </c>
      <c r="H26" s="2" t="s">
        <v>14</v>
      </c>
      <c r="I26" s="2" t="s">
        <v>133</v>
      </c>
      <c r="J26" s="2" t="s">
        <v>43</v>
      </c>
    </row>
    <row r="27" spans="1:10" ht="14.25" customHeight="1" x14ac:dyDescent="0.3">
      <c r="A27" s="2" t="s">
        <v>68</v>
      </c>
      <c r="B27" s="2" t="s">
        <v>95</v>
      </c>
      <c r="C27" s="2" t="s">
        <v>135</v>
      </c>
      <c r="D27" s="3">
        <v>45856</v>
      </c>
      <c r="E27" s="2" t="s">
        <v>136</v>
      </c>
      <c r="F27" s="2">
        <v>2</v>
      </c>
      <c r="G27" s="2">
        <v>149.99</v>
      </c>
      <c r="H27" s="2" t="s">
        <v>25</v>
      </c>
      <c r="I27" s="2" t="s">
        <v>137</v>
      </c>
      <c r="J27" s="2" t="s">
        <v>54</v>
      </c>
    </row>
    <row r="28" spans="1:10" ht="14.25" customHeight="1" x14ac:dyDescent="0.3">
      <c r="A28" s="2" t="s">
        <v>200</v>
      </c>
      <c r="B28" s="2" t="s">
        <v>123</v>
      </c>
      <c r="C28" s="2" t="s">
        <v>139</v>
      </c>
      <c r="D28" s="3">
        <v>45743</v>
      </c>
      <c r="E28" s="2" t="s">
        <v>140</v>
      </c>
      <c r="F28" s="2">
        <v>4</v>
      </c>
      <c r="G28" s="2">
        <v>39.99</v>
      </c>
      <c r="H28" s="2" t="s">
        <v>32</v>
      </c>
      <c r="I28" s="2" t="s">
        <v>141</v>
      </c>
      <c r="J28" s="2" t="s">
        <v>79</v>
      </c>
    </row>
    <row r="29" spans="1:10" ht="14.25" customHeight="1" x14ac:dyDescent="0.3">
      <c r="A29" s="2" t="s">
        <v>170</v>
      </c>
      <c r="B29" s="2" t="s">
        <v>143</v>
      </c>
      <c r="C29" s="2" t="s">
        <v>144</v>
      </c>
      <c r="D29" s="3">
        <v>45368</v>
      </c>
      <c r="E29" s="2" t="s">
        <v>145</v>
      </c>
      <c r="F29" s="2">
        <v>1</v>
      </c>
      <c r="G29" s="2">
        <v>79.989999999999995</v>
      </c>
      <c r="H29" s="2" t="s">
        <v>32</v>
      </c>
      <c r="I29" s="2">
        <v>7164344392</v>
      </c>
      <c r="J29" s="2" t="s">
        <v>73</v>
      </c>
    </row>
    <row r="30" spans="1:10" ht="14.25" customHeight="1" x14ac:dyDescent="0.3">
      <c r="A30" s="2" t="s">
        <v>34</v>
      </c>
      <c r="B30" s="2" t="s">
        <v>113</v>
      </c>
      <c r="C30" s="2" t="s">
        <v>147</v>
      </c>
      <c r="D30" s="3">
        <v>45731</v>
      </c>
      <c r="E30" s="2" t="s">
        <v>148</v>
      </c>
      <c r="F30" s="2">
        <v>3</v>
      </c>
      <c r="G30" s="2">
        <v>29.99</v>
      </c>
      <c r="H30" s="2" t="s">
        <v>14</v>
      </c>
      <c r="I30" s="2">
        <f>1-803-7291</f>
        <v>-8093</v>
      </c>
      <c r="J30" s="2" t="s">
        <v>16</v>
      </c>
    </row>
    <row r="31" spans="1:10" ht="14.25" customHeight="1" x14ac:dyDescent="0.3">
      <c r="A31" s="2" t="s">
        <v>134</v>
      </c>
      <c r="B31" s="2" t="s">
        <v>150</v>
      </c>
      <c r="C31" s="2" t="s">
        <v>151</v>
      </c>
      <c r="D31" s="3">
        <v>45356</v>
      </c>
      <c r="E31" s="2" t="s">
        <v>110</v>
      </c>
      <c r="F31" s="2">
        <v>2</v>
      </c>
      <c r="G31" s="2">
        <v>149.99</v>
      </c>
      <c r="H31" s="2" t="s">
        <v>14</v>
      </c>
      <c r="I31" s="2" t="s">
        <v>152</v>
      </c>
      <c r="J31" s="2" t="s">
        <v>43</v>
      </c>
    </row>
    <row r="32" spans="1:10" ht="14.25" customHeight="1" x14ac:dyDescent="0.3">
      <c r="A32" s="2" t="s">
        <v>55</v>
      </c>
      <c r="B32" s="2" t="s">
        <v>123</v>
      </c>
      <c r="C32" s="2" t="s">
        <v>154</v>
      </c>
      <c r="D32" s="3">
        <v>45355</v>
      </c>
      <c r="E32" s="2" t="s">
        <v>155</v>
      </c>
      <c r="F32" s="2">
        <v>2</v>
      </c>
      <c r="G32" s="2">
        <v>19.989999999999998</v>
      </c>
      <c r="H32" s="2" t="s">
        <v>14</v>
      </c>
      <c r="I32" s="2" t="s">
        <v>156</v>
      </c>
      <c r="J32" s="2" t="s">
        <v>43</v>
      </c>
    </row>
    <row r="33" spans="1:10" ht="14.25" customHeight="1" x14ac:dyDescent="0.3">
      <c r="A33" s="2" t="s">
        <v>99</v>
      </c>
      <c r="B33" s="2" t="s">
        <v>158</v>
      </c>
      <c r="C33" s="2" t="s">
        <v>159</v>
      </c>
      <c r="D33" s="3">
        <v>45338</v>
      </c>
      <c r="E33" s="2" t="s">
        <v>160</v>
      </c>
      <c r="F33" s="2">
        <v>2</v>
      </c>
      <c r="G33" s="2">
        <v>15.99</v>
      </c>
      <c r="H33" s="2" t="s">
        <v>32</v>
      </c>
      <c r="I33" s="2" t="s">
        <v>161</v>
      </c>
      <c r="J33" s="2" t="s">
        <v>43</v>
      </c>
    </row>
    <row r="34" spans="1:10" ht="14.25" customHeight="1" x14ac:dyDescent="0.3">
      <c r="A34" s="2" t="s">
        <v>17</v>
      </c>
      <c r="B34" s="2" t="s">
        <v>95</v>
      </c>
      <c r="C34" s="2" t="s">
        <v>163</v>
      </c>
      <c r="D34" s="3">
        <v>45697</v>
      </c>
      <c r="E34" s="2" t="s">
        <v>164</v>
      </c>
      <c r="F34" s="2">
        <v>1</v>
      </c>
      <c r="G34" s="2">
        <v>19.989999999999998</v>
      </c>
      <c r="H34" s="2" t="s">
        <v>14</v>
      </c>
      <c r="I34" s="2" t="s">
        <v>165</v>
      </c>
      <c r="J34" s="2" t="s">
        <v>73</v>
      </c>
    </row>
    <row r="35" spans="1:10" ht="14.25" customHeight="1" x14ac:dyDescent="0.3">
      <c r="A35" s="2" t="s">
        <v>195</v>
      </c>
      <c r="B35" s="2" t="s">
        <v>40</v>
      </c>
      <c r="C35" s="2" t="s">
        <v>167</v>
      </c>
      <c r="D35" s="3">
        <v>45506</v>
      </c>
      <c r="E35" s="2" t="s">
        <v>168</v>
      </c>
      <c r="F35" s="2">
        <v>3</v>
      </c>
      <c r="G35" s="2">
        <v>29.99</v>
      </c>
      <c r="H35" s="2" t="s">
        <v>32</v>
      </c>
      <c r="I35" s="2" t="s">
        <v>169</v>
      </c>
      <c r="J35" s="2" t="s">
        <v>16</v>
      </c>
    </row>
    <row r="36" spans="1:10" ht="14.25" customHeight="1" x14ac:dyDescent="0.3">
      <c r="A36" s="2" t="s">
        <v>218</v>
      </c>
      <c r="B36" s="2" t="s">
        <v>45</v>
      </c>
      <c r="C36" s="2" t="s">
        <v>171</v>
      </c>
      <c r="D36" s="3">
        <v>45482</v>
      </c>
      <c r="E36" s="2" t="s">
        <v>172</v>
      </c>
      <c r="F36" s="2">
        <v>3</v>
      </c>
      <c r="G36" s="2">
        <v>79.989999999999995</v>
      </c>
      <c r="H36" s="2" t="s">
        <v>32</v>
      </c>
      <c r="I36" s="2" t="s">
        <v>173</v>
      </c>
      <c r="J36" s="2" t="s">
        <v>73</v>
      </c>
    </row>
    <row r="37" spans="1:10" ht="14.25" customHeight="1" x14ac:dyDescent="0.3">
      <c r="A37" s="2" t="s">
        <v>22</v>
      </c>
      <c r="B37" s="2" t="s">
        <v>175</v>
      </c>
      <c r="C37" s="2" t="s">
        <v>176</v>
      </c>
      <c r="D37" s="3">
        <v>45855</v>
      </c>
      <c r="E37" s="2" t="s">
        <v>177</v>
      </c>
      <c r="F37" s="2">
        <v>5</v>
      </c>
      <c r="G37" s="2">
        <v>49.99</v>
      </c>
      <c r="H37" s="2" t="s">
        <v>38</v>
      </c>
      <c r="I37" s="2">
        <v>7237886015</v>
      </c>
    </row>
    <row r="38" spans="1:10" ht="14.25" customHeight="1" x14ac:dyDescent="0.3">
      <c r="A38" s="2" t="s">
        <v>94</v>
      </c>
      <c r="B38" s="2" t="s">
        <v>29</v>
      </c>
      <c r="C38" s="2" t="s">
        <v>179</v>
      </c>
      <c r="D38" s="3">
        <v>45603</v>
      </c>
      <c r="E38" s="2" t="s">
        <v>180</v>
      </c>
      <c r="F38" s="2">
        <v>3</v>
      </c>
      <c r="G38" s="2">
        <v>29.99</v>
      </c>
      <c r="H38" s="2" t="s">
        <v>72</v>
      </c>
      <c r="I38" s="2" t="s">
        <v>181</v>
      </c>
      <c r="J38" s="2" t="s">
        <v>27</v>
      </c>
    </row>
    <row r="39" spans="1:10" ht="14.25" customHeight="1" x14ac:dyDescent="0.3">
      <c r="A39" s="2" t="s">
        <v>202</v>
      </c>
      <c r="B39" s="2" t="s">
        <v>75</v>
      </c>
      <c r="C39" s="2" t="s">
        <v>183</v>
      </c>
      <c r="D39" s="3">
        <v>45586</v>
      </c>
      <c r="E39" s="2" t="s">
        <v>120</v>
      </c>
      <c r="F39" s="2">
        <v>4</v>
      </c>
      <c r="G39" s="2">
        <v>119.99</v>
      </c>
      <c r="H39" s="2" t="s">
        <v>21</v>
      </c>
      <c r="I39" s="2">
        <v>9728427375</v>
      </c>
      <c r="J39" s="2" t="s">
        <v>73</v>
      </c>
    </row>
    <row r="40" spans="1:10" ht="14.25" customHeight="1" x14ac:dyDescent="0.3">
      <c r="A40" s="2" t="s">
        <v>142</v>
      </c>
      <c r="B40" s="2" t="s">
        <v>86</v>
      </c>
      <c r="C40" s="2" t="s">
        <v>185</v>
      </c>
      <c r="D40" s="3">
        <v>45575</v>
      </c>
      <c r="E40" s="2" t="s">
        <v>186</v>
      </c>
      <c r="F40" s="2">
        <v>2</v>
      </c>
      <c r="G40" s="2">
        <v>39.99</v>
      </c>
      <c r="H40" s="2" t="s">
        <v>38</v>
      </c>
      <c r="I40" s="2">
        <f>1-338-7743</f>
        <v>-8080</v>
      </c>
      <c r="J40" s="2" t="s">
        <v>73</v>
      </c>
    </row>
    <row r="41" spans="1:10" ht="14.25" customHeight="1" x14ac:dyDescent="0.3">
      <c r="A41" s="2" t="s">
        <v>10</v>
      </c>
      <c r="B41" s="2" t="s">
        <v>81</v>
      </c>
      <c r="C41" s="2" t="s">
        <v>188</v>
      </c>
      <c r="D41" s="3">
        <v>45454</v>
      </c>
      <c r="E41" s="2" t="s">
        <v>189</v>
      </c>
      <c r="F41" s="2">
        <v>2</v>
      </c>
      <c r="G41" s="2">
        <v>19.989999999999998</v>
      </c>
      <c r="H41" s="2" t="s">
        <v>14</v>
      </c>
      <c r="I41" s="2">
        <v>9567267411</v>
      </c>
      <c r="J41" s="2" t="s">
        <v>27</v>
      </c>
    </row>
    <row r="42" spans="1:10" ht="14.25" customHeight="1" x14ac:dyDescent="0.3">
      <c r="A42" s="2" t="s">
        <v>149</v>
      </c>
      <c r="B42" s="2" t="s">
        <v>191</v>
      </c>
      <c r="C42" s="2" t="s">
        <v>192</v>
      </c>
      <c r="D42" s="3">
        <v>45665</v>
      </c>
      <c r="E42" s="2" t="s">
        <v>193</v>
      </c>
      <c r="F42" s="2">
        <v>2</v>
      </c>
      <c r="G42" s="2">
        <v>29.99</v>
      </c>
      <c r="H42" s="2" t="s">
        <v>38</v>
      </c>
      <c r="I42" s="2" t="s">
        <v>194</v>
      </c>
    </row>
    <row r="43" spans="1:10" ht="14.25" customHeight="1" x14ac:dyDescent="0.3">
      <c r="A43" s="2" t="s">
        <v>190</v>
      </c>
      <c r="B43" s="2" t="s">
        <v>196</v>
      </c>
      <c r="C43" s="2" t="s">
        <v>197</v>
      </c>
      <c r="D43" s="3">
        <v>45756</v>
      </c>
      <c r="E43" s="2" t="s">
        <v>198</v>
      </c>
      <c r="F43" s="2">
        <v>2</v>
      </c>
      <c r="G43" s="2">
        <v>29.99</v>
      </c>
      <c r="H43" s="2" t="s">
        <v>199</v>
      </c>
      <c r="I43" s="2">
        <f>1-722-8298</f>
        <v>-9019</v>
      </c>
      <c r="J43" s="2" t="s">
        <v>73</v>
      </c>
    </row>
    <row r="44" spans="1:10" ht="14.25" customHeight="1" x14ac:dyDescent="0.3">
      <c r="A44" s="2" t="s">
        <v>59</v>
      </c>
      <c r="B44" s="2" t="s">
        <v>45</v>
      </c>
      <c r="C44" s="2" t="s">
        <v>201</v>
      </c>
      <c r="D44" s="3">
        <v>45421</v>
      </c>
      <c r="E44" s="2" t="s">
        <v>136</v>
      </c>
      <c r="F44" s="2">
        <v>1</v>
      </c>
      <c r="G44" s="2">
        <v>149.99</v>
      </c>
      <c r="H44" s="2" t="s">
        <v>53</v>
      </c>
      <c r="I44" s="2">
        <f>1-346-8179</f>
        <v>-8524</v>
      </c>
      <c r="J44" s="2" t="s">
        <v>73</v>
      </c>
    </row>
    <row r="45" spans="1:10" ht="14.25" customHeight="1" x14ac:dyDescent="0.3">
      <c r="A45" s="2" t="s">
        <v>103</v>
      </c>
      <c r="B45" s="2" t="s">
        <v>203</v>
      </c>
      <c r="C45" s="2" t="s">
        <v>204</v>
      </c>
      <c r="D45" s="3">
        <v>45680</v>
      </c>
      <c r="E45" s="2" t="s">
        <v>205</v>
      </c>
      <c r="F45" s="2">
        <v>2</v>
      </c>
      <c r="G45" s="2">
        <v>49.99</v>
      </c>
      <c r="H45" s="2" t="s">
        <v>32</v>
      </c>
    </row>
    <row r="46" spans="1:10" ht="14.25" customHeight="1" x14ac:dyDescent="0.3">
      <c r="A46" s="2" t="s">
        <v>184</v>
      </c>
      <c r="B46" s="2" t="s">
        <v>11</v>
      </c>
      <c r="C46" s="2" t="s">
        <v>207</v>
      </c>
      <c r="D46" s="3">
        <v>45541</v>
      </c>
      <c r="E46" s="2" t="s">
        <v>208</v>
      </c>
      <c r="F46" s="2">
        <v>3</v>
      </c>
      <c r="G46" s="2">
        <v>29.99</v>
      </c>
      <c r="H46" s="2" t="s">
        <v>14</v>
      </c>
      <c r="I46" s="2">
        <f>1-501-4630</f>
        <v>-5130</v>
      </c>
    </row>
    <row r="47" spans="1:10" ht="14.25" customHeight="1" x14ac:dyDescent="0.3">
      <c r="A47" s="2" t="s">
        <v>130</v>
      </c>
      <c r="B47" s="2" t="s">
        <v>191</v>
      </c>
      <c r="D47" s="3">
        <v>45531</v>
      </c>
      <c r="E47" s="2" t="s">
        <v>210</v>
      </c>
      <c r="F47" s="2">
        <v>1</v>
      </c>
      <c r="G47" s="2">
        <v>79.989999999999995</v>
      </c>
      <c r="H47" s="2" t="s">
        <v>211</v>
      </c>
      <c r="I47" s="2" t="s">
        <v>212</v>
      </c>
      <c r="J47" s="2" t="s">
        <v>27</v>
      </c>
    </row>
    <row r="48" spans="1:10" ht="14.25" customHeight="1" x14ac:dyDescent="0.3">
      <c r="A48" s="2" t="s">
        <v>44</v>
      </c>
      <c r="B48" s="2" t="s">
        <v>214</v>
      </c>
      <c r="C48" s="2" t="s">
        <v>215</v>
      </c>
      <c r="D48" s="3">
        <v>45710</v>
      </c>
      <c r="E48" s="2" t="s">
        <v>216</v>
      </c>
      <c r="F48" s="2">
        <v>1</v>
      </c>
      <c r="G48" s="2">
        <v>29.99</v>
      </c>
      <c r="H48" s="2" t="s">
        <v>25</v>
      </c>
      <c r="I48" s="2" t="s">
        <v>217</v>
      </c>
      <c r="J48" s="2" t="s">
        <v>79</v>
      </c>
    </row>
    <row r="49" spans="1:10" ht="14.25" customHeight="1" x14ac:dyDescent="0.3">
      <c r="A49" s="2" t="s">
        <v>146</v>
      </c>
      <c r="B49" s="2" t="s">
        <v>214</v>
      </c>
      <c r="C49" s="2" t="s">
        <v>219</v>
      </c>
      <c r="D49" s="3">
        <v>45607</v>
      </c>
      <c r="E49" s="2" t="s">
        <v>220</v>
      </c>
      <c r="F49" s="2">
        <v>5</v>
      </c>
      <c r="G49" s="2">
        <v>29.99</v>
      </c>
      <c r="H49" s="2" t="s">
        <v>14</v>
      </c>
      <c r="I49" s="2" t="s">
        <v>221</v>
      </c>
      <c r="J49" s="2" t="s">
        <v>16</v>
      </c>
    </row>
    <row r="50" spans="1:10" ht="14.25" customHeight="1" x14ac:dyDescent="0.3"/>
    <row r="51" spans="1:10" ht="14.25" customHeight="1" x14ac:dyDescent="0.3"/>
    <row r="52" spans="1:10" ht="14.25" customHeight="1" x14ac:dyDescent="0.3"/>
    <row r="53" spans="1:10" ht="14.25" customHeight="1" x14ac:dyDescent="0.3"/>
    <row r="54" spans="1:10" ht="14.25" customHeight="1" x14ac:dyDescent="0.3"/>
    <row r="55" spans="1:10" ht="14.25" customHeight="1" x14ac:dyDescent="0.3"/>
    <row r="56" spans="1:10" ht="14.25" customHeight="1" x14ac:dyDescent="0.3"/>
    <row r="57" spans="1:10" ht="14.25" customHeight="1" x14ac:dyDescent="0.3"/>
    <row r="58" spans="1:10" ht="14.25" customHeight="1" x14ac:dyDescent="0.3"/>
    <row r="59" spans="1:10" ht="14.25" customHeight="1" x14ac:dyDescent="0.3"/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A1000">
    <sortCondition ref="A1:A1000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>
      <selection activeCell="A5" sqref="A5"/>
    </sheetView>
  </sheetViews>
  <sheetFormatPr defaultColWidth="14.44140625" defaultRowHeight="15" customHeight="1" x14ac:dyDescent="0.3"/>
  <cols>
    <col min="1" max="1" width="102.88671875" customWidth="1"/>
    <col min="2" max="26" width="8.6640625" customWidth="1"/>
  </cols>
  <sheetData>
    <row r="1" spans="1:1" ht="14.25" customHeight="1" x14ac:dyDescent="0.3">
      <c r="A1" s="4" t="s">
        <v>222</v>
      </c>
    </row>
    <row r="2" spans="1:1" ht="14.25" customHeight="1" x14ac:dyDescent="0.3"/>
    <row r="3" spans="1:1" ht="14.25" customHeight="1" x14ac:dyDescent="0.3"/>
    <row r="4" spans="1:1" ht="14.25" customHeight="1" x14ac:dyDescent="0.3">
      <c r="A4" s="2" t="s">
        <v>223</v>
      </c>
    </row>
    <row r="5" spans="1:1" ht="14.25" customHeight="1" x14ac:dyDescent="0.3">
      <c r="A5" s="2" t="s">
        <v>224</v>
      </c>
    </row>
    <row r="6" spans="1:1" ht="14.25" customHeight="1" x14ac:dyDescent="0.3">
      <c r="A6" s="2" t="s">
        <v>225</v>
      </c>
    </row>
    <row r="7" spans="1:1" ht="14.25" customHeight="1" x14ac:dyDescent="0.3">
      <c r="A7" s="2" t="s">
        <v>226</v>
      </c>
    </row>
    <row r="8" spans="1:1" ht="14.25" customHeight="1" x14ac:dyDescent="0.3">
      <c r="A8" s="2" t="s">
        <v>227</v>
      </c>
    </row>
    <row r="9" spans="1:1" ht="14.25" customHeight="1" x14ac:dyDescent="0.3">
      <c r="A9" s="2" t="s">
        <v>228</v>
      </c>
    </row>
    <row r="10" spans="1:1" ht="14.25" customHeight="1" x14ac:dyDescent="0.3">
      <c r="A10" s="2" t="s">
        <v>229</v>
      </c>
    </row>
    <row r="11" spans="1:1" ht="14.25" customHeight="1" x14ac:dyDescent="0.3">
      <c r="A11" s="2" t="s">
        <v>230</v>
      </c>
    </row>
    <row r="12" spans="1:1" ht="14.25" customHeight="1" x14ac:dyDescent="0.3">
      <c r="A12" s="2" t="s">
        <v>231</v>
      </c>
    </row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for power query</vt:lpstr>
      <vt:lpstr>dataset</vt:lpstr>
      <vt:lpstr>Problem to solve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Gunasekaran</dc:creator>
  <cp:lastModifiedBy>Aishwarya K</cp:lastModifiedBy>
  <dcterms:created xsi:type="dcterms:W3CDTF">2025-09-20T11:39:22Z</dcterms:created>
  <dcterms:modified xsi:type="dcterms:W3CDTF">2025-11-04T04:41:40Z</dcterms:modified>
</cp:coreProperties>
</file>