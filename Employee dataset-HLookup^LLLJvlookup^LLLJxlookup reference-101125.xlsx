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10" documentId="8_{2F6CC10E-2C58-4B8B-AC18-3ABC86E9188A}" xr6:coauthVersionLast="47" xr6:coauthVersionMax="47" xr10:uidLastSave="{04A1A9B8-D123-4683-81B2-8A71B8812F4F}"/>
  <bookViews>
    <workbookView xWindow="-108" yWindow="-108" windowWidth="23256" windowHeight="12456" activeTab="2" xr2:uid="{00000000-000D-0000-FFFF-FFFF00000000}"/>
  </bookViews>
  <sheets>
    <sheet name="Data" sheetId="1" r:id="rId1"/>
    <sheet name="Dataset1-1" sheetId="2" r:id="rId2"/>
    <sheet name="HLOOKUP" sheetId="3" r:id="rId3"/>
    <sheet name="VLOOKU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7" i="4"/>
  <c r="D6" i="4"/>
  <c r="D5" i="4"/>
  <c r="D4" i="4"/>
  <c r="D3" i="4"/>
  <c r="D2" i="4"/>
  <c r="P43" i="2"/>
  <c r="P42" i="2"/>
  <c r="O47" i="2"/>
  <c r="O42" i="2"/>
  <c r="O43" i="2"/>
  <c r="O44" i="2"/>
  <c r="O45" i="2"/>
  <c r="O46" i="2"/>
  <c r="P44" i="2"/>
  <c r="P45" i="2"/>
  <c r="P46" i="2"/>
  <c r="P47" i="2"/>
  <c r="T21" i="2"/>
  <c r="T19" i="2"/>
  <c r="E42" i="2"/>
  <c r="T20" i="2"/>
  <c r="S16" i="2"/>
  <c r="S15" i="2"/>
  <c r="U15" i="2" s="1"/>
  <c r="N51" i="2" a="1"/>
  <c r="N51" i="2" s="1"/>
  <c r="N50" i="2"/>
  <c r="N49" i="2"/>
  <c r="E44" i="2"/>
  <c r="E43" i="2"/>
  <c r="J42" i="2"/>
  <c r="E35" i="2"/>
  <c r="E34" i="2"/>
  <c r="E41" i="2" s="1"/>
  <c r="N33" i="2"/>
  <c r="N32" i="2"/>
  <c r="N31" i="2"/>
  <c r="N30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N30" i="1"/>
  <c r="N31" i="1"/>
  <c r="N32" i="1"/>
  <c r="N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E43" i="1"/>
  <c r="N51" i="1" a="1"/>
  <c r="N51" i="1"/>
  <c r="N49" i="1"/>
  <c r="E44" i="1"/>
  <c r="E42" i="1"/>
  <c r="E35" i="1"/>
  <c r="E34" i="1"/>
  <c r="E41" i="1" s="1"/>
  <c r="N50" i="1"/>
  <c r="J42" i="1"/>
  <c r="T18" i="2" l="1"/>
  <c r="T17" i="2"/>
  <c r="W15" i="2"/>
  <c r="V15" i="2"/>
  <c r="E40" i="2"/>
  <c r="E38" i="2"/>
  <c r="E37" i="2"/>
  <c r="E39" i="2"/>
  <c r="E39" i="1"/>
  <c r="E38" i="1"/>
  <c r="E40" i="1"/>
  <c r="E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<sst xmlns="http://schemas.openxmlformats.org/spreadsheetml/2006/main" count="453" uniqueCount="168">
  <si>
    <r>
      <rPr>
        <b/>
        <sz val="12"/>
        <color rgb="FF000000"/>
        <rFont val="Calibri"/>
        <family val="2"/>
        <scheme val="minor"/>
      </rPr>
      <t xml:space="preserve">VLOOKUP (Vertical Lookup)
</t>
    </r>
    <r>
      <rPr>
        <b/>
        <sz val="12"/>
        <color rgb="FF31869B"/>
        <rFont val="Calibri"/>
        <family val="2"/>
        <scheme val="minor"/>
      </rPr>
      <t xml:space="preserve">
Use case: Look up DeptCode in the main table and return DeptName from the Dept lookup table.
=VLOOKUP(D9,Table4[[DeptCode]:[DeptName]],2,FALSE)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</si>
  <si>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</si>
  <si>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</si>
  <si>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</si>
  <si>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</si>
  <si>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</si>
  <si>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</si>
  <si>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</si>
  <si>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</si>
  <si>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</si>
  <si>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</si>
  <si>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</si>
  <si>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</si>
  <si>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</si>
  <si>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</si>
  <si>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</si>
  <si>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</si>
  <si>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</si>
  <si>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</si>
  <si>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</si>
  <si>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</si>
  <si>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</si>
  <si>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</si>
  <si>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</si>
  <si>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</si>
  <si>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</si>
  <si>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</si>
  <si>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</si>
  <si>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</si>
  <si>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</si>
  <si>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</si>
  <si>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</si>
  <si>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</si>
  <si>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</si>
  <si>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</si>
  <si>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</si>
  <si>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</si>
  <si>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</si>
  <si>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</si>
  <si>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</si>
  <si>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</si>
  <si>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</si>
  <si>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</si>
  <si>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</si>
  <si>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</si>
  <si>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</si>
  <si>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</si>
  <si>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</si>
  <si>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</si>
  <si>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</si>
  <si>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</si>
  <si>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</si>
  <si>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</si>
  <si>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</si>
  <si>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</si>
  <si>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</si>
  <si>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</si>
  <si>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</si>
  <si>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</si>
  <si>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</si>
  <si>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</si>
  <si>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</si>
  <si>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</si>
  <si>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</si>
  <si>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</si>
  <si>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</si>
  <si>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</si>
  <si>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</si>
  <si>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</si>
  <si>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</si>
  <si>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</si>
  <si>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</si>
  <si>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</si>
  <si>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</si>
  <si>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</si>
  <si>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</si>
  <si>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</si>
  <si>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</si>
  <si>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</si>
  <si>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</si>
  <si>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</si>
  <si>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</si>
  <si>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</si>
  <si>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</si>
  <si>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</si>
  <si>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</si>
  <si>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</si>
  <si>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</si>
  <si>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</si>
  <si>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</si>
  <si>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</si>
  <si>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</si>
  <si>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</si>
  <si>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</si>
  <si>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</si>
  <si>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</si>
  <si>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</si>
  <si>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</si>
  <si>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</si>
  <si>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</si>
  <si>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</si>
  <si>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</si>
  <si>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</si>
  <si>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</si>
  <si>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</si>
  <si>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</si>
  <si>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</si>
  <si>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</si>
  <si>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</si>
  <si>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</si>
  <si>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</si>
  <si>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</si>
  <si>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</si>
  <si>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</si>
  <si>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b/>
        <sz val="18"/>
        <color rgb="FF000000"/>
        <rFont val="Calibri"/>
        <family val="2"/>
        <scheme val="minor"/>
      </rPr>
      <t xml:space="preserve">HLOOKUP (Horizontal Lookup)
</t>
    </r>
    <r>
      <rPr>
        <b/>
        <sz val="12"/>
        <color rgb="FF31869B"/>
        <rFont val="Calibri"/>
        <family val="2"/>
        <scheme val="minor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</si>
  <si>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</si>
  <si>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</si>
  <si>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</si>
  <si>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</si>
  <si>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</si>
  <si>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</si>
  <si>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</si>
  <si>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</si>
  <si>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</si>
  <si>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</si>
  <si>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</si>
  <si>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</si>
  <si>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</si>
  <si>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Now=</t>
  </si>
  <si>
    <t>year=</t>
  </si>
  <si>
    <r>
      <rPr>
        <b/>
        <sz val="11"/>
        <color rgb="FFC0504D"/>
        <rFont val="Calibri"/>
        <family val="2"/>
        <scheme val="minor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b/>
        <sz val="11"/>
        <color rgb="FF000000"/>
        <rFont val="Calibri"/>
        <family val="2"/>
        <scheme val="minor"/>
      </rPr>
      <t xml:space="preserve">Look up UnitPrice from SKU using Product lookup :
</t>
    </r>
    <r>
      <rPr>
        <b/>
        <sz val="11"/>
        <color rgb="FFC0504D"/>
        <rFont val="Calibri"/>
        <family val="2"/>
        <scheme val="minor"/>
      </rPr>
      <t xml:space="preserve">
</t>
    </r>
  </si>
  <si>
    <r>
      <rPr>
        <b/>
        <sz val="11"/>
        <color rgb="FFC0504D"/>
        <rFont val="Calibri"/>
        <family val="2"/>
        <scheme val="minor"/>
      </rPr>
      <t xml:space="preserve">MATCH
</t>
    </r>
    <r>
      <rPr>
        <sz val="11"/>
        <color rgb="FF000000"/>
        <rFont val="Calibri"/>
        <family val="2"/>
        <scheme val="minor"/>
      </rPr>
      <t>=MATCH(lookup_value, lookup_array, [match_type])
Finds the position of a value in a column or row.</t>
    </r>
  </si>
  <si>
    <t>Month</t>
  </si>
  <si>
    <t>day</t>
  </si>
  <si>
    <t>weekday in number</t>
  </si>
  <si>
    <t>1-mon,2-tue,3-wed,4-thur,5-fri,6-sat,7-sun</t>
  </si>
  <si>
    <t>display weekday name using choose()</t>
  </si>
  <si>
    <t>ProductName</t>
  </si>
  <si>
    <t>UnitPrice</t>
  </si>
  <si>
    <t>tenure in years</t>
  </si>
  <si>
    <t>CRM License</t>
  </si>
  <si>
    <t>Tenure months remainder</t>
  </si>
  <si>
    <t>HRMS License</t>
  </si>
  <si>
    <t>Age in years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</si>
  <si>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</si>
  <si>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</si>
  <si>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</si>
  <si>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</si>
  <si>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</si>
  <si>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</si>
  <si>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</si>
  <si>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</si>
  <si>
    <r>
      <rPr>
        <b/>
        <sz val="12"/>
        <color rgb="FF000000"/>
        <rFont val="Calibri"/>
        <family val="2"/>
        <scheme val="minor"/>
      </rPr>
      <t xml:space="preserve">XLOOKUP (Vertical Lookup)
</t>
    </r>
    <r>
      <rPr>
        <b/>
        <sz val="12"/>
        <color rgb="FF31869B"/>
        <rFont val="Calibri"/>
        <family val="2"/>
        <scheme val="minor"/>
      </rPr>
      <t>Use case: Look up DeptCode in the main table and return DeptManager from the Dept lookup table.
=XLOOKUP(D8,Table4[DeptCode],Table4[Manager],"Not assigned",0)</t>
    </r>
  </si>
  <si>
    <t>Date</t>
  </si>
  <si>
    <t>Date and time</t>
  </si>
  <si>
    <t>year</t>
  </si>
  <si>
    <t>month</t>
  </si>
  <si>
    <t>Day</t>
  </si>
  <si>
    <t>Date  and Time Function</t>
  </si>
  <si>
    <t>today()</t>
  </si>
  <si>
    <t>now()</t>
  </si>
  <si>
    <t>year(11-11-2025)</t>
  </si>
  <si>
    <t>MONTH(11-11-2025)</t>
  </si>
  <si>
    <t>DAY(11-11-2025)</t>
  </si>
  <si>
    <t>=HLOOKUP($B$2,₹B$2:$H$27,2,FALSE)</t>
  </si>
  <si>
    <t>=VLOOKUP($B$2,$B$2:$H$27,2,FALSE)</t>
  </si>
  <si>
    <t>VLOOKUP Column</t>
  </si>
  <si>
    <t>HLOOKUP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</si>
</sst>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1869B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2" fillId="2" borderId="0" xfId="0" applyFont="1" applyFill="1"/>
    <xf numFmtId="4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16" fillId="3" borderId="6" xfId="0" applyFont="1" applyFill="1" applyBorder="1"/>
    <xf numFmtId="0" fontId="0" fillId="0" borderId="6" xfId="0" applyFont="1" applyBorder="1"/>
    <xf numFmtId="0" fontId="0" fillId="0" borderId="9" xfId="0" applyFont="1" applyBorder="1"/>
    <xf numFmtId="0" fontId="0" fillId="0" borderId="0" xfId="0" applyNumberFormat="1"/>
    <xf numFmtId="49" fontId="2" fillId="0" borderId="3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4" fontId="0" fillId="0" borderId="4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4" fontId="16" fillId="3" borderId="1" xfId="0" applyNumberFormat="1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65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8A13F-8E9B-4C36-BC76-65B6E6630041}" name="Table1" displayName="Table1" ref="L29:N33" totalsRowShown="0">
  <autoFilter ref="L29:N33" xr:uid="{BAF8A13F-8E9B-4C36-BC76-65B6E6630041}"/>
  <tableColumns count="3">
    <tableColumn id="1" xr3:uid="{1EE19CEA-D517-4A6A-A941-D2A98E0CD6F7}" name="MinScore" dataDxfId="64"/>
    <tableColumn id="2" xr3:uid="{5071774E-6928-4E32-ADC4-C5C100DB3681}" name="Grade" dataDxfId="63"/>
    <tableColumn id="3" xr3:uid="{500ADF0C-421C-48D5-86F0-3BAB3E16C3BB}" name="Grade percentage" dataDxfId="62">
      <calculatedColumnFormula>HLOOKUP(Table1[[#This Row],[Grade]],Table2[[#All],[A]:[D]],2,FALSE)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0D45-E9F8-492B-8FCA-391F107DD35E}" name="Table2" displayName="Table2" ref="L20:P21" totalsRowShown="0" headerRowDxfId="61" dataDxfId="60">
  <autoFilter ref="L20:P21" xr:uid="{BA3A0D45-E9F8-492B-8FCA-391F107DD35E}"/>
  <tableColumns count="5">
    <tableColumn id="1" xr3:uid="{98DF42A4-1C6F-401D-9884-CD580EBA5ECD}" name="Column1" dataDxfId="59"/>
    <tableColumn id="2" xr3:uid="{C7BCA360-3A3B-4747-9CE4-34CBC93EEC42}" name="A" dataDxfId="58"/>
    <tableColumn id="3" xr3:uid="{2227EF51-C5E3-4E9D-A176-1D0DB488D114}" name="B" dataDxfId="57"/>
    <tableColumn id="4" xr3:uid="{C981145E-9251-4CEE-8715-2F0E4B3E15B5}" name="C" dataDxfId="56"/>
    <tableColumn id="5" xr3:uid="{C7FC2F59-B0BF-46CF-BE4B-076DD0915F36}" name="D" dataDxfId="5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4AB33-F35A-4B97-9948-B06D4CC588E7}" name="Table3" displayName="Table3" ref="L41:N47" totalsRowShown="0">
  <autoFilter ref="L41:N47" xr:uid="{80B4AB33-F35A-4B97-9948-B06D4CC588E7}"/>
  <tableColumns count="3">
    <tableColumn id="1" xr3:uid="{657A4B9C-29B0-4CCC-BE75-6A4633721107}" name="SKU" dataDxfId="54"/>
    <tableColumn id="2" xr3:uid="{98534415-B991-4BCC-9A12-B38890C9E504}" name="ProductName" dataDxfId="53"/>
    <tableColumn id="3" xr3:uid="{5F90EF46-396E-40A7-B1FF-442A849365C6}" name="UnitPrice" dataDxfId="5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570BF-8947-4746-9DCB-481287EC7F88}" name="Table4" displayName="Table4" ref="L2:O6" totalsRowShown="0" headerRowDxfId="51" dataDxfId="49" headerRowBorderDxfId="50" tableBorderDxfId="48">
  <autoFilter ref="L2:O6" xr:uid="{25B570BF-8947-4746-9DCB-481287EC7F88}"/>
  <tableColumns count="4">
    <tableColumn id="1" xr3:uid="{374E6876-2F0F-4F65-93BC-AD17A03E8CAD}" name="DeptCode" dataDxfId="47"/>
    <tableColumn id="2" xr3:uid="{6E42F0A6-D698-4B51-B3D3-0FB9979DABD5}" name="DeptName" dataDxfId="46"/>
    <tableColumn id="3" xr3:uid="{BECF913B-44F7-4068-96ED-B460ED136BD7}" name="Manager" dataDxfId="45"/>
    <tableColumn id="4" xr3:uid="{D63FF8FB-6B0B-496C-B505-B7CC0C3766D1}" name="CostCenter" dataDxfId="44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6A1FA-2A06-458B-AD08-CD3659BF4410}" name="Table5" displayName="Table5" ref="E6:K26" totalsRowShown="0" headerRowDxfId="43" dataDxfId="42">
  <autoFilter ref="E6:K26" xr:uid="{A326A1FA-2A06-458B-AD08-CD3659BF4410}"/>
  <tableColumns count="7">
    <tableColumn id="1" xr3:uid="{2475C843-585F-4C41-A673-1FECF1672DCC}" name="JoinDate" dataDxfId="41"/>
    <tableColumn id="2" xr3:uid="{296BEBD5-909E-4734-AC81-67926EABEF3B}" name="BirthDate" dataDxfId="40"/>
    <tableColumn id="3" xr3:uid="{C7BD6CA6-1FC0-4CF2-9BE7-72E68F8DDF54}" name="LastLogin" dataDxfId="39"/>
    <tableColumn id="4" xr3:uid="{1CB58E75-A3F0-4715-849A-8A1B503557F1}" name="BaseSalary" dataDxfId="38"/>
    <tableColumn id="5" xr3:uid="{86C2E677-0D9B-4A58-BBE1-A909159201D9}" name="PerformanceScore" dataDxfId="37"/>
    <tableColumn id="6" xr3:uid="{58B0CE02-BDB6-4C0C-B544-78165662351C}" name="Dept name" dataDxfId="36">
      <calculatedColumnFormula>VLOOKUP(D7,Table4[[DeptCode]:[DeptName]],2,FALSE)</calculatedColumnFormula>
    </tableColumn>
    <tableColumn id="7" xr3:uid="{6F2B9A81-C700-4D07-8B5C-76E1CE57D755}" name="Manager" dataDxfId="35">
      <calculatedColumnFormula>_xlfn.XLOOKUP(D7,Table4[DeptCode],Table4[Manager],"Not assigned",0)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0C5BD0-C2AC-4DE8-9D1B-5D0295EF28C4}" name="Table17" displayName="Table17" ref="L29:N33" totalsRowShown="0">
  <autoFilter ref="L29:N33" xr:uid="{C40C5BD0-C2AC-4DE8-9D1B-5D0295EF28C4}"/>
  <tableColumns count="3">
    <tableColumn id="1" xr3:uid="{0F11A37F-0CFD-47CF-AAE2-57165D0A13B6}" name="MinScore" dataDxfId="34"/>
    <tableColumn id="2" xr3:uid="{8D42D43C-077F-4EEA-AB80-71FC84BBC8C4}" name="Grade" dataDxfId="33"/>
    <tableColumn id="3" xr3:uid="{54D32949-3A6A-413B-AD28-671B6F43AA0A}" name="Grade percentage" dataDxfId="32">
      <calculatedColumnFormula>HLOOKUP(Table17[[#This Row],[Grade]],Table28[[#All],[A]:[D]],2,FALSE)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B87807-DE89-498E-B634-EBB9C08A66E6}" name="Table28" displayName="Table28" ref="L20:P21" totalsRowShown="0" headerRowDxfId="31" dataDxfId="30">
  <autoFilter ref="L20:P21" xr:uid="{50B87807-DE89-498E-B634-EBB9C08A66E6}"/>
  <tableColumns count="5">
    <tableColumn id="1" xr3:uid="{562D19A7-8097-4E59-8BA1-923AF26E8687}" name="Column1" dataDxfId="29"/>
    <tableColumn id="2" xr3:uid="{0D412356-10AE-4B82-90CC-8E0D69F50715}" name="A" dataDxfId="28"/>
    <tableColumn id="3" xr3:uid="{194BE196-4FBB-4A80-8BF9-B0D3D960616B}" name="B" dataDxfId="27"/>
    <tableColumn id="4" xr3:uid="{BC95DB79-D5C2-422F-ADB5-D98033043C86}" name="C" dataDxfId="6"/>
    <tableColumn id="5" xr3:uid="{FC40B778-3B2F-449C-9FB8-88F7DA6E19D0}" name="D" dataDxfId="26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1E486C-2C69-4F53-A7B5-FBD358A12586}" name="Table39" displayName="Table39" ref="L41:P47" totalsRowShown="0">
  <autoFilter ref="L41:P47" xr:uid="{521E486C-2C69-4F53-A7B5-FBD358A12586}"/>
  <tableColumns count="5">
    <tableColumn id="1" xr3:uid="{75BB238A-401B-4C97-BE85-017AC76633B1}" name="SKU" dataDxfId="25"/>
    <tableColumn id="2" xr3:uid="{09EBF711-AD18-47BB-B9E0-69634335A4D4}" name="ProductName" dataDxfId="24"/>
    <tableColumn id="3" xr3:uid="{C5499374-59B7-4FA8-A6E1-C065283AF4D0}" name="UnitPrice" dataDxfId="23"/>
    <tableColumn id="4" xr3:uid="{DAE1E8FC-6648-4472-B71A-E0F4A6A6A53F}" name="HLOOKUP Column" dataDxfId="4">
      <calculatedColumnFormula>HLOOKUP(L42,Table39[[#This Row],[SKU]]:N47,2,FALSE)</calculatedColumnFormula>
    </tableColumn>
    <tableColumn id="5" xr3:uid="{F076D7C2-2562-4D09-BD51-A851B9802878}" name="VLOOKUP Column">
      <calculatedColumnFormula>VLOOKUP(Table39[[#This Row],[SKU]],Table39[[SKU]:[UnitPrice]],2,FALSE)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845E5-160C-45EE-A14C-A2373793D4F4}" name="Table410" displayName="Table410" ref="L2:O6" totalsRowShown="0" headerRowDxfId="22" dataDxfId="20" headerRowBorderDxfId="21" tableBorderDxfId="19">
  <autoFilter ref="L2:O6" xr:uid="{7EF845E5-160C-45EE-A14C-A2373793D4F4}"/>
  <tableColumns count="4">
    <tableColumn id="1" xr3:uid="{322E641C-D898-48C8-9ADD-565289A8F15A}" name="DeptCode" dataDxfId="18"/>
    <tableColumn id="2" xr3:uid="{558EBDBF-5287-4897-B424-9E9B3233CEA1}" name="DeptName" dataDxfId="17"/>
    <tableColumn id="3" xr3:uid="{BF76E270-E5B4-4D5B-9EBA-E3B727FF97BD}" name="Manager" dataDxfId="16"/>
    <tableColumn id="4" xr3:uid="{1BE9B5DD-97D3-4AA3-9325-37E5F46ECFA5}" name="CostCenter" dataDxfId="5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4AEEC-FC41-4C6C-81D5-1187B66845BE}" name="Table511" displayName="Table511" ref="E6:K26" totalsRowShown="0" headerRowDxfId="15" dataDxfId="14">
  <autoFilter ref="E6:K26" xr:uid="{9814AEEC-FC41-4C6C-81D5-1187B66845BE}"/>
  <tableColumns count="7">
    <tableColumn id="1" xr3:uid="{008C38DC-A237-4502-86BB-DDCBC840754E}" name="JoinDate" dataDxfId="13"/>
    <tableColumn id="2" xr3:uid="{B4501FCE-C4CB-4779-B489-D5D53A7F8C52}" name="BirthDate" dataDxfId="12"/>
    <tableColumn id="3" xr3:uid="{9AA1112C-2306-46BA-8EEB-590FE4DE1AED}" name="LastLogin" dataDxfId="11"/>
    <tableColumn id="4" xr3:uid="{0FAD8AB7-1E6C-4CF7-AE99-6D21F995BF9C}" name="BaseSalary" dataDxfId="10"/>
    <tableColumn id="5" xr3:uid="{F54A2053-8722-4C69-AB83-2A3A941A9B53}" name="PerformanceScore" dataDxfId="9"/>
    <tableColumn id="6" xr3:uid="{5DB55133-B142-47DB-BE4D-48FB6D714ED5}" name="Dept name" dataDxfId="8">
      <calculatedColumnFormula>VLOOKUP(D7,Table410[[DeptCode]:[DeptName]],2,FALSE)</calculatedColumnFormula>
    </tableColumn>
    <tableColumn id="7" xr3:uid="{D2E3102B-55EB-4CF6-9C51-A5C8DD57F85C}" name="Manager" dataDxfId="7">
      <calculatedColumnFormula>_xlfn.XLOOKUP(D7,Table410[DeptCode],Table410[Manager],"Not assigned",0)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2EB4E8-E7BB-4EDE-A8DA-CA9ACC7D4546}" name="Table3912" displayName="Table3912" ref="A1:D7" totalsRowShown="0">
  <autoFilter ref="A1:D7" xr:uid="{5A2EB4E8-E7BB-4EDE-A8DA-CA9ACC7D4546}"/>
  <tableColumns count="4">
    <tableColumn id="1" xr3:uid="{041C8A85-56D7-4A74-A4DF-9DA413A17D34}" name="SKU" dataDxfId="3"/>
    <tableColumn id="2" xr3:uid="{642B9A9D-56CA-402D-BF48-1E446380AFFC}" name="ProductName" dataDxfId="2"/>
    <tableColumn id="3" xr3:uid="{4B28135D-32AC-4CFC-A295-B4E5C1782B95}" name="UnitPrice" dataDxfId="1"/>
    <tableColumn id="4" xr3:uid="{AB01CC12-0A57-461B-AFAE-065EBF43F082}" name="HLOOKUP Column" dataDxfId="0">
      <calculatedColumnFormula>HLOOKUP(A2,Table39[[#This Row],[SKU]]:C7,2,FALSE)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4"/>
  <sheetViews>
    <sheetView topLeftCell="K1" workbookViewId="0">
      <selection activeCell="M13" sqref="A1:XFD1048576"/>
    </sheetView>
  </sheetViews>
  <sheetFormatPr defaultRowHeight="15" customHeight="1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20" max="20" width="36.5546875" bestFit="1" customWidth="1"/>
  </cols>
  <sheetData>
    <row r="2" spans="1:15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15" ht="15" customHeight="1" x14ac:dyDescent="0.3">
      <c r="J3" s="4"/>
      <c r="L3" s="4" t="s">
        <v>5</v>
      </c>
      <c r="M3" s="4" t="s">
        <v>6</v>
      </c>
      <c r="N3" s="4" t="s">
        <v>7</v>
      </c>
      <c r="O3" s="4" t="s">
        <v>8</v>
      </c>
    </row>
    <row r="4" spans="1:15" ht="15" customHeight="1" x14ac:dyDescent="0.3">
      <c r="L4" s="4" t="s">
        <v>9</v>
      </c>
      <c r="M4" s="4" t="s">
        <v>10</v>
      </c>
      <c r="N4" s="4" t="s">
        <v>11</v>
      </c>
      <c r="O4" s="4" t="s">
        <v>12</v>
      </c>
    </row>
    <row r="5" spans="1:15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15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15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4" t="s">
        <v>33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VLOOKUP(D7,Table4[[DeptCode]:[DeptName]],2,FALSE)</f>
        <v>Sales</v>
      </c>
      <c r="K7" s="4" t="str">
        <f>_xlfn.XLOOKUP(D7,Table4[DeptCode],Table4[Manager],"Not assigned",0)</f>
        <v>Anita Verma</v>
      </c>
      <c r="L7" s="20"/>
      <c r="M7" s="20"/>
    </row>
    <row r="8" spans="1:15" ht="14.4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VLOOKUP(D8,Table4[[DeptCode]:[DeptName]],2,FALSE)</f>
        <v>Human Resources</v>
      </c>
      <c r="K8" s="4" t="str">
        <f>_xlfn.XLOOKUP(D8,Table4[DeptCode],Table4[Manager],"Not assigned",0)</f>
        <v>Vijay Rao</v>
      </c>
    </row>
    <row r="9" spans="1:15" ht="14.4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VLOOKUP(D9,Table4[[DeptCode]:[DeptName]],2,FALSE)</f>
        <v>Information Technology</v>
      </c>
      <c r="K9" s="4" t="str">
        <f>_xlfn.XLOOKUP(D9,Table4[DeptCode],Table4[Manager],"Not assigned",0)</f>
        <v>Meera Iyer</v>
      </c>
    </row>
    <row r="10" spans="1:15" ht="14.4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VLOOKUP(D10,Table4[[DeptCode]:[DeptName]],2,FALSE)</f>
        <v>Sales</v>
      </c>
      <c r="K10" s="4" t="str">
        <f>_xlfn.XLOOKUP(D10,Table4[DeptCode],Table4[Manager],"Not assigned",0)</f>
        <v>Anita Verma</v>
      </c>
    </row>
    <row r="11" spans="1:15" ht="14.4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VLOOKUP(D11,Table4[[DeptCode]:[DeptName]],2,FALSE)</f>
        <v>Finance</v>
      </c>
      <c r="K11" s="4" t="str">
        <f>_xlfn.XLOOKUP(D11,Table4[DeptCode],Table4[Manager],"Not assigned",0)</f>
        <v>Arun Sharma</v>
      </c>
    </row>
    <row r="12" spans="1:15" ht="14.4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VLOOKUP(D12,Table4[[DeptCode]:[DeptName]],2,FALSE)</f>
        <v>Information Technology</v>
      </c>
      <c r="K12" s="4" t="str">
        <f>_xlfn.XLOOKUP(D12,Table4[DeptCode],Table4[Manager],"Not assigned",0)</f>
        <v>Meera Iyer</v>
      </c>
    </row>
    <row r="13" spans="1:15" ht="14.4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VLOOKUP(D13,Table4[[DeptCode]:[DeptName]],2,FALSE)</f>
        <v>Sales</v>
      </c>
      <c r="K13" s="4" t="str">
        <f>_xlfn.XLOOKUP(D13,Table4[DeptCode],Table4[Manager],"Not assigned",0)</f>
        <v>Anita Verma</v>
      </c>
      <c r="N13" s="3"/>
    </row>
    <row r="14" spans="1:15" ht="14.4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VLOOKUP(D14,Table4[[DeptCode]:[DeptName]],2,FALSE)</f>
        <v>Human Resources</v>
      </c>
      <c r="K14" s="4" t="str">
        <f>_xlfn.XLOOKUP(D14,Table4[DeptCode],Table4[Manager],"Not assigned",0)</f>
        <v>Vijay Rao</v>
      </c>
    </row>
    <row r="15" spans="1:15" ht="14.4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VLOOKUP(D15,Table4[[DeptCode]:[DeptName]],2,FALSE)</f>
        <v>Finance</v>
      </c>
      <c r="K15" s="4" t="str">
        <f>_xlfn.XLOOKUP(D15,Table4[DeptCode],Table4[Manager],"Not assigned",0)</f>
        <v>Arun Sharma</v>
      </c>
    </row>
    <row r="16" spans="1:15" ht="14.4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VLOOKUP(D16,Table4[[DeptCode]:[DeptName]],2,FALSE)</f>
        <v>Information Technology</v>
      </c>
      <c r="K16" s="4" t="str">
        <f>_xlfn.XLOOKUP(D16,Table4[DeptCode],Table4[Manager],"Not assigned",0)</f>
        <v>Meera Iyer</v>
      </c>
    </row>
    <row r="17" spans="1:16" ht="14.4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VLOOKUP(D17,Table4[[DeptCode]:[DeptName]],2,FALSE)</f>
        <v>Sales</v>
      </c>
      <c r="K17" s="4" t="str">
        <f>_xlfn.XLOOKUP(D17,Table4[DeptCode],Table4[Manager],"Not assigned",0)</f>
        <v>Anita Verma</v>
      </c>
    </row>
    <row r="18" spans="1:16" ht="14.4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VLOOKUP(D18,Table4[[DeptCode]:[DeptName]],2,FALSE)</f>
        <v>Human Resources</v>
      </c>
      <c r="K18" s="4" t="str">
        <f>_xlfn.XLOOKUP(D18,Table4[DeptCode],Table4[Manager],"Not assigned",0)</f>
        <v>Vijay Rao</v>
      </c>
    </row>
    <row r="19" spans="1:16" ht="14.4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VLOOKUP(D19,Table4[[DeptCode]:[DeptName]],2,FALSE)</f>
        <v>Finance</v>
      </c>
      <c r="K19" s="4" t="str">
        <f>_xlfn.XLOOKUP(D19,Table4[DeptCode],Table4[Manager],"Not assigned",0)</f>
        <v>Arun Sharma</v>
      </c>
    </row>
    <row r="20" spans="1:16" ht="14.4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VLOOKUP(D20,Table4[[DeptCode]:[DeptName]],2,FALSE)</f>
        <v>Information Technology</v>
      </c>
      <c r="K20" s="4" t="str">
        <f>_xlfn.XLOOKUP(D20,Table4[DeptCode],Table4[Manager],"Not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ht="14.4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VLOOKUP(D21,Table4[[DeptCode]:[DeptName]],2,FALSE)</f>
        <v>Sales</v>
      </c>
      <c r="K21" s="4" t="str">
        <f>_xlfn.XLOOKUP(D21,Table4[DeptCode],Table4[Manager],"Not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ht="14.4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VLOOKUP(D22,Table4[[DeptCode]:[DeptName]],2,FALSE)</f>
        <v>Finance</v>
      </c>
      <c r="K22" s="4" t="str">
        <f>_xlfn.XLOOKUP(D22,Table4[DeptCode],Table4[Manager],"Not assigned",0)</f>
        <v>Arun Sharma</v>
      </c>
    </row>
    <row r="23" spans="1:16" ht="14.4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VLOOKUP(D23,Table4[[DeptCode]:[DeptName]],2,FALSE)</f>
        <v>Human Resources</v>
      </c>
      <c r="K23" s="4" t="str">
        <f>_xlfn.XLOOKUP(D23,Table4[DeptCode],Table4[Manager],"Not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VLOOKUP(D24,Table4[[DeptCode]:[DeptName]],2,FALSE)</f>
        <v>Information Technology</v>
      </c>
      <c r="K24" s="4" t="str">
        <f>_xlfn.XLOOKUP(D24,Table4[DeptCode],Table4[Manager],"Not assigned",0)</f>
        <v>Meera Iyer</v>
      </c>
      <c r="L24" s="25" t="s">
        <v>114</v>
      </c>
      <c r="M24" s="25"/>
      <c r="N24" s="25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VLOOKUP(D25,Table4[[DeptCode]:[DeptName]],2,FALSE)</f>
        <v>Sales</v>
      </c>
      <c r="K25" s="4" t="str">
        <f>_xlfn.XLOOKUP(D25,Table4[DeptCode],Table4[Manager],"Not assigned",0)</f>
        <v>Anita Verma</v>
      </c>
      <c r="L25" s="25"/>
      <c r="M25" s="25"/>
      <c r="N25" s="25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VLOOKUP(D26,Table4[[DeptCode]:[DeptName]],2,FALSE)</f>
        <v>Finance</v>
      </c>
      <c r="K26" s="4" t="str">
        <f>_xlfn.XLOOKUP(D26,Table4[DeptCode],Table4[Manager],"Not assigned",0)</f>
        <v>Arun Sharma</v>
      </c>
      <c r="L26" s="17"/>
      <c r="M26" s="17"/>
      <c r="N26" s="17"/>
    </row>
    <row r="27" spans="1:16" ht="14.4" x14ac:dyDescent="0.3"/>
    <row r="28" spans="1:16" ht="14.4" x14ac:dyDescent="0.3"/>
    <row r="29" spans="1:16" ht="14.4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ht="14.4" x14ac:dyDescent="0.3">
      <c r="F30" s="8"/>
      <c r="G30" s="4"/>
      <c r="L30" s="4">
        <v>0</v>
      </c>
      <c r="M30" s="4" t="s">
        <v>96</v>
      </c>
      <c r="N30">
        <f>HLOOKUP(Table1[[#This Row],[Grade]],Table2[[#All],[A]:[D]],2,FALSE)</f>
        <v>0.02</v>
      </c>
    </row>
    <row r="31" spans="1:16" ht="14.4" x14ac:dyDescent="0.3">
      <c r="F31" s="8"/>
      <c r="G31" s="4"/>
      <c r="L31" s="4">
        <v>75</v>
      </c>
      <c r="M31" s="4" t="s">
        <v>95</v>
      </c>
      <c r="N31">
        <f>HLOOKUP(Table1[[#This Row],[Grade]],Table2[[#All],[A]:[D]],2,FALSE)</f>
        <v>0.05</v>
      </c>
    </row>
    <row r="32" spans="1:16" ht="23.4" x14ac:dyDescent="0.45">
      <c r="C32" s="24" t="s">
        <v>126</v>
      </c>
      <c r="D32" s="24"/>
      <c r="E32" s="24"/>
      <c r="F32" s="8"/>
      <c r="G32" s="4"/>
      <c r="L32" s="4">
        <v>85</v>
      </c>
      <c r="M32" s="4" t="s">
        <v>94</v>
      </c>
      <c r="N32">
        <f>HLOOKUP(Table1[[#This Row],[Grade]],Table2[[#All],[A]:[D]],2,FALSE)</f>
        <v>0.08</v>
      </c>
    </row>
    <row r="33" spans="3:20" ht="14.4" x14ac:dyDescent="0.3">
      <c r="F33" s="8"/>
      <c r="G33" s="4"/>
      <c r="L33" s="4">
        <v>92</v>
      </c>
      <c r="M33" s="4" t="s">
        <v>93</v>
      </c>
      <c r="N33">
        <f>HLOOKUP(Table1[[#This Row],[Grade]],Table2[[#All],[A]:[D]],2,FALSE)</f>
        <v>0.12</v>
      </c>
    </row>
    <row r="34" spans="3:20" ht="14.4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0" ht="14.4" x14ac:dyDescent="0.3">
      <c r="C35" s="6"/>
      <c r="D35"/>
      <c r="E35" s="19">
        <f ca="1">NOW()</f>
        <v>45974.398764583333</v>
      </c>
      <c r="F35" s="8"/>
      <c r="G35" s="4"/>
    </row>
    <row r="36" spans="3:20" ht="14.4" x14ac:dyDescent="0.3">
      <c r="C36" s="6" t="s">
        <v>128</v>
      </c>
      <c r="D36" s="3"/>
      <c r="E36"/>
    </row>
    <row r="37" spans="3:20" ht="162" customHeight="1" x14ac:dyDescent="0.3">
      <c r="C37" s="6" t="s">
        <v>129</v>
      </c>
      <c r="D37"/>
      <c r="E37">
        <f ca="1">YEAR(E34)</f>
        <v>2025</v>
      </c>
      <c r="L37" s="26" t="s">
        <v>130</v>
      </c>
      <c r="M37" s="27"/>
      <c r="N37" s="27"/>
      <c r="O37" s="12" t="s">
        <v>131</v>
      </c>
    </row>
    <row r="38" spans="3:20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0" ht="15" customHeight="1" x14ac:dyDescent="0.3">
      <c r="C39" s="6" t="s">
        <v>133</v>
      </c>
      <c r="D39"/>
      <c r="E39">
        <f ca="1">DAY(E34)</f>
        <v>13</v>
      </c>
      <c r="O39" s="5"/>
    </row>
    <row r="40" spans="3:20" ht="15" customHeight="1" x14ac:dyDescent="0.3">
      <c r="C40" s="6" t="s">
        <v>134</v>
      </c>
      <c r="D40"/>
      <c r="E40" s="4">
        <f ca="1">WEEKDAY(E34)</f>
        <v>5</v>
      </c>
      <c r="F40" s="28" t="s">
        <v>135</v>
      </c>
      <c r="G40" s="28"/>
      <c r="O40" s="5"/>
      <c r="T40" s="5"/>
    </row>
    <row r="41" spans="3:20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Q41" s="5"/>
    </row>
    <row r="42" spans="3:20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0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0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0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0" ht="15" customHeight="1" x14ac:dyDescent="0.3">
      <c r="L46" s="8" t="s">
        <v>55</v>
      </c>
      <c r="M46" s="4" t="s">
        <v>146</v>
      </c>
      <c r="N46" s="4">
        <v>1100</v>
      </c>
    </row>
    <row r="47" spans="3:20" ht="25.2" customHeight="1" x14ac:dyDescent="0.3">
      <c r="L47" s="8" t="s">
        <v>60</v>
      </c>
      <c r="M47" s="4" t="s">
        <v>147</v>
      </c>
      <c r="N47" s="4">
        <v>800</v>
      </c>
    </row>
    <row r="48" spans="3:20" ht="40.950000000000003" customHeight="1" x14ac:dyDescent="0.3"/>
    <row r="49" spans="3:16" ht="15" customHeight="1" x14ac:dyDescent="0.3">
      <c r="M49" s="6" t="s">
        <v>148</v>
      </c>
      <c r="N49">
        <f>MATCH("P100",Table3[SKU],0)</f>
        <v>1</v>
      </c>
    </row>
    <row r="50" spans="3:16" ht="39.75" customHeight="1" x14ac:dyDescent="0.3">
      <c r="L50" s="13"/>
      <c r="M50" s="16" t="s">
        <v>149</v>
      </c>
      <c r="N50" s="13">
        <f>INDEX(Table3[[SKU]:[UnitPrice]],4,3)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INDEX(Table3[[SKU]:[UnitPrice]],MATCH("P103",Table3[SKU],0),0)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C32:E32"/>
    <mergeCell ref="L24:N25"/>
    <mergeCell ref="L37:N37"/>
    <mergeCell ref="F40:G4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C01A-C425-4373-9C86-7B86AF145DB4}">
  <dimension ref="A2:W64"/>
  <sheetViews>
    <sheetView topLeftCell="L38" workbookViewId="0">
      <selection activeCell="O42" sqref="O42:O46"/>
    </sheetView>
  </sheetViews>
  <sheetFormatPr defaultRowHeight="14.4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style="35" customWidth="1"/>
    <col min="16" max="16" width="18.6640625" bestFit="1" customWidth="1"/>
    <col min="17" max="17" width="14.6640625" bestFit="1" customWidth="1"/>
    <col min="18" max="18" width="37.33203125" bestFit="1" customWidth="1"/>
    <col min="19" max="19" width="15.44140625" bestFit="1" customWidth="1"/>
    <col min="20" max="20" width="15.44140625" customWidth="1"/>
    <col min="21" max="21" width="36.5546875" bestFit="1" customWidth="1"/>
    <col min="22" max="22" width="18.21875" bestFit="1" customWidth="1"/>
    <col min="23" max="23" width="14.88671875" bestFit="1" customWidth="1"/>
  </cols>
  <sheetData>
    <row r="2" spans="1:23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33" t="s">
        <v>4</v>
      </c>
    </row>
    <row r="3" spans="1:23" ht="15" customHeight="1" x14ac:dyDescent="0.3">
      <c r="L3" s="4" t="s">
        <v>5</v>
      </c>
      <c r="M3" s="4" t="s">
        <v>6</v>
      </c>
      <c r="N3" s="4" t="s">
        <v>7</v>
      </c>
      <c r="O3" s="34" t="s">
        <v>8</v>
      </c>
    </row>
    <row r="4" spans="1:23" ht="15" customHeight="1" x14ac:dyDescent="0.3">
      <c r="L4" s="4" t="s">
        <v>9</v>
      </c>
      <c r="M4" s="4" t="s">
        <v>10</v>
      </c>
      <c r="N4" s="4" t="s">
        <v>11</v>
      </c>
      <c r="O4" s="34" t="s">
        <v>12</v>
      </c>
    </row>
    <row r="5" spans="1:23" ht="15" customHeight="1" x14ac:dyDescent="0.3">
      <c r="L5" s="4" t="s">
        <v>13</v>
      </c>
      <c r="M5" s="4" t="s">
        <v>14</v>
      </c>
      <c r="N5" s="4" t="s">
        <v>15</v>
      </c>
      <c r="O5" s="34" t="s">
        <v>16</v>
      </c>
    </row>
    <row r="6" spans="1:23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34" t="s">
        <v>29</v>
      </c>
    </row>
    <row r="7" spans="1:23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8">
        <v>43595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VLOOKUP(D7,Table410[[DeptCode]:[DeptName]],2,FALSE)</f>
        <v>Sales</v>
      </c>
      <c r="K7" s="4" t="str">
        <f>_xlfn.XLOOKUP(D7,Table410[DeptCode],Table410[Manager],"Not assigned",0)</f>
        <v>Anita Verma</v>
      </c>
      <c r="L7" s="20"/>
      <c r="M7" s="20"/>
    </row>
    <row r="8" spans="1:23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VLOOKUP(D8,Table410[[DeptCode]:[DeptName]],2,FALSE)</f>
        <v>Human Resources</v>
      </c>
      <c r="K8" s="4" t="str">
        <f>_xlfn.XLOOKUP(D8,Table410[DeptCode],Table410[Manager],"Not assigned",0)</f>
        <v>Vijay Rao</v>
      </c>
    </row>
    <row r="9" spans="1:23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VLOOKUP(D9,Table410[[DeptCode]:[DeptName]],2,FALSE)</f>
        <v>Information Technology</v>
      </c>
      <c r="K9" s="4" t="str">
        <f>_xlfn.XLOOKUP(D9,Table410[DeptCode],Table410[Manager],"Not assigned",0)</f>
        <v>Meera Iyer</v>
      </c>
    </row>
    <row r="10" spans="1:23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VLOOKUP(D10,Table410[[DeptCode]:[DeptName]],2,FALSE)</f>
        <v>Sales</v>
      </c>
      <c r="K10" s="4" t="str">
        <f>_xlfn.XLOOKUP(D10,Table410[DeptCode],Table410[Manager],"Not assigned",0)</f>
        <v>Anita Verma</v>
      </c>
    </row>
    <row r="11" spans="1:23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VLOOKUP(D11,Table410[[DeptCode]:[DeptName]],2,FALSE)</f>
        <v>Finance</v>
      </c>
      <c r="K11" s="4" t="str">
        <f>_xlfn.XLOOKUP(D11,Table410[DeptCode],Table410[Manager],"Not assigned",0)</f>
        <v>Arun Sharma</v>
      </c>
      <c r="R11" s="21" t="s">
        <v>158</v>
      </c>
    </row>
    <row r="12" spans="1:23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VLOOKUP(D12,Table410[[DeptCode]:[DeptName]],2,FALSE)</f>
        <v>Information Technology</v>
      </c>
      <c r="K12" s="4" t="str">
        <f>_xlfn.XLOOKUP(D12,Table410[DeptCode],Table410[Manager],"Not assigned",0)</f>
        <v>Meera Iyer</v>
      </c>
    </row>
    <row r="13" spans="1:23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VLOOKUP(D13,Table410[[DeptCode]:[DeptName]],2,FALSE)</f>
        <v>Sales</v>
      </c>
      <c r="K13" s="4" t="str">
        <f>_xlfn.XLOOKUP(D13,Table410[DeptCode],Table410[Manager],"Not assigned",0)</f>
        <v>Anita Verma</v>
      </c>
      <c r="N13" s="3"/>
    </row>
    <row r="14" spans="1:23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VLOOKUP(D14,Table410[[DeptCode]:[DeptName]],2,FALSE)</f>
        <v>Human Resources</v>
      </c>
      <c r="K14" s="4" t="str">
        <f>_xlfn.XLOOKUP(D14,Table410[DeptCode],Table410[Manager],"Not assigned",0)</f>
        <v>Vijay Rao</v>
      </c>
      <c r="U14" s="21" t="s">
        <v>155</v>
      </c>
      <c r="V14" s="21" t="s">
        <v>156</v>
      </c>
      <c r="W14" s="21" t="s">
        <v>157</v>
      </c>
    </row>
    <row r="15" spans="1:23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VLOOKUP(D15,Table410[[DeptCode]:[DeptName]],2,FALSE)</f>
        <v>Finance</v>
      </c>
      <c r="K15" s="4" t="str">
        <f>_xlfn.XLOOKUP(D15,Table410[DeptCode],Table410[Manager],"Not assigned",0)</f>
        <v>Arun Sharma</v>
      </c>
      <c r="R15" s="21" t="s">
        <v>153</v>
      </c>
      <c r="S15" s="2">
        <f ca="1">TODAY()</f>
        <v>45974</v>
      </c>
      <c r="T15" s="2" t="s">
        <v>159</v>
      </c>
      <c r="U15">
        <f ca="1">YEAR(S15)</f>
        <v>2025</v>
      </c>
      <c r="V15">
        <f ca="1">MONTH(S15)</f>
        <v>11</v>
      </c>
      <c r="W15">
        <f ca="1">DAY(S15)</f>
        <v>13</v>
      </c>
    </row>
    <row r="16" spans="1:23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VLOOKUP(D16,Table410[[DeptCode]:[DeptName]],2,FALSE)</f>
        <v>Information Technology</v>
      </c>
      <c r="K16" s="4" t="str">
        <f>_xlfn.XLOOKUP(D16,Table410[DeptCode],Table410[Manager],"Not assigned",0)</f>
        <v>Meera Iyer</v>
      </c>
      <c r="R16" s="21" t="s">
        <v>154</v>
      </c>
      <c r="S16" s="19">
        <f ca="1">NOW()</f>
        <v>45974.398764583333</v>
      </c>
      <c r="T16" s="19" t="s">
        <v>160</v>
      </c>
      <c r="U16" t="s">
        <v>161</v>
      </c>
      <c r="V16" t="s">
        <v>162</v>
      </c>
      <c r="W16" t="s">
        <v>163</v>
      </c>
    </row>
    <row r="17" spans="1:22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VLOOKUP(D17,Table410[[DeptCode]:[DeptName]],2,FALSE)</f>
        <v>Sales</v>
      </c>
      <c r="K17" s="4" t="str">
        <f>_xlfn.XLOOKUP(D17,Table410[DeptCode],Table410[Manager],"Not assigned",0)</f>
        <v>Anita Verma</v>
      </c>
      <c r="R17" s="6" t="s">
        <v>134</v>
      </c>
      <c r="T17" s="4">
        <f ca="1">WEEKDAY(S15)</f>
        <v>5</v>
      </c>
      <c r="U17" s="28" t="s">
        <v>135</v>
      </c>
      <c r="V17" s="28"/>
    </row>
    <row r="18" spans="1:22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VLOOKUP(D18,Table410[[DeptCode]:[DeptName]],2,FALSE)</f>
        <v>Human Resources</v>
      </c>
      <c r="K18" s="4" t="str">
        <f>_xlfn.XLOOKUP(D18,Table410[DeptCode],Table410[Manager],"Not assigned",0)</f>
        <v>Vijay Rao</v>
      </c>
      <c r="R18" s="6" t="s">
        <v>136</v>
      </c>
      <c r="S18" s="5"/>
      <c r="T18" t="str">
        <f ca="1">CHOOSE(WEEKDAY(S15),"mon","tue","wed","thur","fri","sat","sun")</f>
        <v>fri</v>
      </c>
      <c r="U18" s="4"/>
      <c r="V18" s="8"/>
    </row>
    <row r="19" spans="1:22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VLOOKUP(D19,Table410[[DeptCode]:[DeptName]],2,FALSE)</f>
        <v>Finance</v>
      </c>
      <c r="K19" s="4" t="str">
        <f>_xlfn.XLOOKUP(D19,Table410[DeptCode],Table410[Manager],"Not assigned",0)</f>
        <v>Arun Sharma</v>
      </c>
      <c r="R19" s="6" t="s">
        <v>139</v>
      </c>
      <c r="T19">
        <f ca="1">DATEDIF(E8,TODAY(),"Y")</f>
        <v>7</v>
      </c>
      <c r="U19" s="4"/>
      <c r="V19" s="8"/>
    </row>
    <row r="20" spans="1:22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VLOOKUP(D20,Table410[[DeptCode]:[DeptName]],2,FALSE)</f>
        <v>Information Technology</v>
      </c>
      <c r="K20" s="4" t="str">
        <f>_xlfn.XLOOKUP(D20,Table410[DeptCode],Table410[Manager],"Not assigned",0)</f>
        <v>Meera Iyer</v>
      </c>
      <c r="L20" s="4" t="s">
        <v>92</v>
      </c>
      <c r="M20" s="4" t="s">
        <v>93</v>
      </c>
      <c r="N20" s="4" t="s">
        <v>94</v>
      </c>
      <c r="O20" s="34" t="s">
        <v>95</v>
      </c>
      <c r="P20" s="4" t="s">
        <v>96</v>
      </c>
      <c r="R20" s="6" t="s">
        <v>141</v>
      </c>
      <c r="T20">
        <f ca="1">DATEDIF(E8,TODAY(),"yM")</f>
        <v>7</v>
      </c>
      <c r="U20" s="4"/>
      <c r="V20" s="8"/>
    </row>
    <row r="21" spans="1:22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VLOOKUP(D21,Table410[[DeptCode]:[DeptName]],2,FALSE)</f>
        <v>Sales</v>
      </c>
      <c r="K21" s="4" t="str">
        <f>_xlfn.XLOOKUP(D21,Table410[DeptCode],Table410[Manager],"Not assigned",0)</f>
        <v>Anita Verma</v>
      </c>
      <c r="L21" s="4" t="s">
        <v>101</v>
      </c>
      <c r="M21" s="4">
        <v>0.12</v>
      </c>
      <c r="N21" s="4">
        <v>0.08</v>
      </c>
      <c r="O21" s="34">
        <v>0.05</v>
      </c>
      <c r="P21" s="4">
        <v>0.02</v>
      </c>
      <c r="R21" s="6" t="s">
        <v>143</v>
      </c>
      <c r="T21">
        <f ca="1">DATEDIF(F2,TODAY(),"Y")</f>
        <v>125</v>
      </c>
      <c r="U21" s="4"/>
      <c r="V21" s="8"/>
    </row>
    <row r="22" spans="1:22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VLOOKUP(D22,Table410[[DeptCode]:[DeptName]],2,FALSE)</f>
        <v>Finance</v>
      </c>
      <c r="K22" s="4" t="str">
        <f>_xlfn.XLOOKUP(D22,Table410[DeptCode],Table410[Manager],"Not assigned",0)</f>
        <v>Arun Sharma</v>
      </c>
      <c r="U22" s="4"/>
      <c r="V22" s="8"/>
    </row>
    <row r="23" spans="1:22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VLOOKUP(D23,Table410[[DeptCode]:[DeptName]],2,FALSE)</f>
        <v>Human Resources</v>
      </c>
      <c r="K23" s="4" t="str">
        <f>_xlfn.XLOOKUP(D23,Table410[DeptCode],Table410[Manager],"Not assigned",0)</f>
        <v>Vijay Rao</v>
      </c>
    </row>
    <row r="24" spans="1:22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VLOOKUP(D24,Table410[[DeptCode]:[DeptName]],2,FALSE)</f>
        <v>Information Technology</v>
      </c>
      <c r="K24" s="4" t="str">
        <f>_xlfn.XLOOKUP(D24,Table410[DeptCode],Table410[Manager],"Not assigned",0)</f>
        <v>Meera Iyer</v>
      </c>
      <c r="L24" s="25" t="s">
        <v>114</v>
      </c>
      <c r="M24" s="25"/>
      <c r="N24" s="25"/>
    </row>
    <row r="25" spans="1:22" ht="109.2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VLOOKUP(D25,Table410[[DeptCode]:[DeptName]],2,FALSE)</f>
        <v>Sales</v>
      </c>
      <c r="K25" s="4" t="str">
        <f>_xlfn.XLOOKUP(D25,Table410[DeptCode],Table410[Manager],"Not assigned",0)</f>
        <v>Anita Verma</v>
      </c>
      <c r="L25" s="25"/>
      <c r="M25" s="25"/>
      <c r="N25" s="25"/>
      <c r="R25" s="22" t="s">
        <v>0</v>
      </c>
    </row>
    <row r="26" spans="1:22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VLOOKUP(D26,Table410[[DeptCode]:[DeptName]],2,FALSE)</f>
        <v>Finance</v>
      </c>
      <c r="K26" s="4" t="str">
        <f>_xlfn.XLOOKUP(D26,Table410[DeptCode],Table410[Manager],"Not assigned",0)</f>
        <v>Arun Sharma</v>
      </c>
      <c r="L26" s="17"/>
      <c r="M26" s="17"/>
      <c r="N26" s="17"/>
      <c r="R26" s="23" t="s">
        <v>165</v>
      </c>
    </row>
    <row r="27" spans="1:22" x14ac:dyDescent="0.3">
      <c r="R27" s="23" t="s">
        <v>164</v>
      </c>
    </row>
    <row r="29" spans="1:22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22" x14ac:dyDescent="0.3">
      <c r="F30" s="8"/>
      <c r="G30" s="4"/>
      <c r="L30" s="4">
        <v>0</v>
      </c>
      <c r="M30" s="4" t="s">
        <v>96</v>
      </c>
      <c r="N30">
        <f>HLOOKUP(Table17[[#This Row],[Grade]],Table28[[#All],[A]:[D]],2,FALSE)</f>
        <v>0.02</v>
      </c>
    </row>
    <row r="31" spans="1:22" x14ac:dyDescent="0.3">
      <c r="F31" s="8"/>
      <c r="G31" s="4"/>
      <c r="L31" s="4">
        <v>75</v>
      </c>
      <c r="M31" s="4" t="s">
        <v>95</v>
      </c>
      <c r="N31">
        <f>HLOOKUP(Table17[[#This Row],[Grade]],Table28[[#All],[A]:[D]],2,FALSE)</f>
        <v>0.05</v>
      </c>
    </row>
    <row r="32" spans="1:22" ht="23.4" x14ac:dyDescent="0.45">
      <c r="C32" s="24" t="s">
        <v>126</v>
      </c>
      <c r="D32" s="24"/>
      <c r="E32" s="24"/>
      <c r="F32" s="8"/>
      <c r="G32" s="4"/>
      <c r="L32" s="4">
        <v>85</v>
      </c>
      <c r="M32" s="4" t="s">
        <v>94</v>
      </c>
      <c r="N32">
        <f>HLOOKUP(Table17[[#This Row],[Grade]],Table28[[#All],[A]:[D]],2,FALSE)</f>
        <v>0.08</v>
      </c>
    </row>
    <row r="33" spans="3:21" x14ac:dyDescent="0.3">
      <c r="F33" s="8"/>
      <c r="G33" s="4"/>
      <c r="L33" s="4">
        <v>92</v>
      </c>
      <c r="M33" s="4" t="s">
        <v>93</v>
      </c>
      <c r="N33">
        <f>HLOOKUP(Table17[[#This Row],[Grade]],Table28[[#All],[A]:[D]],2,FALSE)</f>
        <v>0.12</v>
      </c>
    </row>
    <row r="34" spans="3:21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1" x14ac:dyDescent="0.3">
      <c r="C35" s="6"/>
      <c r="D35"/>
      <c r="E35" s="19">
        <f ca="1">NOW()</f>
        <v>45974.398764583333</v>
      </c>
      <c r="F35" s="8"/>
      <c r="G35" s="4"/>
    </row>
    <row r="36" spans="3:21" x14ac:dyDescent="0.3">
      <c r="C36" s="6" t="s">
        <v>128</v>
      </c>
      <c r="D36" s="3"/>
      <c r="E36"/>
    </row>
    <row r="37" spans="3:21" ht="162" customHeight="1" x14ac:dyDescent="0.3">
      <c r="C37" s="6" t="s">
        <v>129</v>
      </c>
      <c r="D37"/>
      <c r="E37">
        <f ca="1">YEAR(E34)</f>
        <v>2025</v>
      </c>
      <c r="L37" s="26" t="s">
        <v>130</v>
      </c>
      <c r="M37" s="27"/>
      <c r="N37" s="27"/>
      <c r="O37" s="36" t="s">
        <v>131</v>
      </c>
    </row>
    <row r="38" spans="3:21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37"/>
    </row>
    <row r="39" spans="3:21" ht="15" customHeight="1" x14ac:dyDescent="0.3">
      <c r="C39" s="6" t="s">
        <v>133</v>
      </c>
      <c r="D39"/>
      <c r="E39">
        <f ca="1">DAY(E34)</f>
        <v>13</v>
      </c>
      <c r="O39" s="37"/>
    </row>
    <row r="40" spans="3:21" ht="15" customHeight="1" x14ac:dyDescent="0.3">
      <c r="C40" s="6" t="s">
        <v>134</v>
      </c>
      <c r="D40"/>
      <c r="E40" s="4">
        <f ca="1">WEEKDAY(E34)</f>
        <v>5</v>
      </c>
      <c r="F40" s="28" t="s">
        <v>135</v>
      </c>
      <c r="G40" s="28"/>
      <c r="O40" s="37"/>
      <c r="U40" s="5"/>
    </row>
    <row r="41" spans="3:21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O41" s="35" t="s">
        <v>167</v>
      </c>
      <c r="P41" t="s">
        <v>166</v>
      </c>
      <c r="Q41" s="5"/>
    </row>
    <row r="42" spans="3:21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  <c r="O42" t="str">
        <f>HLOOKUP(L42,Table39[[#This Row],[SKU]]:N47,2,FALSE)</f>
        <v>P101</v>
      </c>
      <c r="P42" t="str">
        <f>VLOOKUP(Table39[[#This Row],[SKU]],Table39[[SKU]:[UnitPrice]],2,FALSE)</f>
        <v>CRM License</v>
      </c>
    </row>
    <row r="43" spans="3:21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  <c r="O43" s="32" t="str">
        <f>HLOOKUP(L43,Table39[[#This Row],[SKU]]:N48,2,FALSE)</f>
        <v>P102</v>
      </c>
      <c r="P43" t="str">
        <f>VLOOKUP(Table39[[#This Row],[SKU]],Table39[[SKU]:[UnitPrice]],2,FALSE)</f>
        <v>HRMS License</v>
      </c>
    </row>
    <row r="44" spans="3:21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  <c r="O44" s="32" t="str">
        <f>HLOOKUP(L44,Table39[[#This Row],[SKU]]:N49,2,FALSE)</f>
        <v>P103</v>
      </c>
      <c r="P44" t="str">
        <f>VLOOKUP(Table39[[#This Row],[SKU]],Table39[[SKU]:[UnitPrice]],2,FALSE)</f>
        <v>Dev Tools Suite</v>
      </c>
    </row>
    <row r="45" spans="3:21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  <c r="O45" s="32" t="str">
        <f>HLOOKUP(L45,Table39[[#This Row],[SKU]]:N50,2,FALSE)</f>
        <v>P104</v>
      </c>
      <c r="P45" t="str">
        <f>VLOOKUP(Table39[[#This Row],[SKU]],Table39[[SKU]:[UnitPrice]],2,FALSE)</f>
        <v>Financial Suite</v>
      </c>
    </row>
    <row r="46" spans="3:21" ht="15" customHeight="1" x14ac:dyDescent="0.3">
      <c r="L46" s="8" t="s">
        <v>55</v>
      </c>
      <c r="M46" s="4" t="s">
        <v>146</v>
      </c>
      <c r="N46" s="4">
        <v>1100</v>
      </c>
      <c r="O46" s="32" t="str">
        <f>HLOOKUP(L46,Table39[[#This Row],[SKU]]:N51,2,FALSE)</f>
        <v>P105</v>
      </c>
      <c r="P46" t="str">
        <f>VLOOKUP(Table39[[#This Row],[SKU]],Table39[[SKU]:[UnitPrice]],2,FALSE)</f>
        <v>Cloud Credits Pack</v>
      </c>
    </row>
    <row r="47" spans="3:21" ht="25.2" customHeight="1" x14ac:dyDescent="0.3">
      <c r="L47" s="8" t="s">
        <v>60</v>
      </c>
      <c r="M47" s="4" t="s">
        <v>147</v>
      </c>
      <c r="N47" s="4">
        <v>800</v>
      </c>
      <c r="O47" s="32">
        <f>HLOOKUP(L47,Table39[[#This Row],[SKU]]:N52,2,FALSE)</f>
        <v>0</v>
      </c>
      <c r="P47" t="str">
        <f>VLOOKUP(Table39[[#This Row],[SKU]],Table39[[SKU]:[UnitPrice]],2,FALSE)</f>
        <v>Sales Enablement Kit</v>
      </c>
    </row>
    <row r="48" spans="3:21" ht="40.950000000000003" customHeight="1" x14ac:dyDescent="0.3"/>
    <row r="49" spans="3:16" ht="15" customHeight="1" x14ac:dyDescent="0.3">
      <c r="M49" s="6" t="s">
        <v>148</v>
      </c>
      <c r="N49">
        <f>MATCH("P100",Table39[SKU],0)</f>
        <v>1</v>
      </c>
    </row>
    <row r="50" spans="3:16" ht="39.75" customHeight="1" x14ac:dyDescent="0.3">
      <c r="L50" s="13"/>
      <c r="M50" s="16" t="s">
        <v>149</v>
      </c>
      <c r="N50" s="13">
        <f>INDEX(Table39[[SKU]:[UnitPrice]],4,3)</f>
        <v>2000</v>
      </c>
      <c r="O50" s="38"/>
    </row>
    <row r="51" spans="3:16" ht="15" customHeight="1" x14ac:dyDescent="0.3">
      <c r="L51" s="14"/>
      <c r="M51" s="18" t="s">
        <v>150</v>
      </c>
      <c r="N51" s="15" t="str" cm="1">
        <f t="array" ref="N51:P51">INDEX(Table39[[SKU]:[UnitPrice]],MATCH("P103",Table39[SKU],0),0)</f>
        <v>P103</v>
      </c>
      <c r="O51" s="39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5">
    <mergeCell ref="L24:N25"/>
    <mergeCell ref="C32:E32"/>
    <mergeCell ref="L37:N37"/>
    <mergeCell ref="F40:G40"/>
    <mergeCell ref="U17:V1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8E9B-484C-468A-9909-EC4B4A700735}">
  <dimension ref="A1:D7"/>
  <sheetViews>
    <sheetView tabSelected="1" workbookViewId="0">
      <selection activeCell="A3" sqref="A3"/>
    </sheetView>
  </sheetViews>
  <sheetFormatPr defaultRowHeight="14.4" x14ac:dyDescent="0.3"/>
  <cols>
    <col min="1" max="1" width="16.44140625" bestFit="1" customWidth="1"/>
    <col min="4" max="4" width="18.6640625" style="32" bestFit="1" customWidth="1"/>
  </cols>
  <sheetData>
    <row r="1" spans="1:4" x14ac:dyDescent="0.3">
      <c r="A1" s="7" t="s">
        <v>18</v>
      </c>
      <c r="B1" s="1" t="s">
        <v>137</v>
      </c>
      <c r="C1" s="1" t="s">
        <v>138</v>
      </c>
      <c r="D1" s="32" t="s">
        <v>167</v>
      </c>
    </row>
    <row r="2" spans="1:4" x14ac:dyDescent="0.3">
      <c r="A2" s="8" t="s">
        <v>31</v>
      </c>
      <c r="B2" s="4" t="s">
        <v>140</v>
      </c>
      <c r="C2" s="4">
        <v>1200</v>
      </c>
      <c r="D2" t="e">
        <f>HLOOKUP(A2,Table39[[#This Row],[SKU]]:C7,2,FALSE)</f>
        <v>#VALUE!</v>
      </c>
    </row>
    <row r="3" spans="1:4" x14ac:dyDescent="0.3">
      <c r="A3" s="8" t="s">
        <v>36</v>
      </c>
      <c r="B3" s="4" t="s">
        <v>142</v>
      </c>
      <c r="C3" s="4">
        <v>900</v>
      </c>
      <c r="D3" s="32" t="e">
        <f>HLOOKUP(A3,Table39[[#This Row],[SKU]]:C8,2,FALSE)</f>
        <v>#VALUE!</v>
      </c>
    </row>
    <row r="4" spans="1:4" x14ac:dyDescent="0.3">
      <c r="A4" s="8" t="s">
        <v>41</v>
      </c>
      <c r="B4" s="4" t="s">
        <v>144</v>
      </c>
      <c r="C4" s="4">
        <v>1500</v>
      </c>
      <c r="D4" s="32" t="e">
        <f>HLOOKUP(A4,Table39[[#This Row],[SKU]]:C9,2,FALSE)</f>
        <v>#VALUE!</v>
      </c>
    </row>
    <row r="5" spans="1:4" x14ac:dyDescent="0.3">
      <c r="A5" s="8" t="s">
        <v>50</v>
      </c>
      <c r="B5" s="4" t="s">
        <v>145</v>
      </c>
      <c r="C5" s="4">
        <v>2000</v>
      </c>
      <c r="D5" s="32" t="e">
        <f>HLOOKUP(A5,Table39[[#This Row],[SKU]]:C10,2,FALSE)</f>
        <v>#VALUE!</v>
      </c>
    </row>
    <row r="6" spans="1:4" x14ac:dyDescent="0.3">
      <c r="A6" s="8" t="s">
        <v>55</v>
      </c>
      <c r="B6" s="4" t="s">
        <v>146</v>
      </c>
      <c r="C6" s="4">
        <v>1100</v>
      </c>
      <c r="D6" s="32" t="e">
        <f>HLOOKUP(A6,Table39[[#This Row],[SKU]]:C11,2,FALSE)</f>
        <v>#VALUE!</v>
      </c>
    </row>
    <row r="7" spans="1:4" x14ac:dyDescent="0.3">
      <c r="A7" s="8" t="s">
        <v>60</v>
      </c>
      <c r="B7" s="4" t="s">
        <v>147</v>
      </c>
      <c r="C7" s="4">
        <v>800</v>
      </c>
      <c r="D7" s="32" t="e">
        <f>HLOOKUP(A7,Table39[[#This Row],[SKU]]:C12,2,FALSE)</f>
        <v>#VALUE!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3B20-BDE0-48F2-8DE4-61FA2CCCF3DD}">
  <dimension ref="A1:D7"/>
  <sheetViews>
    <sheetView workbookViewId="0">
      <selection activeCell="D2" sqref="D2"/>
    </sheetView>
  </sheetViews>
  <sheetFormatPr defaultRowHeight="14.4" x14ac:dyDescent="0.3"/>
  <cols>
    <col min="4" max="4" width="18" bestFit="1" customWidth="1"/>
  </cols>
  <sheetData>
    <row r="1" spans="1:4" x14ac:dyDescent="0.3">
      <c r="A1" s="44" t="s">
        <v>18</v>
      </c>
      <c r="B1" s="45" t="s">
        <v>137</v>
      </c>
      <c r="C1" s="45" t="s">
        <v>138</v>
      </c>
      <c r="D1" s="29" t="s">
        <v>166</v>
      </c>
    </row>
    <row r="2" spans="1:4" x14ac:dyDescent="0.3">
      <c r="A2" s="40" t="s">
        <v>31</v>
      </c>
      <c r="B2" s="41" t="s">
        <v>140</v>
      </c>
      <c r="C2" s="41">
        <v>1200</v>
      </c>
      <c r="D2" s="30" t="str">
        <f>VLOOKUP(Table3912[[#This Row],[SKU]],Table3912[[SKU]:[UnitPrice]],2,FALSE)</f>
        <v>CRM License</v>
      </c>
    </row>
    <row r="3" spans="1:4" x14ac:dyDescent="0.3">
      <c r="A3" s="40" t="s">
        <v>36</v>
      </c>
      <c r="B3" s="41" t="s">
        <v>142</v>
      </c>
      <c r="C3" s="41">
        <v>900</v>
      </c>
      <c r="D3" s="30" t="str">
        <f>VLOOKUP(Table3912[[#This Row],[SKU]],Table3912[[SKU]:[UnitPrice]],2,FALSE)</f>
        <v>HRMS License</v>
      </c>
    </row>
    <row r="4" spans="1:4" x14ac:dyDescent="0.3">
      <c r="A4" s="40" t="s">
        <v>41</v>
      </c>
      <c r="B4" s="41" t="s">
        <v>144</v>
      </c>
      <c r="C4" s="41">
        <v>1500</v>
      </c>
      <c r="D4" s="30" t="str">
        <f>VLOOKUP(Table3912[[#This Row],[SKU]],Table3912[[SKU]:[UnitPrice]],2,FALSE)</f>
        <v>Dev Tools Suite</v>
      </c>
    </row>
    <row r="5" spans="1:4" x14ac:dyDescent="0.3">
      <c r="A5" s="40" t="s">
        <v>50</v>
      </c>
      <c r="B5" s="41" t="s">
        <v>145</v>
      </c>
      <c r="C5" s="41">
        <v>2000</v>
      </c>
      <c r="D5" s="30" t="str">
        <f>VLOOKUP(Table3912[[#This Row],[SKU]],Table3912[[SKU]:[UnitPrice]],2,FALSE)</f>
        <v>Financial Suite</v>
      </c>
    </row>
    <row r="6" spans="1:4" x14ac:dyDescent="0.3">
      <c r="A6" s="40" t="s">
        <v>55</v>
      </c>
      <c r="B6" s="41" t="s">
        <v>146</v>
      </c>
      <c r="C6" s="41">
        <v>1100</v>
      </c>
      <c r="D6" s="30" t="str">
        <f>VLOOKUP(Table3912[[#This Row],[SKU]],Table3912[[SKU]:[UnitPrice]],2,FALSE)</f>
        <v>Cloud Credits Pack</v>
      </c>
    </row>
    <row r="7" spans="1:4" x14ac:dyDescent="0.3">
      <c r="A7" s="42" t="s">
        <v>60</v>
      </c>
      <c r="B7" s="43" t="s">
        <v>147</v>
      </c>
      <c r="C7" s="43">
        <v>800</v>
      </c>
      <c r="D7" s="31" t="str">
        <f>VLOOKUP(Table3912[[#This Row],[SKU]],Table3912[[SKU]:[UnitPrice]],2,FALSE)</f>
        <v>Sales Enablement Kit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Dataset1-1</vt:lpstr>
      <vt:lpstr>HLOOKUP</vt:lpstr>
      <vt:lpstr>VLOOKUP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kannan</dc:creator>
  <cp:keywords/>
  <dc:description/>
  <cp:lastModifiedBy>Priya Kannan</cp:lastModifiedBy>
  <cp:revision/>
  <dcterms:created xsi:type="dcterms:W3CDTF">2025-08-23T10:14:07Z</dcterms:created>
  <dcterms:modified xsi:type="dcterms:W3CDTF">2025-11-13T04:08:58Z</dcterms:modified>
  <cp:category/>
  <cp:contentStatus/>
</cp:coreProperties>
</file>