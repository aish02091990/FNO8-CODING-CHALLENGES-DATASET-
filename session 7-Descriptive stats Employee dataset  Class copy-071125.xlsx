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set" sheetId="1" r:id="rId4"/>
    <sheet state="visible" name="descriptive stats" sheetId="2" r:id="rId5"/>
    <sheet state="visible" name="std explaination" sheetId="3" r:id="rId6"/>
  </sheets>
  <definedNames>
    <definedName name="Total_Cost">#REF!</definedName>
    <definedName name="Product">#REF!</definedName>
    <definedName name="Unit_Price">#REF!</definedName>
    <definedName name="Revenue">#REF!</definedName>
    <definedName name="Fixed_Cost">#REF!</definedName>
    <definedName name="A">#REF!</definedName>
    <definedName name="Variable_Cost_Unit">#REF!</definedName>
    <definedName name="Profit">#REF!</definedName>
    <definedName name="Units_Sold">#REF!</definedName>
    <definedName name="C_">#REF!</definedName>
  </definedNames>
  <calcPr/>
  <extLst>
    <ext uri="GoogleSheetsCustomDataVersion2">
      <go:sheetsCustomData xmlns:go="http://customooxmlschemas.google.com/" r:id="rId7" roundtripDataChecksum="V/QYpD1gZ8QeHX9hRkJOoBZp7to5gpgsmd+amTzHMEU="/>
    </ext>
  </extLst>
</workbook>
</file>

<file path=xl/sharedStrings.xml><?xml version="1.0" encoding="utf-8"?>
<sst xmlns="http://schemas.openxmlformats.org/spreadsheetml/2006/main" count="131" uniqueCount="72">
  <si>
    <t>* Data exploration and summary statistics, 
* Filtering and Sorting data in excel,
* Descriptive Statistics,
* Mean, 
* standard deviation, etc., using Analysis ToolPak,Mean, standard deviation, etc., using Analysis ToolPak</t>
  </si>
  <si>
    <t>EmployeeID</t>
  </si>
  <si>
    <t>JoinDate</t>
  </si>
  <si>
    <t>Name</t>
  </si>
  <si>
    <t>Department</t>
  </si>
  <si>
    <t>Age</t>
  </si>
  <si>
    <t>Salary</t>
  </si>
  <si>
    <t>PerformanceScore</t>
  </si>
  <si>
    <t>John Smith</t>
  </si>
  <si>
    <t>Sales</t>
  </si>
  <si>
    <t>Anna Lee</t>
  </si>
  <si>
    <t>HR</t>
  </si>
  <si>
    <t>Raj Kumar</t>
  </si>
  <si>
    <t>IT</t>
  </si>
  <si>
    <t>Maria Jose</t>
  </si>
  <si>
    <t>Ahmed Ali</t>
  </si>
  <si>
    <t>Finance</t>
  </si>
  <si>
    <t xml:space="preserve">      Priya N</t>
  </si>
  <si>
    <t>James Wong</t>
  </si>
  <si>
    <t>Chen Wei</t>
  </si>
  <si>
    <t>hr</t>
  </si>
  <si>
    <t>Neha Singh</t>
  </si>
  <si>
    <t>peter pan</t>
  </si>
  <si>
    <t xml:space="preserve">         Luis M</t>
  </si>
  <si>
    <t>Sara Khan</t>
  </si>
  <si>
    <t xml:space="preserve"> David Lee</t>
  </si>
  <si>
    <t>finance</t>
  </si>
  <si>
    <t>Aisha Patel</t>
  </si>
  <si>
    <t>John Deo</t>
  </si>
  <si>
    <t xml:space="preserve"> sales </t>
  </si>
  <si>
    <t>Sneha Roy</t>
  </si>
  <si>
    <t>Finace</t>
  </si>
  <si>
    <t>Mark Smith</t>
  </si>
  <si>
    <t>Li Na</t>
  </si>
  <si>
    <t xml:space="preserve"> Tom Cruise</t>
  </si>
  <si>
    <t>Riya Mehta</t>
  </si>
  <si>
    <t>Data exploration and summary statistics, Filtering and Sorting data in excel,Descriptive Statistics,Mean, standard deviation, etc., using Analysis ToolPak,Mean, standard deviation, etc., using Analysis ToolPak</t>
  </si>
  <si>
    <t>Priya N</t>
  </si>
  <si>
    <t>Peter Pan</t>
  </si>
  <si>
    <t>Luis M</t>
  </si>
  <si>
    <t>David Lee</t>
  </si>
  <si>
    <t>Tom Cruise</t>
  </si>
  <si>
    <t>Summary Statistics</t>
  </si>
  <si>
    <t>salary</t>
  </si>
  <si>
    <t>Performance</t>
  </si>
  <si>
    <t>DETAILS</t>
  </si>
  <si>
    <t>FORMULA</t>
  </si>
  <si>
    <t>sum(total)</t>
  </si>
  <si>
    <t>Mean(Average)</t>
  </si>
  <si>
    <t>sum(F6:F24)/20</t>
  </si>
  <si>
    <t>mode</t>
  </si>
  <si>
    <t>mode.sngl(E6:E24)</t>
  </si>
  <si>
    <t>median</t>
  </si>
  <si>
    <t>median(E6:E24)</t>
  </si>
  <si>
    <t>variance
σ² = Σ(xᵢ - μ)² / N</t>
  </si>
  <si>
    <r>
      <rPr>
        <rFont val="Aptos Narrow"/>
        <color rgb="FF000000"/>
        <sz val="11.0"/>
      </rPr>
      <t xml:space="preserve">Std dev
</t>
    </r>
    <r>
      <rPr>
        <rFont val="Aptos Narrow"/>
        <b/>
        <color rgb="FFBD5015"/>
        <sz val="11.0"/>
      </rPr>
      <t xml:space="preserve">(population std)
</t>
    </r>
    <r>
      <rPr>
        <rFont val="Aptos Narrow"/>
        <color rgb="FF000000"/>
        <sz val="11.0"/>
      </rPr>
      <t xml:space="preserve">σ = √[∑(xᵢ - μ)² / N]
</t>
    </r>
    <r>
      <rPr>
        <rFont val="Aptos Narrow"/>
        <b/>
        <color rgb="FFBD5015"/>
        <sz val="11.0"/>
      </rPr>
      <t xml:space="preserve">(sample std)
</t>
    </r>
    <r>
      <rPr>
        <rFont val="Aptos Narrow"/>
        <color rgb="FF000000"/>
        <sz val="11.0"/>
      </rPr>
      <t>s = √[∑(xᵢ - x̄)² / (n - 1)]</t>
    </r>
  </si>
  <si>
    <t>STDEV(E6:E24)</t>
  </si>
  <si>
    <t>Std dev
(population std)
σ = √[∑(xᵢ - μ)² / N]
(sample std dev)
s = √[∑(xᵢ - x̄)² / (n - 1)]</t>
  </si>
  <si>
    <t>variance 
σ² = Σ(xᵢ - μ)² / N</t>
  </si>
  <si>
    <t>min</t>
  </si>
  <si>
    <t>max</t>
  </si>
  <si>
    <t>count</t>
  </si>
  <si>
    <t>Summary Statistics using Toolpak</t>
  </si>
  <si>
    <t>salary-salarymean(X-Xmean)</t>
  </si>
  <si>
    <t>(x-mean)^2</t>
  </si>
  <si>
    <t>salary-salarymean(X-X-samplemean)</t>
  </si>
  <si>
    <t>(x-xsamplemean)^2</t>
  </si>
  <si>
    <t>Average=</t>
  </si>
  <si>
    <t>sample 10 mean =</t>
  </si>
  <si>
    <t>sum=</t>
  </si>
  <si>
    <t>count-1</t>
  </si>
  <si>
    <t>std dev 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</si>
</sst>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i/>
      <sz val="12.0"/>
      <color theme="8"/>
      <name val="Calibri"/>
    </font>
    <font>
      <sz val="11.0"/>
      <color theme="1"/>
      <name val="Aptos Narrow"/>
    </font>
    <font>
      <b/>
      <sz val="11.0"/>
      <color theme="1"/>
      <name val="Calibri"/>
    </font>
    <font>
      <b/>
      <sz val="11.0"/>
      <color theme="1"/>
      <name val="Aptos Narrow"/>
    </font>
    <font>
      <i/>
      <sz val="11.0"/>
      <color theme="1"/>
      <name val="Aptos Narrow"/>
    </font>
    <font>
      <sz val="11.0"/>
      <color rgb="FF000000"/>
      <name val="Aptos Narrow"/>
    </font>
    <font>
      <color theme="1"/>
      <name val="Aptos Narrow"/>
      <scheme val="minor"/>
    </font>
    <font>
      <color theme="1"/>
      <name val="Arial"/>
    </font>
    <font>
      <b/>
      <sz val="14.0"/>
      <color rgb="FF0F4761"/>
      <name val="Aptos Narrow"/>
    </font>
    <font>
      <b/>
      <color theme="1"/>
      <name val="Arial"/>
    </font>
    <font>
      <b/>
      <color theme="1"/>
      <name val="Aptos Narrow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14" xfId="0" applyFont="1" applyNumberFormat="1"/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2" numFmtId="14" xfId="0" applyFont="1" applyNumberFormat="1"/>
    <xf borderId="0" fillId="0" fontId="4" numFmtId="0" xfId="0" applyFont="1"/>
    <xf borderId="1" fillId="0" fontId="5" numFmtId="0" xfId="0" applyAlignment="1" applyBorder="1" applyFont="1">
      <alignment horizontal="center"/>
    </xf>
    <xf borderId="2" fillId="0" fontId="2" numFmtId="0" xfId="0" applyBorder="1" applyFont="1"/>
    <xf borderId="0" fillId="0" fontId="2" numFmtId="0" xfId="0" applyAlignment="1" applyFont="1">
      <alignment shrinkToFit="0" wrapText="1"/>
    </xf>
    <xf borderId="3" fillId="2" fontId="6" numFmtId="0" xfId="0" applyBorder="1" applyFill="1" applyFont="1"/>
    <xf borderId="0" fillId="0" fontId="1" numFmtId="0" xfId="0" applyAlignment="1" applyFont="1">
      <alignment horizontal="center" shrinkToFit="0" vertical="center" wrapText="1"/>
    </xf>
    <xf borderId="0" fillId="0" fontId="7" numFmtId="4" xfId="0" applyFont="1" applyNumberFormat="1"/>
    <xf borderId="0" fillId="0" fontId="4" numFmtId="14" xfId="0" applyFont="1" applyNumberFormat="1"/>
    <xf borderId="0" fillId="0" fontId="2" numFmtId="0" xfId="0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1" numFmtId="0" xfId="0" applyAlignment="1" applyFont="1">
      <alignment readingOrder="0"/>
    </xf>
    <xf borderId="3" fillId="2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0E4F5"/>
          <bgColor rgb="FFC0E4F5"/>
        </patternFill>
      </fill>
      <border/>
    </dxf>
    <dxf>
      <font/>
      <fill>
        <patternFill patternType="solid">
          <fgColor rgb="FF82CAEB"/>
          <bgColor rgb="FF82CAEB"/>
        </patternFill>
      </fill>
      <border/>
    </dxf>
  </dxfs>
  <tableStyles count="1">
    <tableStyle count="3" pivot="0" name="main 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25" displayName="Table_1" name="Table_1" id="1">
  <tableColumns count="7">
    <tableColumn name="EmployeeID" id="1"/>
    <tableColumn name="JoinDate" id="2"/>
    <tableColumn name="Name" id="3"/>
    <tableColumn name="Department" id="4"/>
    <tableColumn name="Age" id="5"/>
    <tableColumn name="Salary" id="6"/>
    <tableColumn name="PerformanceScore" id="7"/>
  </tableColumns>
  <tableStyleInfo name="main 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7.25"/>
    <col customWidth="1" min="3" max="3" width="25.75"/>
    <col customWidth="1" min="4" max="5" width="8.63"/>
    <col customWidth="1" min="6" max="6" width="19.88"/>
    <col customWidth="1" min="7" max="7" width="10.88"/>
    <col customWidth="1" min="8" max="10" width="8.63"/>
    <col customWidth="1" min="11" max="11" width="30.25"/>
    <col customWidth="1" min="12" max="12" width="13.88"/>
    <col customWidth="1" min="13" max="13" width="18.38"/>
    <col customWidth="1" min="14" max="14" width="25.38"/>
    <col customWidth="1" min="15" max="15" width="14.88"/>
    <col customWidth="1" min="16" max="26" width="8.63"/>
  </cols>
  <sheetData>
    <row r="1" ht="91.5" customHeight="1">
      <c r="A1" s="1" t="s">
        <v>0</v>
      </c>
    </row>
    <row r="2" ht="14.25" customHeight="1">
      <c r="A2" s="2"/>
      <c r="B2" s="3"/>
    </row>
    <row r="3" ht="14.25" customHeight="1">
      <c r="A3" s="2"/>
    </row>
    <row r="4" ht="14.25" customHeight="1"/>
    <row r="5" ht="14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ht="14.25" customHeight="1">
      <c r="A6" s="4">
        <v>101.0</v>
      </c>
      <c r="B6" s="5">
        <v>43595.0</v>
      </c>
      <c r="C6" s="4" t="s">
        <v>8</v>
      </c>
      <c r="D6" s="4" t="s">
        <v>9</v>
      </c>
      <c r="E6" s="4">
        <v>29.0</v>
      </c>
      <c r="F6" s="4">
        <v>52000.0</v>
      </c>
      <c r="G6" s="4">
        <v>85.0</v>
      </c>
    </row>
    <row r="7" ht="14.25" customHeight="1">
      <c r="A7" s="4">
        <v>102.0</v>
      </c>
      <c r="B7" s="5">
        <v>43173.0</v>
      </c>
      <c r="C7" s="4" t="s">
        <v>10</v>
      </c>
      <c r="D7" s="4" t="s">
        <v>11</v>
      </c>
      <c r="E7" s="4">
        <v>34.0</v>
      </c>
      <c r="F7" s="4">
        <v>48000.0</v>
      </c>
      <c r="G7" s="4">
        <v>90.0</v>
      </c>
      <c r="L7" s="6"/>
      <c r="O7" s="6"/>
    </row>
    <row r="8" ht="14.25" customHeight="1">
      <c r="A8" s="4">
        <v>103.0</v>
      </c>
      <c r="B8" s="5">
        <v>44033.0</v>
      </c>
      <c r="C8" s="4" t="s">
        <v>12</v>
      </c>
      <c r="D8" s="4" t="s">
        <v>13</v>
      </c>
      <c r="E8" s="4">
        <v>27.0</v>
      </c>
      <c r="F8" s="4">
        <v>60000.0</v>
      </c>
      <c r="G8" s="4">
        <v>78.0</v>
      </c>
    </row>
    <row r="9" ht="14.25" customHeight="1">
      <c r="A9" s="4">
        <v>104.0</v>
      </c>
      <c r="B9" s="5">
        <v>43726.0</v>
      </c>
      <c r="C9" s="4" t="s">
        <v>14</v>
      </c>
      <c r="D9" s="4" t="s">
        <v>9</v>
      </c>
      <c r="E9" s="4">
        <v>31.0</v>
      </c>
      <c r="F9" s="4">
        <v>55000.0</v>
      </c>
      <c r="G9" s="4">
        <v>88.0</v>
      </c>
    </row>
    <row r="10" ht="14.25" customHeight="1">
      <c r="A10" s="4">
        <v>105.0</v>
      </c>
      <c r="B10" s="5">
        <v>42009.0</v>
      </c>
      <c r="C10" s="4" t="s">
        <v>15</v>
      </c>
      <c r="D10" s="4" t="s">
        <v>16</v>
      </c>
      <c r="E10" s="4">
        <v>45.0</v>
      </c>
      <c r="F10" s="4">
        <v>75000.0</v>
      </c>
      <c r="G10" s="4">
        <v>92.0</v>
      </c>
      <c r="K10" s="7"/>
      <c r="L10" s="7"/>
      <c r="M10" s="7"/>
      <c r="N10" s="7"/>
      <c r="O10" s="7"/>
    </row>
    <row r="11" ht="14.25" customHeight="1">
      <c r="A11" s="4">
        <v>106.0</v>
      </c>
      <c r="B11" s="5">
        <v>44523.0</v>
      </c>
      <c r="C11" s="4" t="s">
        <v>17</v>
      </c>
      <c r="D11" s="4" t="s">
        <v>13</v>
      </c>
      <c r="E11" s="4">
        <v>29.0</v>
      </c>
      <c r="F11" s="4">
        <v>62000.0</v>
      </c>
      <c r="G11" s="4">
        <v>81.0</v>
      </c>
    </row>
    <row r="12" ht="20.25" customHeight="1">
      <c r="A12" s="4">
        <v>107.0</v>
      </c>
      <c r="B12" s="5">
        <v>42837.0</v>
      </c>
      <c r="C12" s="4" t="s">
        <v>18</v>
      </c>
      <c r="D12" s="4" t="s">
        <v>9</v>
      </c>
      <c r="E12" s="4">
        <v>36.0</v>
      </c>
      <c r="F12" s="4">
        <v>0.0</v>
      </c>
      <c r="G12" s="4">
        <v>86.0</v>
      </c>
    </row>
    <row r="13" ht="14.25" customHeight="1">
      <c r="A13" s="4">
        <v>108.0</v>
      </c>
      <c r="B13" s="5">
        <v>42420.0</v>
      </c>
      <c r="C13" s="4" t="s">
        <v>19</v>
      </c>
      <c r="D13" s="4" t="s">
        <v>20</v>
      </c>
      <c r="E13" s="4">
        <v>41.0</v>
      </c>
      <c r="F13" s="4">
        <v>50000.0</v>
      </c>
      <c r="G13" s="4">
        <v>79.0</v>
      </c>
    </row>
    <row r="14" ht="14.25" customHeight="1">
      <c r="A14" s="4">
        <v>109.0</v>
      </c>
      <c r="B14" s="5">
        <v>43342.0</v>
      </c>
      <c r="C14" s="4" t="s">
        <v>21</v>
      </c>
      <c r="D14" s="4" t="s">
        <v>16</v>
      </c>
      <c r="E14" s="4">
        <v>33.0</v>
      </c>
      <c r="F14" s="4">
        <v>72000.0</v>
      </c>
      <c r="G14" s="4">
        <v>95.0</v>
      </c>
    </row>
    <row r="15" ht="14.25" customHeight="1">
      <c r="A15" s="4">
        <v>110.0</v>
      </c>
      <c r="B15" s="5">
        <v>43810.0</v>
      </c>
      <c r="C15" s="4" t="s">
        <v>22</v>
      </c>
      <c r="D15" s="4" t="s">
        <v>13</v>
      </c>
      <c r="E15" s="4">
        <v>38.0</v>
      </c>
      <c r="F15" s="4">
        <v>76000.0</v>
      </c>
      <c r="G15" s="4">
        <v>82.0</v>
      </c>
    </row>
    <row r="16" ht="14.25" customHeight="1">
      <c r="A16" s="4">
        <v>111.0</v>
      </c>
      <c r="B16" s="5">
        <v>44119.0</v>
      </c>
      <c r="C16" s="4" t="s">
        <v>23</v>
      </c>
      <c r="D16" s="4" t="s">
        <v>9</v>
      </c>
      <c r="E16" s="4">
        <v>0.0</v>
      </c>
      <c r="F16" s="4">
        <v>53000.0</v>
      </c>
      <c r="G16" s="4">
        <v>88.0</v>
      </c>
    </row>
    <row r="17" ht="14.25" customHeight="1">
      <c r="A17" s="4">
        <v>112.0</v>
      </c>
      <c r="B17" s="5">
        <v>44221.0</v>
      </c>
      <c r="C17" s="4" t="s">
        <v>24</v>
      </c>
      <c r="D17" s="4" t="s">
        <v>11</v>
      </c>
      <c r="E17" s="4">
        <v>26.0</v>
      </c>
      <c r="F17" s="4">
        <v>47000.0</v>
      </c>
      <c r="G17" s="4">
        <v>0.0</v>
      </c>
    </row>
    <row r="18" ht="14.25" customHeight="1">
      <c r="A18" s="4">
        <v>113.0</v>
      </c>
      <c r="B18" s="5">
        <v>41839.0</v>
      </c>
      <c r="C18" s="4" t="s">
        <v>25</v>
      </c>
      <c r="D18" s="4" t="s">
        <v>26</v>
      </c>
      <c r="E18" s="4">
        <v>44.0</v>
      </c>
      <c r="F18" s="4">
        <v>78000.0</v>
      </c>
      <c r="G18" s="4">
        <v>91.0</v>
      </c>
    </row>
    <row r="19" ht="14.25" customHeight="1">
      <c r="A19" s="4">
        <v>114.0</v>
      </c>
      <c r="B19" s="5">
        <v>44628.0</v>
      </c>
      <c r="C19" s="4" t="s">
        <v>27</v>
      </c>
      <c r="D19" s="4" t="s">
        <v>13</v>
      </c>
      <c r="E19" s="4">
        <v>28.0</v>
      </c>
      <c r="F19" s="4">
        <v>61000.0</v>
      </c>
      <c r="G19" s="4">
        <v>88.0</v>
      </c>
    </row>
    <row r="20" ht="14.25" customHeight="1">
      <c r="A20" s="4">
        <v>115.0</v>
      </c>
      <c r="B20" s="5">
        <v>43622.0</v>
      </c>
      <c r="C20" s="4" t="s">
        <v>28</v>
      </c>
      <c r="D20" s="4" t="s">
        <v>29</v>
      </c>
      <c r="E20" s="4">
        <v>30.0</v>
      </c>
      <c r="F20" s="4">
        <v>54000.0</v>
      </c>
      <c r="G20" s="4">
        <v>87.0</v>
      </c>
    </row>
    <row r="21" ht="14.25" customHeight="1">
      <c r="A21" s="4">
        <v>116.0</v>
      </c>
      <c r="B21" s="5">
        <v>43356.0</v>
      </c>
      <c r="C21" s="4" t="s">
        <v>30</v>
      </c>
      <c r="D21" s="4" t="s">
        <v>31</v>
      </c>
      <c r="E21" s="4">
        <v>32.0</v>
      </c>
      <c r="F21" s="4">
        <v>72000.0</v>
      </c>
      <c r="G21" s="4">
        <v>89.0</v>
      </c>
    </row>
    <row r="22" ht="14.25" customHeight="1">
      <c r="A22" s="4">
        <v>117.0</v>
      </c>
      <c r="B22" s="5">
        <v>43953.0</v>
      </c>
      <c r="C22" s="4" t="s">
        <v>32</v>
      </c>
      <c r="D22" s="4" t="s">
        <v>11</v>
      </c>
      <c r="E22" s="4">
        <v>31.0</v>
      </c>
      <c r="F22" s="4">
        <v>49000.0</v>
      </c>
      <c r="G22" s="4">
        <v>80.0</v>
      </c>
    </row>
    <row r="23" ht="14.25" customHeight="1">
      <c r="A23" s="4">
        <v>118.0</v>
      </c>
      <c r="B23" s="5">
        <v>42975.0</v>
      </c>
      <c r="C23" s="4" t="s">
        <v>33</v>
      </c>
      <c r="D23" s="4" t="s">
        <v>13</v>
      </c>
      <c r="E23" s="4">
        <v>35.0</v>
      </c>
      <c r="F23" s="4">
        <v>64000.0</v>
      </c>
      <c r="G23" s="4">
        <v>93.0</v>
      </c>
    </row>
    <row r="24" ht="14.25" customHeight="1">
      <c r="A24" s="4">
        <v>119.0</v>
      </c>
      <c r="B24" s="5">
        <v>42696.0</v>
      </c>
      <c r="C24" s="4" t="s">
        <v>34</v>
      </c>
      <c r="D24" s="4" t="s">
        <v>9</v>
      </c>
      <c r="E24" s="4">
        <v>39.0</v>
      </c>
      <c r="F24" s="4">
        <v>56000.0</v>
      </c>
      <c r="G24" s="4">
        <v>84.0</v>
      </c>
      <c r="K24" s="8"/>
      <c r="L24" s="8"/>
      <c r="M24" s="8"/>
      <c r="N24" s="8"/>
      <c r="O24" s="8"/>
    </row>
    <row r="25" ht="14.25" customHeight="1">
      <c r="A25" s="4">
        <v>120.0</v>
      </c>
      <c r="B25" s="5">
        <v>42348.0</v>
      </c>
      <c r="C25" s="4" t="s">
        <v>35</v>
      </c>
      <c r="D25" s="4" t="s">
        <v>16</v>
      </c>
      <c r="E25" s="4">
        <v>37.0</v>
      </c>
      <c r="F25" s="4">
        <v>73000.0</v>
      </c>
      <c r="G25" s="4">
        <v>90.0</v>
      </c>
    </row>
    <row r="26" ht="14.25" customHeight="1">
      <c r="K26" s="9"/>
    </row>
    <row r="27" ht="14.25" customHeight="1"/>
    <row r="28" ht="14.25" customHeight="1">
      <c r="K28" s="10"/>
    </row>
    <row r="29" ht="14.25" customHeight="1">
      <c r="K29" s="10"/>
    </row>
    <row r="30" ht="14.25" customHeight="1"/>
    <row r="31" ht="14.25" customHeight="1"/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  <row r="1000" ht="14.25" customHeight="1">
      <c r="A1000" s="2"/>
    </row>
  </sheetData>
  <mergeCells count="1">
    <mergeCell ref="A1:M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0.0"/>
    <col customWidth="1" min="2" max="2" width="11.5"/>
    <col customWidth="1" min="3" max="3" width="11.63"/>
    <col customWidth="1" min="4" max="4" width="11.13"/>
    <col customWidth="1" min="5" max="5" width="4.5"/>
    <col customWidth="1" min="6" max="6" width="6.5"/>
    <col customWidth="1" min="7" max="7" width="17.25"/>
    <col customWidth="1" min="8" max="9" width="8.63"/>
    <col customWidth="1" min="10" max="10" width="6.63"/>
    <col customWidth="1" min="11" max="11" width="16.25"/>
    <col customWidth="1" min="12" max="12" width="38.88"/>
    <col customWidth="1" min="13" max="14" width="8.63"/>
    <col customWidth="1" min="15" max="15" width="19.38"/>
    <col customWidth="1" min="16" max="16" width="14.0"/>
    <col customWidth="1" min="17" max="17" width="16.63"/>
    <col customWidth="1" min="18" max="26" width="8.63"/>
  </cols>
  <sheetData>
    <row r="1" ht="69.0" customHeight="1">
      <c r="A1" s="11" t="s">
        <v>36</v>
      </c>
    </row>
    <row r="2" ht="14.25" customHeight="1">
      <c r="A2" s="2"/>
      <c r="B2" s="3"/>
      <c r="K2" s="12"/>
    </row>
    <row r="3" ht="14.25" customHeight="1">
      <c r="A3" s="2"/>
      <c r="K3" s="12"/>
    </row>
    <row r="4" ht="14.25" customHeight="1">
      <c r="A4" s="2"/>
      <c r="K4" s="12"/>
    </row>
    <row r="5" ht="14.25" customHeight="1">
      <c r="A5" s="13" t="s">
        <v>2</v>
      </c>
      <c r="B5" s="6" t="s">
        <v>1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K5" s="12"/>
      <c r="M5" s="14">
        <v>29.0</v>
      </c>
    </row>
    <row r="6" ht="14.25" customHeight="1">
      <c r="A6" s="2">
        <v>43595.0</v>
      </c>
      <c r="B6" s="14">
        <v>101.0</v>
      </c>
      <c r="C6" s="14" t="s">
        <v>8</v>
      </c>
      <c r="D6" s="14" t="s">
        <v>9</v>
      </c>
      <c r="E6" s="14">
        <v>29.0</v>
      </c>
      <c r="F6" s="14">
        <v>52000.0</v>
      </c>
      <c r="G6" s="14">
        <v>85.0</v>
      </c>
      <c r="K6" s="12"/>
      <c r="M6" s="14">
        <v>27.0</v>
      </c>
    </row>
    <row r="7" ht="14.25" customHeight="1">
      <c r="A7" s="2">
        <v>44033.0</v>
      </c>
      <c r="B7" s="14">
        <v>103.0</v>
      </c>
      <c r="C7" s="14" t="s">
        <v>12</v>
      </c>
      <c r="D7" s="14" t="s">
        <v>13</v>
      </c>
      <c r="E7" s="14">
        <v>27.0</v>
      </c>
      <c r="F7" s="14">
        <v>60000.0</v>
      </c>
      <c r="G7" s="14">
        <v>78.0</v>
      </c>
      <c r="K7" s="15">
        <f>sum(F6:F24)/20</f>
        <v>58350</v>
      </c>
      <c r="M7" s="14">
        <v>31.0</v>
      </c>
    </row>
    <row r="8" ht="14.25" customHeight="1">
      <c r="A8" s="2">
        <v>43726.0</v>
      </c>
      <c r="B8" s="14">
        <v>104.0</v>
      </c>
      <c r="C8" s="14" t="s">
        <v>14</v>
      </c>
      <c r="D8" s="14" t="s">
        <v>9</v>
      </c>
      <c r="E8" s="14">
        <v>31.0</v>
      </c>
      <c r="F8" s="14">
        <v>55000.0</v>
      </c>
      <c r="G8" s="14">
        <v>88.0</v>
      </c>
      <c r="M8" s="14">
        <v>45.0</v>
      </c>
    </row>
    <row r="9" ht="14.25" customHeight="1">
      <c r="A9" s="2">
        <v>42009.0</v>
      </c>
      <c r="B9" s="14">
        <v>105.0</v>
      </c>
      <c r="C9" s="14" t="s">
        <v>15</v>
      </c>
      <c r="D9" s="14" t="s">
        <v>16</v>
      </c>
      <c r="E9" s="14">
        <v>45.0</v>
      </c>
      <c r="F9" s="14">
        <v>75000.0</v>
      </c>
      <c r="G9" s="14">
        <v>92.0</v>
      </c>
      <c r="M9" s="14">
        <v>29.0</v>
      </c>
    </row>
    <row r="10" ht="14.25" customHeight="1">
      <c r="A10" s="2">
        <v>44523.0</v>
      </c>
      <c r="B10" s="14">
        <v>106.0</v>
      </c>
      <c r="C10" s="14" t="s">
        <v>37</v>
      </c>
      <c r="D10" s="14" t="s">
        <v>13</v>
      </c>
      <c r="E10" s="14">
        <v>29.0</v>
      </c>
      <c r="F10" s="14">
        <v>62000.0</v>
      </c>
      <c r="G10" s="14">
        <v>81.0</v>
      </c>
      <c r="M10" s="14">
        <v>36.0</v>
      </c>
    </row>
    <row r="11" ht="14.25" customHeight="1">
      <c r="A11" s="2">
        <v>42837.0</v>
      </c>
      <c r="B11" s="14">
        <v>107.0</v>
      </c>
      <c r="C11" s="14" t="s">
        <v>18</v>
      </c>
      <c r="D11" s="14" t="s">
        <v>9</v>
      </c>
      <c r="E11" s="14">
        <v>36.0</v>
      </c>
      <c r="F11" s="14">
        <v>58000.0</v>
      </c>
      <c r="G11" s="14">
        <v>86.0</v>
      </c>
      <c r="M11" s="14">
        <v>41.0</v>
      </c>
      <c r="O11" s="16"/>
    </row>
    <row r="12" ht="14.25" customHeight="1">
      <c r="A12" s="2">
        <v>42420.0</v>
      </c>
      <c r="B12" s="14">
        <v>108.0</v>
      </c>
      <c r="C12" s="14" t="s">
        <v>19</v>
      </c>
      <c r="D12" s="14" t="s">
        <v>11</v>
      </c>
      <c r="E12" s="14">
        <v>41.0</v>
      </c>
      <c r="F12" s="14">
        <v>50000.0</v>
      </c>
      <c r="G12" s="14">
        <v>79.0</v>
      </c>
      <c r="M12" s="14">
        <v>33.0</v>
      </c>
    </row>
    <row r="13" ht="14.25" customHeight="1">
      <c r="A13" s="2">
        <v>43342.0</v>
      </c>
      <c r="B13" s="14">
        <v>109.0</v>
      </c>
      <c r="C13" s="14" t="s">
        <v>21</v>
      </c>
      <c r="D13" s="14" t="s">
        <v>16</v>
      </c>
      <c r="E13" s="14">
        <v>33.0</v>
      </c>
      <c r="F13" s="14">
        <v>72000.0</v>
      </c>
      <c r="G13" s="14">
        <v>95.0</v>
      </c>
      <c r="M13" s="14">
        <v>38.0</v>
      </c>
    </row>
    <row r="14" ht="14.25" customHeight="1">
      <c r="A14" s="2">
        <v>43810.0</v>
      </c>
      <c r="B14" s="14">
        <v>110.0</v>
      </c>
      <c r="C14" s="14" t="s">
        <v>38</v>
      </c>
      <c r="D14" s="14" t="s">
        <v>13</v>
      </c>
      <c r="E14" s="14">
        <v>38.0</v>
      </c>
      <c r="F14" s="14">
        <v>76000.0</v>
      </c>
      <c r="G14" s="14">
        <v>82.0</v>
      </c>
      <c r="M14" s="14">
        <v>29.0</v>
      </c>
    </row>
    <row r="15" ht="14.25" customHeight="1">
      <c r="A15" s="2">
        <v>44119.0</v>
      </c>
      <c r="B15" s="14">
        <v>111.0</v>
      </c>
      <c r="C15" s="14" t="s">
        <v>39</v>
      </c>
      <c r="D15" s="14" t="s">
        <v>9</v>
      </c>
      <c r="E15" s="14">
        <v>29.0</v>
      </c>
      <c r="F15" s="14">
        <v>53000.0</v>
      </c>
      <c r="G15" s="14">
        <v>88.0</v>
      </c>
      <c r="M15" s="14">
        <v>26.0</v>
      </c>
    </row>
    <row r="16" ht="14.25" customHeight="1">
      <c r="A16" s="2">
        <v>44221.0</v>
      </c>
      <c r="B16" s="14">
        <v>112.0</v>
      </c>
      <c r="C16" s="14" t="s">
        <v>24</v>
      </c>
      <c r="D16" s="14" t="s">
        <v>11</v>
      </c>
      <c r="E16" s="14">
        <v>26.0</v>
      </c>
      <c r="F16" s="14">
        <v>47000.0</v>
      </c>
      <c r="G16" s="14">
        <v>77.0</v>
      </c>
      <c r="M16" s="14">
        <v>44.0</v>
      </c>
    </row>
    <row r="17" ht="14.25" customHeight="1">
      <c r="A17" s="2">
        <v>41839.0</v>
      </c>
      <c r="B17" s="14">
        <v>113.0</v>
      </c>
      <c r="C17" s="14" t="s">
        <v>40</v>
      </c>
      <c r="D17" s="14" t="s">
        <v>16</v>
      </c>
      <c r="E17" s="14">
        <v>44.0</v>
      </c>
      <c r="F17" s="14">
        <v>78000.0</v>
      </c>
      <c r="G17" s="14">
        <v>91.0</v>
      </c>
      <c r="M17" s="14">
        <v>28.0</v>
      </c>
    </row>
    <row r="18" ht="14.25" customHeight="1">
      <c r="A18" s="2">
        <v>44628.0</v>
      </c>
      <c r="B18" s="14">
        <v>114.0</v>
      </c>
      <c r="C18" s="14" t="s">
        <v>27</v>
      </c>
      <c r="D18" s="14" t="s">
        <v>13</v>
      </c>
      <c r="E18" s="14">
        <v>28.0</v>
      </c>
      <c r="F18" s="14">
        <v>61000.0</v>
      </c>
      <c r="G18" s="14">
        <v>88.0</v>
      </c>
      <c r="M18" s="14">
        <v>30.0</v>
      </c>
    </row>
    <row r="19" ht="14.25" customHeight="1">
      <c r="A19" s="2">
        <v>43622.0</v>
      </c>
      <c r="B19" s="14">
        <v>115.0</v>
      </c>
      <c r="C19" s="14" t="s">
        <v>28</v>
      </c>
      <c r="D19" s="14" t="s">
        <v>9</v>
      </c>
      <c r="E19" s="14">
        <v>30.0</v>
      </c>
      <c r="F19" s="14">
        <v>54000.0</v>
      </c>
      <c r="G19" s="14">
        <v>87.0</v>
      </c>
      <c r="L19" s="10"/>
      <c r="M19" s="14">
        <v>32.0</v>
      </c>
    </row>
    <row r="20" ht="14.25" customHeight="1">
      <c r="A20" s="2">
        <v>43356.0</v>
      </c>
      <c r="B20" s="14">
        <v>116.0</v>
      </c>
      <c r="C20" s="14" t="s">
        <v>30</v>
      </c>
      <c r="D20" s="14" t="s">
        <v>16</v>
      </c>
      <c r="E20" s="14">
        <v>32.0</v>
      </c>
      <c r="F20" s="14">
        <v>72000.0</v>
      </c>
      <c r="G20" s="14">
        <v>89.0</v>
      </c>
      <c r="M20" s="14">
        <v>31.0</v>
      </c>
    </row>
    <row r="21" ht="14.25" customHeight="1">
      <c r="A21" s="2">
        <v>43953.0</v>
      </c>
      <c r="B21" s="14">
        <v>117.0</v>
      </c>
      <c r="C21" s="14" t="s">
        <v>32</v>
      </c>
      <c r="D21" s="14" t="s">
        <v>11</v>
      </c>
      <c r="E21" s="14">
        <v>31.0</v>
      </c>
      <c r="F21" s="14">
        <v>49000.0</v>
      </c>
      <c r="G21" s="14">
        <v>80.0</v>
      </c>
      <c r="M21" s="14">
        <v>35.0</v>
      </c>
    </row>
    <row r="22" ht="14.25" customHeight="1">
      <c r="A22" s="2">
        <v>42975.0</v>
      </c>
      <c r="B22" s="14">
        <v>118.0</v>
      </c>
      <c r="C22" s="14" t="s">
        <v>33</v>
      </c>
      <c r="D22" s="14" t="s">
        <v>13</v>
      </c>
      <c r="E22" s="14">
        <v>35.0</v>
      </c>
      <c r="F22" s="14">
        <v>64000.0</v>
      </c>
      <c r="G22" s="14">
        <v>93.0</v>
      </c>
      <c r="M22" s="14">
        <v>39.0</v>
      </c>
    </row>
    <row r="23" ht="14.25" customHeight="1">
      <c r="A23" s="2">
        <v>42696.0</v>
      </c>
      <c r="B23" s="14">
        <v>119.0</v>
      </c>
      <c r="C23" s="14" t="s">
        <v>41</v>
      </c>
      <c r="D23" s="14" t="s">
        <v>9</v>
      </c>
      <c r="E23" s="14">
        <v>39.0</v>
      </c>
      <c r="F23" s="14">
        <v>56000.0</v>
      </c>
      <c r="G23" s="14">
        <v>84.0</v>
      </c>
      <c r="M23" s="14">
        <v>37.0</v>
      </c>
    </row>
    <row r="24" ht="14.25" customHeight="1">
      <c r="A24" s="2">
        <v>42348.0</v>
      </c>
      <c r="B24" s="14">
        <v>120.0</v>
      </c>
      <c r="C24" s="14" t="s">
        <v>35</v>
      </c>
      <c r="D24" s="14" t="s">
        <v>16</v>
      </c>
      <c r="E24" s="14">
        <v>37.0</v>
      </c>
      <c r="F24" s="14">
        <v>73000.0</v>
      </c>
      <c r="G24" s="14">
        <v>90.0</v>
      </c>
    </row>
    <row r="25" ht="14.25" customHeight="1">
      <c r="A25" s="2"/>
    </row>
    <row r="26" ht="14.25" customHeight="1">
      <c r="A26" s="2"/>
      <c r="L26" s="17" t="s">
        <v>42</v>
      </c>
    </row>
    <row r="27" ht="14.25" customHeight="1">
      <c r="A27" s="2"/>
    </row>
    <row r="28" ht="14.25" customHeight="1">
      <c r="A28" s="2"/>
    </row>
    <row r="29" ht="14.25" customHeight="1">
      <c r="A29" s="2"/>
      <c r="L29" s="6" t="s">
        <v>43</v>
      </c>
      <c r="O29" s="6" t="s">
        <v>44</v>
      </c>
      <c r="P29" s="18" t="s">
        <v>45</v>
      </c>
      <c r="Q29" s="18" t="s">
        <v>46</v>
      </c>
    </row>
    <row r="30" ht="14.25" customHeight="1">
      <c r="A30" s="2"/>
      <c r="L30" s="14" t="s">
        <v>47</v>
      </c>
      <c r="P30" s="19"/>
      <c r="Q30" s="19"/>
    </row>
    <row r="31" ht="14.25" customHeight="1">
      <c r="A31" s="2"/>
      <c r="L31" s="14" t="s">
        <v>48</v>
      </c>
      <c r="O31" s="20" t="s">
        <v>48</v>
      </c>
      <c r="P31" s="18">
        <f>sum(F6:F24)/20</f>
        <v>58350</v>
      </c>
      <c r="Q31" s="21" t="s">
        <v>49</v>
      </c>
    </row>
    <row r="32" ht="14.25" customHeight="1">
      <c r="A32" s="2"/>
      <c r="L32" s="14" t="s">
        <v>50</v>
      </c>
      <c r="O32" s="14" t="s">
        <v>50</v>
      </c>
      <c r="P32" s="18">
        <f>_xlfn.mode.sngl(E6:E24)</f>
        <v>29</v>
      </c>
      <c r="Q32" s="18" t="s">
        <v>51</v>
      </c>
    </row>
    <row r="33" ht="14.25" customHeight="1">
      <c r="A33" s="2"/>
      <c r="L33" s="14" t="s">
        <v>52</v>
      </c>
      <c r="O33" s="14" t="s">
        <v>52</v>
      </c>
      <c r="P33" s="19">
        <f>median(E6:E24)</f>
        <v>32</v>
      </c>
      <c r="Q33" s="21" t="s">
        <v>53</v>
      </c>
    </row>
    <row r="34" ht="14.25" customHeight="1">
      <c r="A34" s="2"/>
      <c r="L34" s="22" t="s">
        <v>54</v>
      </c>
      <c r="O34" s="9" t="s">
        <v>55</v>
      </c>
      <c r="P34" s="23">
        <f>STDEV(E6:E24)</f>
        <v>5.706260028</v>
      </c>
      <c r="Q34" s="21" t="s">
        <v>56</v>
      </c>
    </row>
    <row r="35" ht="14.25" customHeight="1">
      <c r="A35" s="2"/>
      <c r="L35" s="9" t="s">
        <v>57</v>
      </c>
      <c r="O35" s="9" t="s">
        <v>58</v>
      </c>
      <c r="P35" s="19">
        <f t="shared" ref="P35:P37" si="1">VARP(E6:E24)</f>
        <v>30.84764543</v>
      </c>
      <c r="Q35" s="19"/>
    </row>
    <row r="36" ht="14.25" customHeight="1">
      <c r="A36" s="2"/>
      <c r="L36" s="14" t="s">
        <v>59</v>
      </c>
      <c r="O36" s="14" t="s">
        <v>59</v>
      </c>
      <c r="P36" s="19">
        <f t="shared" si="1"/>
        <v>31.27469136</v>
      </c>
      <c r="Q36" s="19"/>
    </row>
    <row r="37" ht="14.25" customHeight="1">
      <c r="A37" s="2"/>
      <c r="L37" s="14" t="s">
        <v>60</v>
      </c>
      <c r="O37" s="14" t="s">
        <v>60</v>
      </c>
      <c r="P37" s="19">
        <f t="shared" si="1"/>
        <v>30.11072664</v>
      </c>
      <c r="Q37" s="19"/>
    </row>
    <row r="38" ht="14.25" customHeight="1">
      <c r="A38" s="2"/>
      <c r="L38" s="14" t="s">
        <v>61</v>
      </c>
      <c r="P38" s="19"/>
      <c r="Q38" s="19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  <c r="L45" s="17" t="s">
        <v>62</v>
      </c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</sheetData>
  <mergeCells count="3">
    <mergeCell ref="A1:N1"/>
    <mergeCell ref="L26:O26"/>
    <mergeCell ref="L45:O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75"/>
    <col customWidth="1" min="3" max="3" width="14.38"/>
    <col customWidth="1" min="4" max="4" width="22.0"/>
    <col customWidth="1" min="5" max="5" width="17.88"/>
    <col customWidth="1" min="6" max="6" width="8.63"/>
    <col customWidth="1" min="7" max="7" width="34.63"/>
    <col customWidth="1" min="8" max="26" width="8.63"/>
  </cols>
  <sheetData>
    <row r="1" ht="14.25" customHeight="1">
      <c r="A1" s="6" t="s">
        <v>6</v>
      </c>
      <c r="B1" s="6" t="s">
        <v>63</v>
      </c>
      <c r="C1" s="6" t="s">
        <v>64</v>
      </c>
      <c r="D1" s="24" t="s">
        <v>65</v>
      </c>
      <c r="E1" s="6" t="s">
        <v>66</v>
      </c>
    </row>
    <row r="2" ht="14.25" customHeight="1">
      <c r="A2" s="14">
        <v>52000.0</v>
      </c>
    </row>
    <row r="3" ht="14.25" customHeight="1">
      <c r="A3" s="14">
        <v>48000.0</v>
      </c>
    </row>
    <row r="4" ht="14.25" customHeight="1">
      <c r="A4" s="14">
        <v>60000.0</v>
      </c>
    </row>
    <row r="5" ht="14.25" customHeight="1">
      <c r="A5" s="14">
        <v>55000.0</v>
      </c>
    </row>
    <row r="6" ht="14.25" customHeight="1">
      <c r="A6" s="14">
        <v>75000.0</v>
      </c>
    </row>
    <row r="7" ht="14.25" customHeight="1">
      <c r="A7" s="14">
        <v>62000.0</v>
      </c>
      <c r="G7" s="14" t="s">
        <v>67</v>
      </c>
    </row>
    <row r="8" ht="14.25" customHeight="1">
      <c r="A8" s="14">
        <v>58000.0</v>
      </c>
      <c r="G8" s="9" t="s">
        <v>57</v>
      </c>
    </row>
    <row r="9" ht="14.25" customHeight="1">
      <c r="A9" s="14">
        <v>50000.0</v>
      </c>
    </row>
    <row r="10" ht="14.25" customHeight="1">
      <c r="A10" s="14">
        <v>72000.0</v>
      </c>
    </row>
    <row r="11" ht="14.25" customHeight="1">
      <c r="A11" s="14">
        <v>76000.0</v>
      </c>
    </row>
    <row r="12" ht="14.25" customHeight="1">
      <c r="A12" s="14">
        <v>53000.0</v>
      </c>
    </row>
    <row r="13" ht="14.25" customHeight="1">
      <c r="A13" s="14">
        <v>47000.0</v>
      </c>
    </row>
    <row r="14" ht="14.25" customHeight="1">
      <c r="A14" s="14">
        <v>78000.0</v>
      </c>
    </row>
    <row r="15" ht="14.25" customHeight="1">
      <c r="A15" s="14">
        <v>61000.0</v>
      </c>
      <c r="G15" s="14" t="s">
        <v>68</v>
      </c>
    </row>
    <row r="16" ht="14.25" customHeight="1">
      <c r="A16" s="14">
        <v>54000.0</v>
      </c>
      <c r="G16" s="14" t="s">
        <v>69</v>
      </c>
    </row>
    <row r="17" ht="14.25" customHeight="1">
      <c r="A17" s="14">
        <v>72000.0</v>
      </c>
      <c r="G17" s="14" t="s">
        <v>70</v>
      </c>
    </row>
    <row r="18" ht="14.25" customHeight="1">
      <c r="A18" s="14">
        <v>49000.0</v>
      </c>
    </row>
    <row r="19" ht="14.25" customHeight="1">
      <c r="A19" s="14">
        <v>64000.0</v>
      </c>
      <c r="G19" s="14" t="s">
        <v>71</v>
      </c>
    </row>
    <row r="20" ht="14.25" customHeight="1">
      <c r="A20" s="14">
        <v>56000.0</v>
      </c>
    </row>
    <row r="21" ht="14.25" customHeight="1">
      <c r="A21" s="14">
        <v>73000.0</v>
      </c>
    </row>
    <row r="22" ht="14.25" customHeight="1">
      <c r="C22" s="2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2025-08-22T05:41:20Z</dcterms:created>
  <dc:creator>Geetha Gunasekaran</dc:creator>
</cp:coreProperties>
</file>