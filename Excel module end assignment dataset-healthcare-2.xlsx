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f416991a484d2d0/Desktop/Entri-Docs/Week-4-Assignment/"/>
    </mc:Choice>
  </mc:AlternateContent>
  <xr:revisionPtr revIDLastSave="49" documentId="14_{52637621-1E03-4F1E-880E-7389736DF321}" xr6:coauthVersionLast="47" xr6:coauthVersionMax="47" xr10:uidLastSave="{E0C9FFAA-E528-4CCA-9B34-540F26C026CB}"/>
  <bookViews>
    <workbookView xWindow="-108" yWindow="-108" windowWidth="23256" windowHeight="12456" firstSheet="1" activeTab="3" xr2:uid="{00000000-000D-0000-FFFF-FFFF00000000}"/>
  </bookViews>
  <sheets>
    <sheet name="Customer Names" sheetId="1" r:id="rId1"/>
    <sheet name="Medical Examinations" sheetId="2" r:id="rId2"/>
    <sheet name="Pivot-HealthChat" sheetId="5" r:id="rId3"/>
    <sheet name="Hospitalisation Details" sheetId="3" r:id="rId4"/>
    <sheet name="Sheet2" sheetId="4" r:id="rId5"/>
  </sheets>
  <definedNames>
    <definedName name="_xlnm._FilterDatabase" localSheetId="3" hidden="1">'Hospitalisation Details'!$A$1:$I$2344</definedName>
    <definedName name="_xlnm._FilterDatabase" localSheetId="1" hidden="1">'Medical Examinations'!$A$1:$J$1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" i="3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E2336" i="1"/>
  <c r="D2336" i="1"/>
  <c r="C2336" i="1"/>
  <c r="E2335" i="1"/>
  <c r="D2335" i="1"/>
  <c r="C2335" i="1"/>
  <c r="E2334" i="1"/>
  <c r="D2334" i="1"/>
  <c r="C2334" i="1"/>
  <c r="E2333" i="1"/>
  <c r="D2333" i="1"/>
  <c r="C2333" i="1"/>
  <c r="E2332" i="1"/>
  <c r="D2332" i="1"/>
  <c r="C2332" i="1"/>
  <c r="E2331" i="1"/>
  <c r="D2331" i="1"/>
  <c r="C2331" i="1"/>
  <c r="E2330" i="1"/>
  <c r="D2330" i="1"/>
  <c r="C2330" i="1"/>
  <c r="E2329" i="1"/>
  <c r="D2329" i="1"/>
  <c r="C2329" i="1"/>
  <c r="E2328" i="1"/>
  <c r="D2328" i="1"/>
  <c r="C2328" i="1"/>
  <c r="E2327" i="1"/>
  <c r="D2327" i="1"/>
  <c r="C2327" i="1"/>
  <c r="E2326" i="1"/>
  <c r="D2326" i="1"/>
  <c r="C2326" i="1"/>
  <c r="E2325" i="1"/>
  <c r="D2325" i="1"/>
  <c r="C2325" i="1"/>
  <c r="E2324" i="1"/>
  <c r="D2324" i="1"/>
  <c r="C2324" i="1"/>
  <c r="E2323" i="1"/>
  <c r="D2323" i="1"/>
  <c r="C2323" i="1"/>
  <c r="E2322" i="1"/>
  <c r="D2322" i="1"/>
  <c r="C2322" i="1"/>
  <c r="E2321" i="1"/>
  <c r="D2321" i="1"/>
  <c r="C2321" i="1"/>
  <c r="E2320" i="1"/>
  <c r="D2320" i="1"/>
  <c r="C2320" i="1"/>
  <c r="E2319" i="1"/>
  <c r="D2319" i="1"/>
  <c r="C2319" i="1"/>
  <c r="E2318" i="1"/>
  <c r="D2318" i="1"/>
  <c r="C2318" i="1"/>
  <c r="E2317" i="1"/>
  <c r="D2317" i="1"/>
  <c r="C2317" i="1"/>
  <c r="E2316" i="1"/>
  <c r="D2316" i="1"/>
  <c r="C2316" i="1"/>
  <c r="E2315" i="1"/>
  <c r="D2315" i="1"/>
  <c r="C2315" i="1"/>
  <c r="E2314" i="1"/>
  <c r="D2314" i="1"/>
  <c r="C2314" i="1"/>
  <c r="E2313" i="1"/>
  <c r="D2313" i="1"/>
  <c r="C2313" i="1"/>
  <c r="E2312" i="1"/>
  <c r="D2312" i="1"/>
  <c r="C2312" i="1"/>
  <c r="E2311" i="1"/>
  <c r="D2311" i="1"/>
  <c r="C2311" i="1"/>
  <c r="E2310" i="1"/>
  <c r="D2310" i="1"/>
  <c r="C2310" i="1"/>
  <c r="E2309" i="1"/>
  <c r="D2309" i="1"/>
  <c r="C2309" i="1"/>
  <c r="E2308" i="1"/>
  <c r="D2308" i="1"/>
  <c r="C2308" i="1"/>
  <c r="E2307" i="1"/>
  <c r="D2307" i="1"/>
  <c r="C2307" i="1"/>
  <c r="E2306" i="1"/>
  <c r="D2306" i="1"/>
  <c r="C2306" i="1"/>
  <c r="E2305" i="1"/>
  <c r="D2305" i="1"/>
  <c r="C2305" i="1"/>
  <c r="E2304" i="1"/>
  <c r="D2304" i="1"/>
  <c r="C2304" i="1"/>
  <c r="E2303" i="1"/>
  <c r="D2303" i="1"/>
  <c r="C2303" i="1"/>
  <c r="E2302" i="1"/>
  <c r="D2302" i="1"/>
  <c r="C2302" i="1"/>
  <c r="E2301" i="1"/>
  <c r="D2301" i="1"/>
  <c r="C2301" i="1"/>
  <c r="E2300" i="1"/>
  <c r="D2300" i="1"/>
  <c r="C2300" i="1"/>
  <c r="E2299" i="1"/>
  <c r="D2299" i="1"/>
  <c r="C2299" i="1"/>
  <c r="E2298" i="1"/>
  <c r="D2298" i="1"/>
  <c r="C2298" i="1"/>
  <c r="E2297" i="1"/>
  <c r="D2297" i="1"/>
  <c r="C2297" i="1"/>
  <c r="E2296" i="1"/>
  <c r="D2296" i="1"/>
  <c r="C2296" i="1"/>
  <c r="E2295" i="1"/>
  <c r="D2295" i="1"/>
  <c r="C2295" i="1"/>
  <c r="E2294" i="1"/>
  <c r="D2294" i="1"/>
  <c r="C2294" i="1"/>
  <c r="E2293" i="1"/>
  <c r="D2293" i="1"/>
  <c r="C2293" i="1"/>
  <c r="E2292" i="1"/>
  <c r="D2292" i="1"/>
  <c r="C2292" i="1"/>
  <c r="E2291" i="1"/>
  <c r="D2291" i="1"/>
  <c r="C2291" i="1"/>
  <c r="E2290" i="1"/>
  <c r="D2290" i="1"/>
  <c r="C2290" i="1"/>
  <c r="E2289" i="1"/>
  <c r="D2289" i="1"/>
  <c r="C2289" i="1"/>
  <c r="E2288" i="1"/>
  <c r="D2288" i="1"/>
  <c r="C2288" i="1"/>
  <c r="E2287" i="1"/>
  <c r="D2287" i="1"/>
  <c r="C2287" i="1"/>
  <c r="E2286" i="1"/>
  <c r="D2286" i="1"/>
  <c r="C2286" i="1"/>
  <c r="E2285" i="1"/>
  <c r="D2285" i="1"/>
  <c r="C2285" i="1"/>
  <c r="E2284" i="1"/>
  <c r="D2284" i="1"/>
  <c r="C2284" i="1"/>
  <c r="E2283" i="1"/>
  <c r="D2283" i="1"/>
  <c r="C2283" i="1"/>
  <c r="E2282" i="1"/>
  <c r="D2282" i="1"/>
  <c r="C2282" i="1"/>
  <c r="E2281" i="1"/>
  <c r="D2281" i="1"/>
  <c r="C2281" i="1"/>
  <c r="E2280" i="1"/>
  <c r="D2280" i="1"/>
  <c r="C2280" i="1"/>
  <c r="E2279" i="1"/>
  <c r="D2279" i="1"/>
  <c r="C2279" i="1"/>
  <c r="E2278" i="1"/>
  <c r="D2278" i="1"/>
  <c r="C2278" i="1"/>
  <c r="E2277" i="1"/>
  <c r="D2277" i="1"/>
  <c r="C2277" i="1"/>
  <c r="E2276" i="1"/>
  <c r="D2276" i="1"/>
  <c r="C2276" i="1"/>
  <c r="E2275" i="1"/>
  <c r="D2275" i="1"/>
  <c r="C2275" i="1"/>
  <c r="E2274" i="1"/>
  <c r="D2274" i="1"/>
  <c r="C2274" i="1"/>
  <c r="E2273" i="1"/>
  <c r="D2273" i="1"/>
  <c r="C2273" i="1"/>
  <c r="E2272" i="1"/>
  <c r="D2272" i="1"/>
  <c r="C2272" i="1"/>
  <c r="E2271" i="1"/>
  <c r="D2271" i="1"/>
  <c r="C2271" i="1"/>
  <c r="E2270" i="1"/>
  <c r="D2270" i="1"/>
  <c r="C2270" i="1"/>
  <c r="E2269" i="1"/>
  <c r="D2269" i="1"/>
  <c r="C2269" i="1"/>
  <c r="E2268" i="1"/>
  <c r="D2268" i="1"/>
  <c r="C2268" i="1"/>
  <c r="E2267" i="1"/>
  <c r="D2267" i="1"/>
  <c r="C2267" i="1"/>
  <c r="E2266" i="1"/>
  <c r="D2266" i="1"/>
  <c r="C2266" i="1"/>
  <c r="E2265" i="1"/>
  <c r="D2265" i="1"/>
  <c r="C2265" i="1"/>
  <c r="E2264" i="1"/>
  <c r="D2264" i="1"/>
  <c r="C2264" i="1"/>
  <c r="E2263" i="1"/>
  <c r="D2263" i="1"/>
  <c r="C2263" i="1"/>
  <c r="E2262" i="1"/>
  <c r="D2262" i="1"/>
  <c r="C2262" i="1"/>
  <c r="E2261" i="1"/>
  <c r="D2261" i="1"/>
  <c r="C2261" i="1"/>
  <c r="E2260" i="1"/>
  <c r="D2260" i="1"/>
  <c r="C2260" i="1"/>
  <c r="E2259" i="1"/>
  <c r="D2259" i="1"/>
  <c r="C2259" i="1"/>
  <c r="E2258" i="1"/>
  <c r="D2258" i="1"/>
  <c r="C2258" i="1"/>
  <c r="E2257" i="1"/>
  <c r="D2257" i="1"/>
  <c r="C2257" i="1"/>
  <c r="E2256" i="1"/>
  <c r="D2256" i="1"/>
  <c r="C2256" i="1"/>
  <c r="E2255" i="1"/>
  <c r="D2255" i="1"/>
  <c r="C2255" i="1"/>
  <c r="E2254" i="1"/>
  <c r="D2254" i="1"/>
  <c r="C2254" i="1"/>
  <c r="E2253" i="1"/>
  <c r="D2253" i="1"/>
  <c r="C2253" i="1"/>
  <c r="E2252" i="1"/>
  <c r="D2252" i="1"/>
  <c r="C2252" i="1"/>
  <c r="E2251" i="1"/>
  <c r="D2251" i="1"/>
  <c r="C2251" i="1"/>
  <c r="E2250" i="1"/>
  <c r="D2250" i="1"/>
  <c r="C2250" i="1"/>
  <c r="E2249" i="1"/>
  <c r="D2249" i="1"/>
  <c r="C2249" i="1"/>
  <c r="E2248" i="1"/>
  <c r="D2248" i="1"/>
  <c r="C2248" i="1"/>
  <c r="E2247" i="1"/>
  <c r="D2247" i="1"/>
  <c r="C2247" i="1"/>
  <c r="E2246" i="1"/>
  <c r="D2246" i="1"/>
  <c r="C2246" i="1"/>
  <c r="E2245" i="1"/>
  <c r="D2245" i="1"/>
  <c r="C2245" i="1"/>
  <c r="E2244" i="1"/>
  <c r="D2244" i="1"/>
  <c r="C2244" i="1"/>
  <c r="E2243" i="1"/>
  <c r="D2243" i="1"/>
  <c r="C2243" i="1"/>
  <c r="E2242" i="1"/>
  <c r="D2242" i="1"/>
  <c r="C2242" i="1"/>
  <c r="E2241" i="1"/>
  <c r="D2241" i="1"/>
  <c r="C2241" i="1"/>
  <c r="E2240" i="1"/>
  <c r="D2240" i="1"/>
  <c r="C2240" i="1"/>
  <c r="E2239" i="1"/>
  <c r="D2239" i="1"/>
  <c r="C2239" i="1"/>
  <c r="E2238" i="1"/>
  <c r="D2238" i="1"/>
  <c r="C2238" i="1"/>
  <c r="E2237" i="1"/>
  <c r="D2237" i="1"/>
  <c r="C2237" i="1"/>
  <c r="E2236" i="1"/>
  <c r="D2236" i="1"/>
  <c r="C2236" i="1"/>
  <c r="E2235" i="1"/>
  <c r="D2235" i="1"/>
  <c r="C2235" i="1"/>
  <c r="E2234" i="1"/>
  <c r="D2234" i="1"/>
  <c r="C2234" i="1"/>
  <c r="E2233" i="1"/>
  <c r="D2233" i="1"/>
  <c r="C2233" i="1"/>
  <c r="E2232" i="1"/>
  <c r="D2232" i="1"/>
  <c r="C2232" i="1"/>
  <c r="E2231" i="1"/>
  <c r="D2231" i="1"/>
  <c r="C2231" i="1"/>
  <c r="E2230" i="1"/>
  <c r="D2230" i="1"/>
  <c r="C2230" i="1"/>
  <c r="E2229" i="1"/>
  <c r="D2229" i="1"/>
  <c r="C2229" i="1"/>
  <c r="E2228" i="1"/>
  <c r="D2228" i="1"/>
  <c r="C2228" i="1"/>
  <c r="E2227" i="1"/>
  <c r="D2227" i="1"/>
  <c r="C2227" i="1"/>
  <c r="E2226" i="1"/>
  <c r="D2226" i="1"/>
  <c r="C2226" i="1"/>
  <c r="E2225" i="1"/>
  <c r="D2225" i="1"/>
  <c r="C2225" i="1"/>
  <c r="E2224" i="1"/>
  <c r="D2224" i="1"/>
  <c r="C2224" i="1"/>
  <c r="E2223" i="1"/>
  <c r="D2223" i="1"/>
  <c r="C2223" i="1"/>
  <c r="E2222" i="1"/>
  <c r="D2222" i="1"/>
  <c r="C2222" i="1"/>
  <c r="E2221" i="1"/>
  <c r="D2221" i="1"/>
  <c r="C2221" i="1"/>
  <c r="E2220" i="1"/>
  <c r="D2220" i="1"/>
  <c r="C2220" i="1"/>
  <c r="E2219" i="1"/>
  <c r="D2219" i="1"/>
  <c r="C2219" i="1"/>
  <c r="E2218" i="1"/>
  <c r="D2218" i="1"/>
  <c r="C2218" i="1"/>
  <c r="E2217" i="1"/>
  <c r="D2217" i="1"/>
  <c r="C2217" i="1"/>
  <c r="E2216" i="1"/>
  <c r="D2216" i="1"/>
  <c r="C2216" i="1"/>
  <c r="E2215" i="1"/>
  <c r="D2215" i="1"/>
  <c r="C2215" i="1"/>
  <c r="E2214" i="1"/>
  <c r="D2214" i="1"/>
  <c r="C2214" i="1"/>
  <c r="E2213" i="1"/>
  <c r="D2213" i="1"/>
  <c r="C2213" i="1"/>
  <c r="E2212" i="1"/>
  <c r="D2212" i="1"/>
  <c r="C2212" i="1"/>
  <c r="E2211" i="1"/>
  <c r="D2211" i="1"/>
  <c r="C2211" i="1"/>
  <c r="E2210" i="1"/>
  <c r="D2210" i="1"/>
  <c r="C2210" i="1"/>
  <c r="E2209" i="1"/>
  <c r="D2209" i="1"/>
  <c r="C2209" i="1"/>
  <c r="E2208" i="1"/>
  <c r="D2208" i="1"/>
  <c r="C2208" i="1"/>
  <c r="E2207" i="1"/>
  <c r="D2207" i="1"/>
  <c r="C2207" i="1"/>
  <c r="E2206" i="1"/>
  <c r="D2206" i="1"/>
  <c r="C2206" i="1"/>
  <c r="E2205" i="1"/>
  <c r="D2205" i="1"/>
  <c r="C2205" i="1"/>
  <c r="E2204" i="1"/>
  <c r="D2204" i="1"/>
  <c r="C2204" i="1"/>
  <c r="E2203" i="1"/>
  <c r="D2203" i="1"/>
  <c r="C2203" i="1"/>
  <c r="E2202" i="1"/>
  <c r="D2202" i="1"/>
  <c r="C2202" i="1"/>
  <c r="E2201" i="1"/>
  <c r="D2201" i="1"/>
  <c r="C2201" i="1"/>
  <c r="E2200" i="1"/>
  <c r="D2200" i="1"/>
  <c r="C2200" i="1"/>
  <c r="E2199" i="1"/>
  <c r="D2199" i="1"/>
  <c r="C2199" i="1"/>
  <c r="E2198" i="1"/>
  <c r="D2198" i="1"/>
  <c r="C2198" i="1"/>
  <c r="E2197" i="1"/>
  <c r="D2197" i="1"/>
  <c r="C2197" i="1"/>
  <c r="E2196" i="1"/>
  <c r="D2196" i="1"/>
  <c r="C2196" i="1"/>
  <c r="E2195" i="1"/>
  <c r="D2195" i="1"/>
  <c r="C2195" i="1"/>
  <c r="E2194" i="1"/>
  <c r="D2194" i="1"/>
  <c r="C2194" i="1"/>
  <c r="E2193" i="1"/>
  <c r="D2193" i="1"/>
  <c r="C2193" i="1"/>
  <c r="E2192" i="1"/>
  <c r="D2192" i="1"/>
  <c r="C2192" i="1"/>
  <c r="E2191" i="1"/>
  <c r="D2191" i="1"/>
  <c r="C2191" i="1"/>
  <c r="E2190" i="1"/>
  <c r="D2190" i="1"/>
  <c r="C2190" i="1"/>
  <c r="E2189" i="1"/>
  <c r="D2189" i="1"/>
  <c r="C2189" i="1"/>
  <c r="E2188" i="1"/>
  <c r="D2188" i="1"/>
  <c r="C2188" i="1"/>
  <c r="E2187" i="1"/>
  <c r="D2187" i="1"/>
  <c r="C2187" i="1"/>
  <c r="E2186" i="1"/>
  <c r="D2186" i="1"/>
  <c r="C2186" i="1"/>
  <c r="E2185" i="1"/>
  <c r="D2185" i="1"/>
  <c r="C2185" i="1"/>
  <c r="E2184" i="1"/>
  <c r="D2184" i="1"/>
  <c r="C2184" i="1"/>
  <c r="E2183" i="1"/>
  <c r="D2183" i="1"/>
  <c r="C2183" i="1"/>
  <c r="E2182" i="1"/>
  <c r="D2182" i="1"/>
  <c r="C2182" i="1"/>
  <c r="E2181" i="1"/>
  <c r="D2181" i="1"/>
  <c r="C2181" i="1"/>
  <c r="E2180" i="1"/>
  <c r="D2180" i="1"/>
  <c r="C2180" i="1"/>
  <c r="E2179" i="1"/>
  <c r="D2179" i="1"/>
  <c r="C2179" i="1"/>
  <c r="E2178" i="1"/>
  <c r="D2178" i="1"/>
  <c r="C2178" i="1"/>
  <c r="E2177" i="1"/>
  <c r="D2177" i="1"/>
  <c r="C2177" i="1"/>
  <c r="E2176" i="1"/>
  <c r="D2176" i="1"/>
  <c r="C2176" i="1"/>
  <c r="E2175" i="1"/>
  <c r="D2175" i="1"/>
  <c r="C2175" i="1"/>
  <c r="E2174" i="1"/>
  <c r="D2174" i="1"/>
  <c r="C2174" i="1"/>
  <c r="E2173" i="1"/>
  <c r="D2173" i="1"/>
  <c r="C2173" i="1"/>
  <c r="E2172" i="1"/>
  <c r="D2172" i="1"/>
  <c r="C2172" i="1"/>
  <c r="E2171" i="1"/>
  <c r="D2171" i="1"/>
  <c r="C2171" i="1"/>
  <c r="E2170" i="1"/>
  <c r="D2170" i="1"/>
  <c r="C2170" i="1"/>
  <c r="E2169" i="1"/>
  <c r="D2169" i="1"/>
  <c r="C2169" i="1"/>
  <c r="E2168" i="1"/>
  <c r="D2168" i="1"/>
  <c r="C2168" i="1"/>
  <c r="E2167" i="1"/>
  <c r="D2167" i="1"/>
  <c r="C2167" i="1"/>
  <c r="E2166" i="1"/>
  <c r="D2166" i="1"/>
  <c r="C2166" i="1"/>
  <c r="E2165" i="1"/>
  <c r="D2165" i="1"/>
  <c r="C2165" i="1"/>
  <c r="E2164" i="1"/>
  <c r="D2164" i="1"/>
  <c r="C2164" i="1"/>
  <c r="E2163" i="1"/>
  <c r="D2163" i="1"/>
  <c r="C2163" i="1"/>
  <c r="E2162" i="1"/>
  <c r="D2162" i="1"/>
  <c r="C2162" i="1"/>
  <c r="E2161" i="1"/>
  <c r="D2161" i="1"/>
  <c r="C2161" i="1"/>
  <c r="E2160" i="1"/>
  <c r="D2160" i="1"/>
  <c r="C2160" i="1"/>
  <c r="E2159" i="1"/>
  <c r="D2159" i="1"/>
  <c r="C2159" i="1"/>
  <c r="E2158" i="1"/>
  <c r="D2158" i="1"/>
  <c r="C2158" i="1"/>
  <c r="E2157" i="1"/>
  <c r="D2157" i="1"/>
  <c r="C2157" i="1"/>
  <c r="E2156" i="1"/>
  <c r="D2156" i="1"/>
  <c r="C2156" i="1"/>
  <c r="E2155" i="1"/>
  <c r="D2155" i="1"/>
  <c r="C2155" i="1"/>
  <c r="E2154" i="1"/>
  <c r="D2154" i="1"/>
  <c r="C2154" i="1"/>
  <c r="E2153" i="1"/>
  <c r="D2153" i="1"/>
  <c r="C2153" i="1"/>
  <c r="E2152" i="1"/>
  <c r="D2152" i="1"/>
  <c r="C2152" i="1"/>
  <c r="E2151" i="1"/>
  <c r="D2151" i="1"/>
  <c r="C2151" i="1"/>
  <c r="E2150" i="1"/>
  <c r="D2150" i="1"/>
  <c r="C2150" i="1"/>
  <c r="E2149" i="1"/>
  <c r="D2149" i="1"/>
  <c r="C2149" i="1"/>
  <c r="E2148" i="1"/>
  <c r="D2148" i="1"/>
  <c r="C2148" i="1"/>
  <c r="E2147" i="1"/>
  <c r="D2147" i="1"/>
  <c r="C2147" i="1"/>
  <c r="E2146" i="1"/>
  <c r="D2146" i="1"/>
  <c r="C2146" i="1"/>
  <c r="E2145" i="1"/>
  <c r="D2145" i="1"/>
  <c r="C2145" i="1"/>
  <c r="E2144" i="1"/>
  <c r="D2144" i="1"/>
  <c r="C2144" i="1"/>
  <c r="E2143" i="1"/>
  <c r="D2143" i="1"/>
  <c r="C2143" i="1"/>
  <c r="E2142" i="1"/>
  <c r="D2142" i="1"/>
  <c r="C2142" i="1"/>
  <c r="E2141" i="1"/>
  <c r="D2141" i="1"/>
  <c r="C2141" i="1"/>
  <c r="E2140" i="1"/>
  <c r="D2140" i="1"/>
  <c r="C2140" i="1"/>
  <c r="E2139" i="1"/>
  <c r="D2139" i="1"/>
  <c r="C2139" i="1"/>
  <c r="E2138" i="1"/>
  <c r="D2138" i="1"/>
  <c r="C2138" i="1"/>
  <c r="E2137" i="1"/>
  <c r="D2137" i="1"/>
  <c r="C2137" i="1"/>
  <c r="E2136" i="1"/>
  <c r="D2136" i="1"/>
  <c r="C2136" i="1"/>
  <c r="E2135" i="1"/>
  <c r="D2135" i="1"/>
  <c r="C2135" i="1"/>
  <c r="E2134" i="1"/>
  <c r="D2134" i="1"/>
  <c r="C2134" i="1"/>
  <c r="E2133" i="1"/>
  <c r="D2133" i="1"/>
  <c r="C2133" i="1"/>
  <c r="E2132" i="1"/>
  <c r="D2132" i="1"/>
  <c r="C2132" i="1"/>
  <c r="E2131" i="1"/>
  <c r="D2131" i="1"/>
  <c r="C2131" i="1"/>
  <c r="E2130" i="1"/>
  <c r="D2130" i="1"/>
  <c r="C2130" i="1"/>
  <c r="E2129" i="1"/>
  <c r="D2129" i="1"/>
  <c r="C2129" i="1"/>
  <c r="E2128" i="1"/>
  <c r="D2128" i="1"/>
  <c r="C2128" i="1"/>
  <c r="E2127" i="1"/>
  <c r="D2127" i="1"/>
  <c r="C2127" i="1"/>
  <c r="E2126" i="1"/>
  <c r="D2126" i="1"/>
  <c r="C2126" i="1"/>
  <c r="E2125" i="1"/>
  <c r="D2125" i="1"/>
  <c r="C2125" i="1"/>
  <c r="E2124" i="1"/>
  <c r="D2124" i="1"/>
  <c r="C2124" i="1"/>
  <c r="E2123" i="1"/>
  <c r="D2123" i="1"/>
  <c r="C2123" i="1"/>
  <c r="E2122" i="1"/>
  <c r="D2122" i="1"/>
  <c r="C2122" i="1"/>
  <c r="E2121" i="1"/>
  <c r="D2121" i="1"/>
  <c r="C2121" i="1"/>
  <c r="E2120" i="1"/>
  <c r="D2120" i="1"/>
  <c r="C2120" i="1"/>
  <c r="E2119" i="1"/>
  <c r="D2119" i="1"/>
  <c r="C2119" i="1"/>
  <c r="E2118" i="1"/>
  <c r="D2118" i="1"/>
  <c r="C2118" i="1"/>
  <c r="E2117" i="1"/>
  <c r="D2117" i="1"/>
  <c r="C2117" i="1"/>
  <c r="E2116" i="1"/>
  <c r="D2116" i="1"/>
  <c r="C2116" i="1"/>
  <c r="E2115" i="1"/>
  <c r="D2115" i="1"/>
  <c r="C2115" i="1"/>
  <c r="E2114" i="1"/>
  <c r="D2114" i="1"/>
  <c r="C2114" i="1"/>
  <c r="E2113" i="1"/>
  <c r="D2113" i="1"/>
  <c r="C2113" i="1"/>
  <c r="E2112" i="1"/>
  <c r="D2112" i="1"/>
  <c r="C2112" i="1"/>
  <c r="E2111" i="1"/>
  <c r="D2111" i="1"/>
  <c r="C2111" i="1"/>
  <c r="E2110" i="1"/>
  <c r="D2110" i="1"/>
  <c r="C2110" i="1"/>
  <c r="E2109" i="1"/>
  <c r="D2109" i="1"/>
  <c r="C2109" i="1"/>
  <c r="E2108" i="1"/>
  <c r="D2108" i="1"/>
  <c r="C2108" i="1"/>
  <c r="E2107" i="1"/>
  <c r="D2107" i="1"/>
  <c r="C2107" i="1"/>
  <c r="E2106" i="1"/>
  <c r="D2106" i="1"/>
  <c r="C2106" i="1"/>
  <c r="E2105" i="1"/>
  <c r="D2105" i="1"/>
  <c r="C2105" i="1"/>
  <c r="E2104" i="1"/>
  <c r="D2104" i="1"/>
  <c r="C2104" i="1"/>
  <c r="E2103" i="1"/>
  <c r="D2103" i="1"/>
  <c r="C2103" i="1"/>
  <c r="E2102" i="1"/>
  <c r="D2102" i="1"/>
  <c r="C2102" i="1"/>
  <c r="E2101" i="1"/>
  <c r="D2101" i="1"/>
  <c r="C2101" i="1"/>
  <c r="E2100" i="1"/>
  <c r="D2100" i="1"/>
  <c r="C2100" i="1"/>
  <c r="E2099" i="1"/>
  <c r="D2099" i="1"/>
  <c r="C2099" i="1"/>
  <c r="E2098" i="1"/>
  <c r="D2098" i="1"/>
  <c r="C2098" i="1"/>
  <c r="E2097" i="1"/>
  <c r="D2097" i="1"/>
  <c r="C2097" i="1"/>
  <c r="E2096" i="1"/>
  <c r="D2096" i="1"/>
  <c r="C2096" i="1"/>
  <c r="E2095" i="1"/>
  <c r="D2095" i="1"/>
  <c r="C2095" i="1"/>
  <c r="E2094" i="1"/>
  <c r="D2094" i="1"/>
  <c r="C2094" i="1"/>
  <c r="E2093" i="1"/>
  <c r="D2093" i="1"/>
  <c r="C2093" i="1"/>
  <c r="E2092" i="1"/>
  <c r="D2092" i="1"/>
  <c r="C2092" i="1"/>
  <c r="E2091" i="1"/>
  <c r="D2091" i="1"/>
  <c r="C2091" i="1"/>
  <c r="E2090" i="1"/>
  <c r="D2090" i="1"/>
  <c r="C2090" i="1"/>
  <c r="E2089" i="1"/>
  <c r="D2089" i="1"/>
  <c r="C2089" i="1"/>
  <c r="E2088" i="1"/>
  <c r="D2088" i="1"/>
  <c r="C2088" i="1"/>
  <c r="E2087" i="1"/>
  <c r="D2087" i="1"/>
  <c r="C2087" i="1"/>
  <c r="E2086" i="1"/>
  <c r="D2086" i="1"/>
  <c r="C2086" i="1"/>
  <c r="E2085" i="1"/>
  <c r="D2085" i="1"/>
  <c r="C2085" i="1"/>
  <c r="E2084" i="1"/>
  <c r="D2084" i="1"/>
  <c r="C2084" i="1"/>
  <c r="E2083" i="1"/>
  <c r="D2083" i="1"/>
  <c r="C2083" i="1"/>
  <c r="E2082" i="1"/>
  <c r="D2082" i="1"/>
  <c r="C2082" i="1"/>
  <c r="E2081" i="1"/>
  <c r="D2081" i="1"/>
  <c r="C2081" i="1"/>
  <c r="E2080" i="1"/>
  <c r="D2080" i="1"/>
  <c r="C2080" i="1"/>
  <c r="E2079" i="1"/>
  <c r="D2079" i="1"/>
  <c r="C2079" i="1"/>
  <c r="E2078" i="1"/>
  <c r="D2078" i="1"/>
  <c r="C2078" i="1"/>
  <c r="E2077" i="1"/>
  <c r="D2077" i="1"/>
  <c r="C2077" i="1"/>
  <c r="E2076" i="1"/>
  <c r="D2076" i="1"/>
  <c r="C2076" i="1"/>
  <c r="E2075" i="1"/>
  <c r="D2075" i="1"/>
  <c r="C2075" i="1"/>
  <c r="E2074" i="1"/>
  <c r="D2074" i="1"/>
  <c r="C2074" i="1"/>
  <c r="E2073" i="1"/>
  <c r="D2073" i="1"/>
  <c r="C2073" i="1"/>
  <c r="E2072" i="1"/>
  <c r="D2072" i="1"/>
  <c r="C2072" i="1"/>
  <c r="E2071" i="1"/>
  <c r="D2071" i="1"/>
  <c r="C2071" i="1"/>
  <c r="E2070" i="1"/>
  <c r="D2070" i="1"/>
  <c r="C2070" i="1"/>
  <c r="E2069" i="1"/>
  <c r="D2069" i="1"/>
  <c r="C2069" i="1"/>
  <c r="E2068" i="1"/>
  <c r="D2068" i="1"/>
  <c r="C2068" i="1"/>
  <c r="E2067" i="1"/>
  <c r="D2067" i="1"/>
  <c r="C2067" i="1"/>
  <c r="E2066" i="1"/>
  <c r="D2066" i="1"/>
  <c r="C2066" i="1"/>
  <c r="E2065" i="1"/>
  <c r="D2065" i="1"/>
  <c r="C2065" i="1"/>
  <c r="E2064" i="1"/>
  <c r="D2064" i="1"/>
  <c r="C2064" i="1"/>
  <c r="E2063" i="1"/>
  <c r="D2063" i="1"/>
  <c r="C2063" i="1"/>
  <c r="E2062" i="1"/>
  <c r="D2062" i="1"/>
  <c r="C2062" i="1"/>
  <c r="E2061" i="1"/>
  <c r="D2061" i="1"/>
  <c r="C2061" i="1"/>
  <c r="E2060" i="1"/>
  <c r="D2060" i="1"/>
  <c r="C2060" i="1"/>
  <c r="E2059" i="1"/>
  <c r="D2059" i="1"/>
  <c r="C2059" i="1"/>
  <c r="E2058" i="1"/>
  <c r="D2058" i="1"/>
  <c r="C2058" i="1"/>
  <c r="E2057" i="1"/>
  <c r="D2057" i="1"/>
  <c r="C2057" i="1"/>
  <c r="E2056" i="1"/>
  <c r="D2056" i="1"/>
  <c r="C2056" i="1"/>
  <c r="E2055" i="1"/>
  <c r="D2055" i="1"/>
  <c r="C2055" i="1"/>
  <c r="E2054" i="1"/>
  <c r="D2054" i="1"/>
  <c r="C2054" i="1"/>
  <c r="E2053" i="1"/>
  <c r="D2053" i="1"/>
  <c r="C2053" i="1"/>
  <c r="E2052" i="1"/>
  <c r="D2052" i="1"/>
  <c r="C2052" i="1"/>
  <c r="E2051" i="1"/>
  <c r="D2051" i="1"/>
  <c r="C2051" i="1"/>
  <c r="E2050" i="1"/>
  <c r="D2050" i="1"/>
  <c r="C2050" i="1"/>
  <c r="E2049" i="1"/>
  <c r="D2049" i="1"/>
  <c r="C2049" i="1"/>
  <c r="E2048" i="1"/>
  <c r="D2048" i="1"/>
  <c r="C2048" i="1"/>
  <c r="E2047" i="1"/>
  <c r="D2047" i="1"/>
  <c r="C2047" i="1"/>
  <c r="E2046" i="1"/>
  <c r="D2046" i="1"/>
  <c r="C2046" i="1"/>
  <c r="E2045" i="1"/>
  <c r="D2045" i="1"/>
  <c r="C2045" i="1"/>
  <c r="E2044" i="1"/>
  <c r="D2044" i="1"/>
  <c r="C2044" i="1"/>
  <c r="E2043" i="1"/>
  <c r="D2043" i="1"/>
  <c r="C2043" i="1"/>
  <c r="E2042" i="1"/>
  <c r="D2042" i="1"/>
  <c r="C2042" i="1"/>
  <c r="E2041" i="1"/>
  <c r="D2041" i="1"/>
  <c r="C2041" i="1"/>
  <c r="E2040" i="1"/>
  <c r="D2040" i="1"/>
  <c r="C2040" i="1"/>
  <c r="E2039" i="1"/>
  <c r="D2039" i="1"/>
  <c r="C2039" i="1"/>
  <c r="E2038" i="1"/>
  <c r="D2038" i="1"/>
  <c r="C2038" i="1"/>
  <c r="E2037" i="1"/>
  <c r="D2037" i="1"/>
  <c r="C2037" i="1"/>
  <c r="E2036" i="1"/>
  <c r="D2036" i="1"/>
  <c r="C2036" i="1"/>
  <c r="E2035" i="1"/>
  <c r="D2035" i="1"/>
  <c r="C2035" i="1"/>
  <c r="E2034" i="1"/>
  <c r="D2034" i="1"/>
  <c r="C2034" i="1"/>
  <c r="E2033" i="1"/>
  <c r="D2033" i="1"/>
  <c r="C2033" i="1"/>
  <c r="E2032" i="1"/>
  <c r="D2032" i="1"/>
  <c r="C2032" i="1"/>
  <c r="E2031" i="1"/>
  <c r="D2031" i="1"/>
  <c r="C2031" i="1"/>
  <c r="E2030" i="1"/>
  <c r="D2030" i="1"/>
  <c r="C2030" i="1"/>
  <c r="E2029" i="1"/>
  <c r="D2029" i="1"/>
  <c r="C2029" i="1"/>
  <c r="E2028" i="1"/>
  <c r="D2028" i="1"/>
  <c r="C2028" i="1"/>
  <c r="E2027" i="1"/>
  <c r="D2027" i="1"/>
  <c r="C2027" i="1"/>
  <c r="E2026" i="1"/>
  <c r="D2026" i="1"/>
  <c r="C2026" i="1"/>
  <c r="E2025" i="1"/>
  <c r="D2025" i="1"/>
  <c r="C2025" i="1"/>
  <c r="E2024" i="1"/>
  <c r="D2024" i="1"/>
  <c r="C2024" i="1"/>
  <c r="E2023" i="1"/>
  <c r="D2023" i="1"/>
  <c r="C2023" i="1"/>
  <c r="E2022" i="1"/>
  <c r="D2022" i="1"/>
  <c r="C2022" i="1"/>
  <c r="E2021" i="1"/>
  <c r="D2021" i="1"/>
  <c r="C2021" i="1"/>
  <c r="E2020" i="1"/>
  <c r="D2020" i="1"/>
  <c r="C2020" i="1"/>
  <c r="E2019" i="1"/>
  <c r="D2019" i="1"/>
  <c r="C2019" i="1"/>
  <c r="E2018" i="1"/>
  <c r="D2018" i="1"/>
  <c r="C2018" i="1"/>
  <c r="E2017" i="1"/>
  <c r="D2017" i="1"/>
  <c r="C2017" i="1"/>
  <c r="E2016" i="1"/>
  <c r="D2016" i="1"/>
  <c r="C2016" i="1"/>
  <c r="E2015" i="1"/>
  <c r="D2015" i="1"/>
  <c r="C2015" i="1"/>
  <c r="E2014" i="1"/>
  <c r="D2014" i="1"/>
  <c r="C2014" i="1"/>
  <c r="E2013" i="1"/>
  <c r="D2013" i="1"/>
  <c r="C2013" i="1"/>
  <c r="E2012" i="1"/>
  <c r="D2012" i="1"/>
  <c r="C2012" i="1"/>
  <c r="E2011" i="1"/>
  <c r="D2011" i="1"/>
  <c r="C2011" i="1"/>
  <c r="E2010" i="1"/>
  <c r="D2010" i="1"/>
  <c r="C2010" i="1"/>
  <c r="E2009" i="1"/>
  <c r="D2009" i="1"/>
  <c r="C2009" i="1"/>
  <c r="E2008" i="1"/>
  <c r="D2008" i="1"/>
  <c r="C2008" i="1"/>
  <c r="E2007" i="1"/>
  <c r="D2007" i="1"/>
  <c r="C2007" i="1"/>
  <c r="E2006" i="1"/>
  <c r="D2006" i="1"/>
  <c r="C2006" i="1"/>
  <c r="E2005" i="1"/>
  <c r="D2005" i="1"/>
  <c r="C2005" i="1"/>
  <c r="E2004" i="1"/>
  <c r="D2004" i="1"/>
  <c r="C2004" i="1"/>
  <c r="E2003" i="1"/>
  <c r="D2003" i="1"/>
  <c r="C2003" i="1"/>
  <c r="E2002" i="1"/>
  <c r="D2002" i="1"/>
  <c r="C2002" i="1"/>
  <c r="E2001" i="1"/>
  <c r="D2001" i="1"/>
  <c r="C2001" i="1"/>
  <c r="E2000" i="1"/>
  <c r="D2000" i="1"/>
  <c r="C2000" i="1"/>
  <c r="E1999" i="1"/>
  <c r="D1999" i="1"/>
  <c r="C1999" i="1"/>
  <c r="E1998" i="1"/>
  <c r="D1998" i="1"/>
  <c r="C1998" i="1"/>
  <c r="E1997" i="1"/>
  <c r="D1997" i="1"/>
  <c r="C1997" i="1"/>
  <c r="E1996" i="1"/>
  <c r="D1996" i="1"/>
  <c r="C1996" i="1"/>
  <c r="E1995" i="1"/>
  <c r="D1995" i="1"/>
  <c r="C1995" i="1"/>
  <c r="E1994" i="1"/>
  <c r="D1994" i="1"/>
  <c r="C1994" i="1"/>
  <c r="E1993" i="1"/>
  <c r="D1993" i="1"/>
  <c r="C1993" i="1"/>
  <c r="E1992" i="1"/>
  <c r="D1992" i="1"/>
  <c r="C1992" i="1"/>
  <c r="E1991" i="1"/>
  <c r="D1991" i="1"/>
  <c r="C1991" i="1"/>
  <c r="E1990" i="1"/>
  <c r="D1990" i="1"/>
  <c r="C1990" i="1"/>
  <c r="E1989" i="1"/>
  <c r="D1989" i="1"/>
  <c r="C1989" i="1"/>
  <c r="E1988" i="1"/>
  <c r="D1988" i="1"/>
  <c r="C1988" i="1"/>
  <c r="E1987" i="1"/>
  <c r="D1987" i="1"/>
  <c r="C1987" i="1"/>
  <c r="E1986" i="1"/>
  <c r="D1986" i="1"/>
  <c r="C1986" i="1"/>
  <c r="E1985" i="1"/>
  <c r="D1985" i="1"/>
  <c r="C1985" i="1"/>
  <c r="E1984" i="1"/>
  <c r="D1984" i="1"/>
  <c r="C1984" i="1"/>
  <c r="E1983" i="1"/>
  <c r="D1983" i="1"/>
  <c r="C1983" i="1"/>
  <c r="E1982" i="1"/>
  <c r="D1982" i="1"/>
  <c r="C1982" i="1"/>
  <c r="E1981" i="1"/>
  <c r="D1981" i="1"/>
  <c r="C1981" i="1"/>
  <c r="E1980" i="1"/>
  <c r="D1980" i="1"/>
  <c r="C1980" i="1"/>
  <c r="E1979" i="1"/>
  <c r="D1979" i="1"/>
  <c r="C1979" i="1"/>
  <c r="E1978" i="1"/>
  <c r="D1978" i="1"/>
  <c r="C1978" i="1"/>
  <c r="E1977" i="1"/>
  <c r="D1977" i="1"/>
  <c r="C1977" i="1"/>
  <c r="E1976" i="1"/>
  <c r="D1976" i="1"/>
  <c r="C1976" i="1"/>
  <c r="E1975" i="1"/>
  <c r="D1975" i="1"/>
  <c r="C1975" i="1"/>
  <c r="E1974" i="1"/>
  <c r="D1974" i="1"/>
  <c r="C1974" i="1"/>
  <c r="E1973" i="1"/>
  <c r="D1973" i="1"/>
  <c r="C1973" i="1"/>
  <c r="E1972" i="1"/>
  <c r="D1972" i="1"/>
  <c r="C1972" i="1"/>
  <c r="E1971" i="1"/>
  <c r="D1971" i="1"/>
  <c r="C1971" i="1"/>
  <c r="E1970" i="1"/>
  <c r="D1970" i="1"/>
  <c r="C1970" i="1"/>
  <c r="E1969" i="1"/>
  <c r="D1969" i="1"/>
  <c r="C1969" i="1"/>
  <c r="E1968" i="1"/>
  <c r="D1968" i="1"/>
  <c r="C1968" i="1"/>
  <c r="E1967" i="1"/>
  <c r="D1967" i="1"/>
  <c r="C1967" i="1"/>
  <c r="E1966" i="1"/>
  <c r="D1966" i="1"/>
  <c r="C1966" i="1"/>
  <c r="E1965" i="1"/>
  <c r="D1965" i="1"/>
  <c r="C1965" i="1"/>
  <c r="E1964" i="1"/>
  <c r="D1964" i="1"/>
  <c r="C1964" i="1"/>
  <c r="E1963" i="1"/>
  <c r="D1963" i="1"/>
  <c r="C1963" i="1"/>
  <c r="E1962" i="1"/>
  <c r="D1962" i="1"/>
  <c r="C1962" i="1"/>
  <c r="E1961" i="1"/>
  <c r="D1961" i="1"/>
  <c r="C1961" i="1"/>
  <c r="E1960" i="1"/>
  <c r="D1960" i="1"/>
  <c r="C1960" i="1"/>
  <c r="E1959" i="1"/>
  <c r="D1959" i="1"/>
  <c r="C1959" i="1"/>
  <c r="E1958" i="1"/>
  <c r="D1958" i="1"/>
  <c r="C1958" i="1"/>
  <c r="E1957" i="1"/>
  <c r="D1957" i="1"/>
  <c r="C1957" i="1"/>
  <c r="E1956" i="1"/>
  <c r="D1956" i="1"/>
  <c r="C1956" i="1"/>
  <c r="E1955" i="1"/>
  <c r="D1955" i="1"/>
  <c r="C1955" i="1"/>
  <c r="E1954" i="1"/>
  <c r="D1954" i="1"/>
  <c r="C1954" i="1"/>
  <c r="E1953" i="1"/>
  <c r="D1953" i="1"/>
  <c r="C1953" i="1"/>
  <c r="E1952" i="1"/>
  <c r="D1952" i="1"/>
  <c r="C1952" i="1"/>
  <c r="E1951" i="1"/>
  <c r="D1951" i="1"/>
  <c r="C1951" i="1"/>
  <c r="E1950" i="1"/>
  <c r="D1950" i="1"/>
  <c r="C1950" i="1"/>
  <c r="E1949" i="1"/>
  <c r="D1949" i="1"/>
  <c r="C1949" i="1"/>
  <c r="E1948" i="1"/>
  <c r="D1948" i="1"/>
  <c r="C1948" i="1"/>
  <c r="E1947" i="1"/>
  <c r="D1947" i="1"/>
  <c r="C1947" i="1"/>
  <c r="E1946" i="1"/>
  <c r="D1946" i="1"/>
  <c r="C1946" i="1"/>
  <c r="E1945" i="1"/>
  <c r="D1945" i="1"/>
  <c r="C1945" i="1"/>
  <c r="E1944" i="1"/>
  <c r="D1944" i="1"/>
  <c r="C1944" i="1"/>
  <c r="E1943" i="1"/>
  <c r="D1943" i="1"/>
  <c r="C1943" i="1"/>
  <c r="E1942" i="1"/>
  <c r="D1942" i="1"/>
  <c r="C1942" i="1"/>
  <c r="E1941" i="1"/>
  <c r="D1941" i="1"/>
  <c r="C1941" i="1"/>
  <c r="E1940" i="1"/>
  <c r="D1940" i="1"/>
  <c r="C1940" i="1"/>
  <c r="E1939" i="1"/>
  <c r="D1939" i="1"/>
  <c r="C1939" i="1"/>
  <c r="E1938" i="1"/>
  <c r="D1938" i="1"/>
  <c r="C1938" i="1"/>
  <c r="E1937" i="1"/>
  <c r="D1937" i="1"/>
  <c r="C1937" i="1"/>
  <c r="E1936" i="1"/>
  <c r="D1936" i="1"/>
  <c r="C1936" i="1"/>
  <c r="E1935" i="1"/>
  <c r="D1935" i="1"/>
  <c r="C1935" i="1"/>
  <c r="E1934" i="1"/>
  <c r="D1934" i="1"/>
  <c r="C1934" i="1"/>
  <c r="E1933" i="1"/>
  <c r="D1933" i="1"/>
  <c r="C1933" i="1"/>
  <c r="E1932" i="1"/>
  <c r="D1932" i="1"/>
  <c r="C1932" i="1"/>
  <c r="E1931" i="1"/>
  <c r="D1931" i="1"/>
  <c r="C1931" i="1"/>
  <c r="E1930" i="1"/>
  <c r="D1930" i="1"/>
  <c r="C1930" i="1"/>
  <c r="E1929" i="1"/>
  <c r="D1929" i="1"/>
  <c r="C1929" i="1"/>
  <c r="E1928" i="1"/>
  <c r="D1928" i="1"/>
  <c r="C1928" i="1"/>
  <c r="E1927" i="1"/>
  <c r="D1927" i="1"/>
  <c r="C1927" i="1"/>
  <c r="E1926" i="1"/>
  <c r="D1926" i="1"/>
  <c r="C1926" i="1"/>
  <c r="E1925" i="1"/>
  <c r="D1925" i="1"/>
  <c r="C1925" i="1"/>
  <c r="E1924" i="1"/>
  <c r="D1924" i="1"/>
  <c r="C1924" i="1"/>
  <c r="E1923" i="1"/>
  <c r="D1923" i="1"/>
  <c r="C1923" i="1"/>
  <c r="E1922" i="1"/>
  <c r="D1922" i="1"/>
  <c r="C1922" i="1"/>
  <c r="E1921" i="1"/>
  <c r="D1921" i="1"/>
  <c r="C1921" i="1"/>
  <c r="E1920" i="1"/>
  <c r="D1920" i="1"/>
  <c r="C1920" i="1"/>
  <c r="E1919" i="1"/>
  <c r="D1919" i="1"/>
  <c r="C1919" i="1"/>
  <c r="E1918" i="1"/>
  <c r="D1918" i="1"/>
  <c r="C1918" i="1"/>
  <c r="E1917" i="1"/>
  <c r="D1917" i="1"/>
  <c r="C1917" i="1"/>
  <c r="E1916" i="1"/>
  <c r="D1916" i="1"/>
  <c r="C1916" i="1"/>
  <c r="E1915" i="1"/>
  <c r="D1915" i="1"/>
  <c r="C1915" i="1"/>
  <c r="E1914" i="1"/>
  <c r="D1914" i="1"/>
  <c r="C1914" i="1"/>
  <c r="E1913" i="1"/>
  <c r="D1913" i="1"/>
  <c r="C1913" i="1"/>
  <c r="E1912" i="1"/>
  <c r="D1912" i="1"/>
  <c r="C1912" i="1"/>
  <c r="E1911" i="1"/>
  <c r="D1911" i="1"/>
  <c r="C1911" i="1"/>
  <c r="E1910" i="1"/>
  <c r="D1910" i="1"/>
  <c r="C1910" i="1"/>
  <c r="E1909" i="1"/>
  <c r="D1909" i="1"/>
  <c r="C1909" i="1"/>
  <c r="E1908" i="1"/>
  <c r="D1908" i="1"/>
  <c r="C1908" i="1"/>
  <c r="E1907" i="1"/>
  <c r="D1907" i="1"/>
  <c r="C1907" i="1"/>
  <c r="E1906" i="1"/>
  <c r="D1906" i="1"/>
  <c r="C1906" i="1"/>
  <c r="E1905" i="1"/>
  <c r="D1905" i="1"/>
  <c r="C1905" i="1"/>
  <c r="E1904" i="1"/>
  <c r="D1904" i="1"/>
  <c r="C1904" i="1"/>
  <c r="E1903" i="1"/>
  <c r="D1903" i="1"/>
  <c r="C1903" i="1"/>
  <c r="E1902" i="1"/>
  <c r="D1902" i="1"/>
  <c r="C1902" i="1"/>
  <c r="E1901" i="1"/>
  <c r="D1901" i="1"/>
  <c r="C1901" i="1"/>
  <c r="E1900" i="1"/>
  <c r="D1900" i="1"/>
  <c r="C1900" i="1"/>
  <c r="E1899" i="1"/>
  <c r="D1899" i="1"/>
  <c r="C1899" i="1"/>
  <c r="E1898" i="1"/>
  <c r="D1898" i="1"/>
  <c r="C1898" i="1"/>
  <c r="E1897" i="1"/>
  <c r="D1897" i="1"/>
  <c r="C1897" i="1"/>
  <c r="E1896" i="1"/>
  <c r="D1896" i="1"/>
  <c r="C1896" i="1"/>
  <c r="E1895" i="1"/>
  <c r="D1895" i="1"/>
  <c r="C1895" i="1"/>
  <c r="E1894" i="1"/>
  <c r="D1894" i="1"/>
  <c r="C1894" i="1"/>
  <c r="E1893" i="1"/>
  <c r="D1893" i="1"/>
  <c r="C1893" i="1"/>
  <c r="E1892" i="1"/>
  <c r="D1892" i="1"/>
  <c r="C1892" i="1"/>
  <c r="E1891" i="1"/>
  <c r="D1891" i="1"/>
  <c r="C1891" i="1"/>
  <c r="E1890" i="1"/>
  <c r="D1890" i="1"/>
  <c r="C1890" i="1"/>
  <c r="E1889" i="1"/>
  <c r="D1889" i="1"/>
  <c r="C1889" i="1"/>
  <c r="E1888" i="1"/>
  <c r="D1888" i="1"/>
  <c r="C1888" i="1"/>
  <c r="E1887" i="1"/>
  <c r="D1887" i="1"/>
  <c r="C1887" i="1"/>
  <c r="E1886" i="1"/>
  <c r="D1886" i="1"/>
  <c r="C1886" i="1"/>
  <c r="E1885" i="1"/>
  <c r="D1885" i="1"/>
  <c r="C1885" i="1"/>
  <c r="E1884" i="1"/>
  <c r="D1884" i="1"/>
  <c r="C1884" i="1"/>
  <c r="E1883" i="1"/>
  <c r="D1883" i="1"/>
  <c r="C1883" i="1"/>
  <c r="E1882" i="1"/>
  <c r="D1882" i="1"/>
  <c r="C1882" i="1"/>
  <c r="E1881" i="1"/>
  <c r="D1881" i="1"/>
  <c r="C1881" i="1"/>
  <c r="E1880" i="1"/>
  <c r="D1880" i="1"/>
  <c r="C1880" i="1"/>
  <c r="E1879" i="1"/>
  <c r="D1879" i="1"/>
  <c r="C1879" i="1"/>
  <c r="E1878" i="1"/>
  <c r="D1878" i="1"/>
  <c r="C1878" i="1"/>
  <c r="E1877" i="1"/>
  <c r="D1877" i="1"/>
  <c r="C1877" i="1"/>
  <c r="E1876" i="1"/>
  <c r="D1876" i="1"/>
  <c r="C1876" i="1"/>
  <c r="E1875" i="1"/>
  <c r="D1875" i="1"/>
  <c r="C1875" i="1"/>
  <c r="E1874" i="1"/>
  <c r="D1874" i="1"/>
  <c r="C1874" i="1"/>
  <c r="E1873" i="1"/>
  <c r="D1873" i="1"/>
  <c r="C1873" i="1"/>
  <c r="E1872" i="1"/>
  <c r="D1872" i="1"/>
  <c r="C1872" i="1"/>
  <c r="E1871" i="1"/>
  <c r="D1871" i="1"/>
  <c r="C1871" i="1"/>
  <c r="E1870" i="1"/>
  <c r="D1870" i="1"/>
  <c r="C1870" i="1"/>
  <c r="E1869" i="1"/>
  <c r="D1869" i="1"/>
  <c r="C1869" i="1"/>
  <c r="E1868" i="1"/>
  <c r="D1868" i="1"/>
  <c r="C1868" i="1"/>
  <c r="E1867" i="1"/>
  <c r="D1867" i="1"/>
  <c r="C1867" i="1"/>
  <c r="E1866" i="1"/>
  <c r="D1866" i="1"/>
  <c r="C1866" i="1"/>
  <c r="E1865" i="1"/>
  <c r="D1865" i="1"/>
  <c r="C1865" i="1"/>
  <c r="E1864" i="1"/>
  <c r="D1864" i="1"/>
  <c r="C1864" i="1"/>
  <c r="E1863" i="1"/>
  <c r="D1863" i="1"/>
  <c r="C1863" i="1"/>
  <c r="E1862" i="1"/>
  <c r="D1862" i="1"/>
  <c r="C1862" i="1"/>
  <c r="E1861" i="1"/>
  <c r="D1861" i="1"/>
  <c r="C1861" i="1"/>
  <c r="E1860" i="1"/>
  <c r="D1860" i="1"/>
  <c r="C1860" i="1"/>
  <c r="E1859" i="1"/>
  <c r="D1859" i="1"/>
  <c r="C1859" i="1"/>
  <c r="E1858" i="1"/>
  <c r="D1858" i="1"/>
  <c r="C1858" i="1"/>
  <c r="E1857" i="1"/>
  <c r="D1857" i="1"/>
  <c r="C1857" i="1"/>
  <c r="E1856" i="1"/>
  <c r="D1856" i="1"/>
  <c r="C1856" i="1"/>
  <c r="E1855" i="1"/>
  <c r="D1855" i="1"/>
  <c r="C1855" i="1"/>
  <c r="E1854" i="1"/>
  <c r="D1854" i="1"/>
  <c r="C1854" i="1"/>
  <c r="E1853" i="1"/>
  <c r="D1853" i="1"/>
  <c r="C1853" i="1"/>
  <c r="E1852" i="1"/>
  <c r="D1852" i="1"/>
  <c r="C1852" i="1"/>
  <c r="E1851" i="1"/>
  <c r="D1851" i="1"/>
  <c r="C1851" i="1"/>
  <c r="E1850" i="1"/>
  <c r="D1850" i="1"/>
  <c r="C1850" i="1"/>
  <c r="E1849" i="1"/>
  <c r="D1849" i="1"/>
  <c r="C1849" i="1"/>
  <c r="E1848" i="1"/>
  <c r="D1848" i="1"/>
  <c r="C1848" i="1"/>
  <c r="E1847" i="1"/>
  <c r="D1847" i="1"/>
  <c r="C1847" i="1"/>
  <c r="E1846" i="1"/>
  <c r="D1846" i="1"/>
  <c r="C1846" i="1"/>
  <c r="E1845" i="1"/>
  <c r="D1845" i="1"/>
  <c r="C1845" i="1"/>
  <c r="E1844" i="1"/>
  <c r="D1844" i="1"/>
  <c r="C1844" i="1"/>
  <c r="E1843" i="1"/>
  <c r="D1843" i="1"/>
  <c r="C1843" i="1"/>
  <c r="E1842" i="1"/>
  <c r="D1842" i="1"/>
  <c r="C1842" i="1"/>
  <c r="E1841" i="1"/>
  <c r="D1841" i="1"/>
  <c r="C1841" i="1"/>
  <c r="E1840" i="1"/>
  <c r="D1840" i="1"/>
  <c r="C1840" i="1"/>
  <c r="E1839" i="1"/>
  <c r="D1839" i="1"/>
  <c r="C1839" i="1"/>
  <c r="E1838" i="1"/>
  <c r="D1838" i="1"/>
  <c r="C1838" i="1"/>
  <c r="E1837" i="1"/>
  <c r="D1837" i="1"/>
  <c r="C1837" i="1"/>
  <c r="E1836" i="1"/>
  <c r="D1836" i="1"/>
  <c r="C1836" i="1"/>
  <c r="E1835" i="1"/>
  <c r="D1835" i="1"/>
  <c r="C1835" i="1"/>
  <c r="E1834" i="1"/>
  <c r="D1834" i="1"/>
  <c r="C1834" i="1"/>
  <c r="E1833" i="1"/>
  <c r="D1833" i="1"/>
  <c r="C1833" i="1"/>
  <c r="E1832" i="1"/>
  <c r="D1832" i="1"/>
  <c r="C1832" i="1"/>
  <c r="E1831" i="1"/>
  <c r="D1831" i="1"/>
  <c r="C1831" i="1"/>
  <c r="E1830" i="1"/>
  <c r="D1830" i="1"/>
  <c r="C1830" i="1"/>
  <c r="E1829" i="1"/>
  <c r="D1829" i="1"/>
  <c r="C1829" i="1"/>
  <c r="E1828" i="1"/>
  <c r="D1828" i="1"/>
  <c r="C1828" i="1"/>
  <c r="E1827" i="1"/>
  <c r="D1827" i="1"/>
  <c r="C1827" i="1"/>
  <c r="E1826" i="1"/>
  <c r="D1826" i="1"/>
  <c r="C1826" i="1"/>
  <c r="E1825" i="1"/>
  <c r="D1825" i="1"/>
  <c r="C1825" i="1"/>
  <c r="E1824" i="1"/>
  <c r="D1824" i="1"/>
  <c r="C1824" i="1"/>
  <c r="E1823" i="1"/>
  <c r="D1823" i="1"/>
  <c r="C1823" i="1"/>
  <c r="E1822" i="1"/>
  <c r="D1822" i="1"/>
  <c r="C1822" i="1"/>
  <c r="E1821" i="1"/>
  <c r="D1821" i="1"/>
  <c r="C1821" i="1"/>
  <c r="E1820" i="1"/>
  <c r="D1820" i="1"/>
  <c r="C1820" i="1"/>
  <c r="E1819" i="1"/>
  <c r="D1819" i="1"/>
  <c r="C1819" i="1"/>
  <c r="E1818" i="1"/>
  <c r="D1818" i="1"/>
  <c r="C1818" i="1"/>
  <c r="E1817" i="1"/>
  <c r="D1817" i="1"/>
  <c r="C1817" i="1"/>
  <c r="E1816" i="1"/>
  <c r="D1816" i="1"/>
  <c r="C1816" i="1"/>
  <c r="E1815" i="1"/>
  <c r="D1815" i="1"/>
  <c r="C1815" i="1"/>
  <c r="E1814" i="1"/>
  <c r="D1814" i="1"/>
  <c r="C1814" i="1"/>
  <c r="E1813" i="1"/>
  <c r="D1813" i="1"/>
  <c r="C1813" i="1"/>
  <c r="E1812" i="1"/>
  <c r="D1812" i="1"/>
  <c r="C1812" i="1"/>
  <c r="E1811" i="1"/>
  <c r="D1811" i="1"/>
  <c r="C1811" i="1"/>
  <c r="E1810" i="1"/>
  <c r="D1810" i="1"/>
  <c r="C1810" i="1"/>
  <c r="E1809" i="1"/>
  <c r="D1809" i="1"/>
  <c r="C1809" i="1"/>
  <c r="E1808" i="1"/>
  <c r="D1808" i="1"/>
  <c r="C1808" i="1"/>
  <c r="E1807" i="1"/>
  <c r="D1807" i="1"/>
  <c r="C1807" i="1"/>
  <c r="E1806" i="1"/>
  <c r="D1806" i="1"/>
  <c r="C1806" i="1"/>
  <c r="E1805" i="1"/>
  <c r="D1805" i="1"/>
  <c r="C1805" i="1"/>
  <c r="E1804" i="1"/>
  <c r="D1804" i="1"/>
  <c r="C1804" i="1"/>
  <c r="E1803" i="1"/>
  <c r="D1803" i="1"/>
  <c r="C1803" i="1"/>
  <c r="E1802" i="1"/>
  <c r="D1802" i="1"/>
  <c r="C1802" i="1"/>
  <c r="E1801" i="1"/>
  <c r="D1801" i="1"/>
  <c r="C1801" i="1"/>
  <c r="E1800" i="1"/>
  <c r="D1800" i="1"/>
  <c r="C1800" i="1"/>
  <c r="E1799" i="1"/>
  <c r="D1799" i="1"/>
  <c r="C1799" i="1"/>
  <c r="E1798" i="1"/>
  <c r="D1798" i="1"/>
  <c r="C1798" i="1"/>
  <c r="E1797" i="1"/>
  <c r="D1797" i="1"/>
  <c r="C1797" i="1"/>
  <c r="E1796" i="1"/>
  <c r="D1796" i="1"/>
  <c r="C1796" i="1"/>
  <c r="E1795" i="1"/>
  <c r="D1795" i="1"/>
  <c r="C1795" i="1"/>
  <c r="E1794" i="1"/>
  <c r="D1794" i="1"/>
  <c r="C1794" i="1"/>
  <c r="E1793" i="1"/>
  <c r="D1793" i="1"/>
  <c r="C1793" i="1"/>
  <c r="E1792" i="1"/>
  <c r="D1792" i="1"/>
  <c r="C1792" i="1"/>
  <c r="E1791" i="1"/>
  <c r="D1791" i="1"/>
  <c r="C1791" i="1"/>
  <c r="E1790" i="1"/>
  <c r="D1790" i="1"/>
  <c r="C1790" i="1"/>
  <c r="E1789" i="1"/>
  <c r="D1789" i="1"/>
  <c r="C1789" i="1"/>
  <c r="E1788" i="1"/>
  <c r="D1788" i="1"/>
  <c r="C1788" i="1"/>
  <c r="E1787" i="1"/>
  <c r="D1787" i="1"/>
  <c r="C1787" i="1"/>
  <c r="E1786" i="1"/>
  <c r="D1786" i="1"/>
  <c r="C1786" i="1"/>
  <c r="E1785" i="1"/>
  <c r="D1785" i="1"/>
  <c r="C1785" i="1"/>
  <c r="E1784" i="1"/>
  <c r="D1784" i="1"/>
  <c r="C1784" i="1"/>
  <c r="E1783" i="1"/>
  <c r="D1783" i="1"/>
  <c r="C1783" i="1"/>
  <c r="E1782" i="1"/>
  <c r="D1782" i="1"/>
  <c r="C1782" i="1"/>
  <c r="E1781" i="1"/>
  <c r="D1781" i="1"/>
  <c r="C1781" i="1"/>
  <c r="E1780" i="1"/>
  <c r="D1780" i="1"/>
  <c r="C1780" i="1"/>
  <c r="E1779" i="1"/>
  <c r="D1779" i="1"/>
  <c r="C1779" i="1"/>
  <c r="E1778" i="1"/>
  <c r="D1778" i="1"/>
  <c r="C1778" i="1"/>
  <c r="E1777" i="1"/>
  <c r="D1777" i="1"/>
  <c r="C1777" i="1"/>
  <c r="E1776" i="1"/>
  <c r="D1776" i="1"/>
  <c r="C1776" i="1"/>
  <c r="E1775" i="1"/>
  <c r="D1775" i="1"/>
  <c r="C1775" i="1"/>
  <c r="E1774" i="1"/>
  <c r="D1774" i="1"/>
  <c r="C1774" i="1"/>
  <c r="E1773" i="1"/>
  <c r="D1773" i="1"/>
  <c r="C1773" i="1"/>
  <c r="E1772" i="1"/>
  <c r="D1772" i="1"/>
  <c r="C1772" i="1"/>
  <c r="E1771" i="1"/>
  <c r="D1771" i="1"/>
  <c r="C1771" i="1"/>
  <c r="E1770" i="1"/>
  <c r="D1770" i="1"/>
  <c r="C1770" i="1"/>
  <c r="E1769" i="1"/>
  <c r="D1769" i="1"/>
  <c r="C1769" i="1"/>
  <c r="E1768" i="1"/>
  <c r="D1768" i="1"/>
  <c r="C1768" i="1"/>
  <c r="E1767" i="1"/>
  <c r="D1767" i="1"/>
  <c r="C1767" i="1"/>
  <c r="E1766" i="1"/>
  <c r="D1766" i="1"/>
  <c r="C1766" i="1"/>
  <c r="E1765" i="1"/>
  <c r="D1765" i="1"/>
  <c r="C1765" i="1"/>
  <c r="E1764" i="1"/>
  <c r="D1764" i="1"/>
  <c r="C1764" i="1"/>
  <c r="E1763" i="1"/>
  <c r="D1763" i="1"/>
  <c r="C1763" i="1"/>
  <c r="E1762" i="1"/>
  <c r="D1762" i="1"/>
  <c r="C1762" i="1"/>
  <c r="E1761" i="1"/>
  <c r="D1761" i="1"/>
  <c r="C1761" i="1"/>
  <c r="E1760" i="1"/>
  <c r="D1760" i="1"/>
  <c r="C1760" i="1"/>
  <c r="E1759" i="1"/>
  <c r="D1759" i="1"/>
  <c r="C1759" i="1"/>
  <c r="E1758" i="1"/>
  <c r="D1758" i="1"/>
  <c r="C1758" i="1"/>
  <c r="E1757" i="1"/>
  <c r="D1757" i="1"/>
  <c r="C1757" i="1"/>
  <c r="E1756" i="1"/>
  <c r="D1756" i="1"/>
  <c r="C1756" i="1"/>
  <c r="E1755" i="1"/>
  <c r="D1755" i="1"/>
  <c r="C1755" i="1"/>
  <c r="E1754" i="1"/>
  <c r="D1754" i="1"/>
  <c r="C1754" i="1"/>
  <c r="E1753" i="1"/>
  <c r="D1753" i="1"/>
  <c r="C1753" i="1"/>
  <c r="E1752" i="1"/>
  <c r="D1752" i="1"/>
  <c r="C1752" i="1"/>
  <c r="E1751" i="1"/>
  <c r="D1751" i="1"/>
  <c r="C1751" i="1"/>
  <c r="E1750" i="1"/>
  <c r="D1750" i="1"/>
  <c r="C1750" i="1"/>
  <c r="E1749" i="1"/>
  <c r="D1749" i="1"/>
  <c r="C1749" i="1"/>
  <c r="E1748" i="1"/>
  <c r="D1748" i="1"/>
  <c r="C1748" i="1"/>
  <c r="E1747" i="1"/>
  <c r="D1747" i="1"/>
  <c r="C1747" i="1"/>
  <c r="E1746" i="1"/>
  <c r="D1746" i="1"/>
  <c r="C1746" i="1"/>
  <c r="E1745" i="1"/>
  <c r="D1745" i="1"/>
  <c r="C1745" i="1"/>
  <c r="E1744" i="1"/>
  <c r="D1744" i="1"/>
  <c r="C1744" i="1"/>
  <c r="E1743" i="1"/>
  <c r="D1743" i="1"/>
  <c r="C1743" i="1"/>
  <c r="E1742" i="1"/>
  <c r="D1742" i="1"/>
  <c r="C1742" i="1"/>
  <c r="E1741" i="1"/>
  <c r="D1741" i="1"/>
  <c r="C1741" i="1"/>
  <c r="E1740" i="1"/>
  <c r="D1740" i="1"/>
  <c r="C1740" i="1"/>
  <c r="E1739" i="1"/>
  <c r="D1739" i="1"/>
  <c r="C1739" i="1"/>
  <c r="E1738" i="1"/>
  <c r="D1738" i="1"/>
  <c r="C1738" i="1"/>
  <c r="E1737" i="1"/>
  <c r="D1737" i="1"/>
  <c r="C1737" i="1"/>
  <c r="E1736" i="1"/>
  <c r="D1736" i="1"/>
  <c r="C1736" i="1"/>
  <c r="E1735" i="1"/>
  <c r="D1735" i="1"/>
  <c r="C1735" i="1"/>
  <c r="E1734" i="1"/>
  <c r="D1734" i="1"/>
  <c r="C1734" i="1"/>
  <c r="E1733" i="1"/>
  <c r="D1733" i="1"/>
  <c r="C1733" i="1"/>
  <c r="E1732" i="1"/>
  <c r="D1732" i="1"/>
  <c r="C1732" i="1"/>
  <c r="E1731" i="1"/>
  <c r="D1731" i="1"/>
  <c r="C1731" i="1"/>
  <c r="E1730" i="1"/>
  <c r="D1730" i="1"/>
  <c r="C1730" i="1"/>
  <c r="E1729" i="1"/>
  <c r="D1729" i="1"/>
  <c r="C1729" i="1"/>
  <c r="E1728" i="1"/>
  <c r="D1728" i="1"/>
  <c r="C1728" i="1"/>
  <c r="E1727" i="1"/>
  <c r="D1727" i="1"/>
  <c r="C1727" i="1"/>
  <c r="E1726" i="1"/>
  <c r="D1726" i="1"/>
  <c r="C1726" i="1"/>
  <c r="E1725" i="1"/>
  <c r="D1725" i="1"/>
  <c r="C1725" i="1"/>
  <c r="E1724" i="1"/>
  <c r="D1724" i="1"/>
  <c r="C1724" i="1"/>
  <c r="E1723" i="1"/>
  <c r="D1723" i="1"/>
  <c r="C1723" i="1"/>
  <c r="E1722" i="1"/>
  <c r="D1722" i="1"/>
  <c r="C1722" i="1"/>
  <c r="E1721" i="1"/>
  <c r="D1721" i="1"/>
  <c r="C1721" i="1"/>
  <c r="E1720" i="1"/>
  <c r="D1720" i="1"/>
  <c r="C1720" i="1"/>
  <c r="E1719" i="1"/>
  <c r="D1719" i="1"/>
  <c r="C1719" i="1"/>
  <c r="E1718" i="1"/>
  <c r="D1718" i="1"/>
  <c r="C1718" i="1"/>
  <c r="E1717" i="1"/>
  <c r="D1717" i="1"/>
  <c r="C1717" i="1"/>
  <c r="E1716" i="1"/>
  <c r="D1716" i="1"/>
  <c r="C1716" i="1"/>
  <c r="E1715" i="1"/>
  <c r="D1715" i="1"/>
  <c r="C1715" i="1"/>
  <c r="E1714" i="1"/>
  <c r="D1714" i="1"/>
  <c r="C1714" i="1"/>
  <c r="E1713" i="1"/>
  <c r="D1713" i="1"/>
  <c r="C1713" i="1"/>
  <c r="E1712" i="1"/>
  <c r="D1712" i="1"/>
  <c r="C1712" i="1"/>
  <c r="E1711" i="1"/>
  <c r="D1711" i="1"/>
  <c r="C1711" i="1"/>
  <c r="E1710" i="1"/>
  <c r="D1710" i="1"/>
  <c r="C1710" i="1"/>
  <c r="E1709" i="1"/>
  <c r="D1709" i="1"/>
  <c r="C1709" i="1"/>
  <c r="E1708" i="1"/>
  <c r="D1708" i="1"/>
  <c r="C1708" i="1"/>
  <c r="E1707" i="1"/>
  <c r="D1707" i="1"/>
  <c r="C1707" i="1"/>
  <c r="E1706" i="1"/>
  <c r="D1706" i="1"/>
  <c r="C1706" i="1"/>
  <c r="E1705" i="1"/>
  <c r="D1705" i="1"/>
  <c r="C1705" i="1"/>
  <c r="E1704" i="1"/>
  <c r="D1704" i="1"/>
  <c r="C1704" i="1"/>
  <c r="E1703" i="1"/>
  <c r="D1703" i="1"/>
  <c r="C1703" i="1"/>
  <c r="E1702" i="1"/>
  <c r="D1702" i="1"/>
  <c r="C1702" i="1"/>
  <c r="E1701" i="1"/>
  <c r="D1701" i="1"/>
  <c r="C1701" i="1"/>
  <c r="E1700" i="1"/>
  <c r="D1700" i="1"/>
  <c r="C1700" i="1"/>
  <c r="E1699" i="1"/>
  <c r="D1699" i="1"/>
  <c r="C1699" i="1"/>
  <c r="E1698" i="1"/>
  <c r="D1698" i="1"/>
  <c r="C1698" i="1"/>
  <c r="E1697" i="1"/>
  <c r="D1697" i="1"/>
  <c r="C1697" i="1"/>
  <c r="E1696" i="1"/>
  <c r="D1696" i="1"/>
  <c r="C1696" i="1"/>
  <c r="E1695" i="1"/>
  <c r="D1695" i="1"/>
  <c r="C1695" i="1"/>
  <c r="E1694" i="1"/>
  <c r="D1694" i="1"/>
  <c r="C1694" i="1"/>
  <c r="E1693" i="1"/>
  <c r="D1693" i="1"/>
  <c r="C1693" i="1"/>
  <c r="E1692" i="1"/>
  <c r="D1692" i="1"/>
  <c r="C1692" i="1"/>
  <c r="E1691" i="1"/>
  <c r="D1691" i="1"/>
  <c r="C1691" i="1"/>
  <c r="E1690" i="1"/>
  <c r="D1690" i="1"/>
  <c r="C1690" i="1"/>
  <c r="E1689" i="1"/>
  <c r="D1689" i="1"/>
  <c r="C1689" i="1"/>
  <c r="E1688" i="1"/>
  <c r="D1688" i="1"/>
  <c r="C1688" i="1"/>
  <c r="E1687" i="1"/>
  <c r="D1687" i="1"/>
  <c r="C1687" i="1"/>
  <c r="E1686" i="1"/>
  <c r="D1686" i="1"/>
  <c r="C1686" i="1"/>
  <c r="E1685" i="1"/>
  <c r="D1685" i="1"/>
  <c r="C1685" i="1"/>
  <c r="E1684" i="1"/>
  <c r="D1684" i="1"/>
  <c r="C1684" i="1"/>
  <c r="E1683" i="1"/>
  <c r="D1683" i="1"/>
  <c r="C1683" i="1"/>
  <c r="E1682" i="1"/>
  <c r="D1682" i="1"/>
  <c r="C1682" i="1"/>
  <c r="E1681" i="1"/>
  <c r="D1681" i="1"/>
  <c r="C1681" i="1"/>
  <c r="E1680" i="1"/>
  <c r="D1680" i="1"/>
  <c r="C1680" i="1"/>
  <c r="E1679" i="1"/>
  <c r="D1679" i="1"/>
  <c r="C1679" i="1"/>
  <c r="E1678" i="1"/>
  <c r="D1678" i="1"/>
  <c r="C1678" i="1"/>
  <c r="E1677" i="1"/>
  <c r="D1677" i="1"/>
  <c r="C1677" i="1"/>
  <c r="E1676" i="1"/>
  <c r="D1676" i="1"/>
  <c r="C1676" i="1"/>
  <c r="E1675" i="1"/>
  <c r="D1675" i="1"/>
  <c r="C1675" i="1"/>
  <c r="E1674" i="1"/>
  <c r="D1674" i="1"/>
  <c r="C1674" i="1"/>
  <c r="E1673" i="1"/>
  <c r="D1673" i="1"/>
  <c r="C1673" i="1"/>
  <c r="E1672" i="1"/>
  <c r="D1672" i="1"/>
  <c r="C1672" i="1"/>
  <c r="E1671" i="1"/>
  <c r="D1671" i="1"/>
  <c r="C1671" i="1"/>
  <c r="E1670" i="1"/>
  <c r="D1670" i="1"/>
  <c r="C1670" i="1"/>
  <c r="E1669" i="1"/>
  <c r="D1669" i="1"/>
  <c r="C1669" i="1"/>
  <c r="E1668" i="1"/>
  <c r="D1668" i="1"/>
  <c r="C1668" i="1"/>
  <c r="E1667" i="1"/>
  <c r="D1667" i="1"/>
  <c r="C1667" i="1"/>
  <c r="E1666" i="1"/>
  <c r="D1666" i="1"/>
  <c r="C1666" i="1"/>
  <c r="E1665" i="1"/>
  <c r="D1665" i="1"/>
  <c r="C1665" i="1"/>
  <c r="E1664" i="1"/>
  <c r="D1664" i="1"/>
  <c r="C1664" i="1"/>
  <c r="E1663" i="1"/>
  <c r="D1663" i="1"/>
  <c r="C1663" i="1"/>
  <c r="E1662" i="1"/>
  <c r="D1662" i="1"/>
  <c r="C1662" i="1"/>
  <c r="E1661" i="1"/>
  <c r="D1661" i="1"/>
  <c r="C1661" i="1"/>
  <c r="E1660" i="1"/>
  <c r="D1660" i="1"/>
  <c r="C1660" i="1"/>
  <c r="E1659" i="1"/>
  <c r="D1659" i="1"/>
  <c r="C1659" i="1"/>
  <c r="E1658" i="1"/>
  <c r="D1658" i="1"/>
  <c r="C1658" i="1"/>
  <c r="E1657" i="1"/>
  <c r="D1657" i="1"/>
  <c r="C1657" i="1"/>
  <c r="E1656" i="1"/>
  <c r="D1656" i="1"/>
  <c r="C1656" i="1"/>
  <c r="E1655" i="1"/>
  <c r="D1655" i="1"/>
  <c r="C1655" i="1"/>
  <c r="E1654" i="1"/>
  <c r="D1654" i="1"/>
  <c r="C1654" i="1"/>
  <c r="E1653" i="1"/>
  <c r="D1653" i="1"/>
  <c r="C1653" i="1"/>
  <c r="E1652" i="1"/>
  <c r="D1652" i="1"/>
  <c r="C1652" i="1"/>
  <c r="E1651" i="1"/>
  <c r="D1651" i="1"/>
  <c r="C1651" i="1"/>
  <c r="E1650" i="1"/>
  <c r="D1650" i="1"/>
  <c r="C1650" i="1"/>
  <c r="E1649" i="1"/>
  <c r="D1649" i="1"/>
  <c r="C1649" i="1"/>
  <c r="E1648" i="1"/>
  <c r="D1648" i="1"/>
  <c r="C1648" i="1"/>
  <c r="E1647" i="1"/>
  <c r="D1647" i="1"/>
  <c r="C1647" i="1"/>
  <c r="E1646" i="1"/>
  <c r="D1646" i="1"/>
  <c r="C1646" i="1"/>
  <c r="E1645" i="1"/>
  <c r="D1645" i="1"/>
  <c r="C1645" i="1"/>
  <c r="E1644" i="1"/>
  <c r="D1644" i="1"/>
  <c r="C1644" i="1"/>
  <c r="E1643" i="1"/>
  <c r="D1643" i="1"/>
  <c r="C1643" i="1"/>
  <c r="E1642" i="1"/>
  <c r="D1642" i="1"/>
  <c r="C1642" i="1"/>
  <c r="E1641" i="1"/>
  <c r="D1641" i="1"/>
  <c r="C1641" i="1"/>
  <c r="E1640" i="1"/>
  <c r="D1640" i="1"/>
  <c r="C1640" i="1"/>
  <c r="E1639" i="1"/>
  <c r="D1639" i="1"/>
  <c r="C1639" i="1"/>
  <c r="E1638" i="1"/>
  <c r="D1638" i="1"/>
  <c r="C1638" i="1"/>
  <c r="E1637" i="1"/>
  <c r="D1637" i="1"/>
  <c r="C1637" i="1"/>
  <c r="E1636" i="1"/>
  <c r="D1636" i="1"/>
  <c r="C1636" i="1"/>
  <c r="E1635" i="1"/>
  <c r="D1635" i="1"/>
  <c r="C1635" i="1"/>
  <c r="E1634" i="1"/>
  <c r="D1634" i="1"/>
  <c r="C1634" i="1"/>
  <c r="E1633" i="1"/>
  <c r="D1633" i="1"/>
  <c r="C1633" i="1"/>
  <c r="E1632" i="1"/>
  <c r="D1632" i="1"/>
  <c r="C1632" i="1"/>
  <c r="E1631" i="1"/>
  <c r="D1631" i="1"/>
  <c r="C1631" i="1"/>
  <c r="E1630" i="1"/>
  <c r="D1630" i="1"/>
  <c r="C1630" i="1"/>
  <c r="E1629" i="1"/>
  <c r="D1629" i="1"/>
  <c r="C1629" i="1"/>
  <c r="E1628" i="1"/>
  <c r="D1628" i="1"/>
  <c r="C1628" i="1"/>
  <c r="E1627" i="1"/>
  <c r="D1627" i="1"/>
  <c r="C1627" i="1"/>
  <c r="E1626" i="1"/>
  <c r="D1626" i="1"/>
  <c r="C1626" i="1"/>
  <c r="E1625" i="1"/>
  <c r="D1625" i="1"/>
  <c r="C1625" i="1"/>
  <c r="E1624" i="1"/>
  <c r="D1624" i="1"/>
  <c r="C1624" i="1"/>
  <c r="E1623" i="1"/>
  <c r="D1623" i="1"/>
  <c r="C1623" i="1"/>
  <c r="E1622" i="1"/>
  <c r="D1622" i="1"/>
  <c r="C1622" i="1"/>
  <c r="E1621" i="1"/>
  <c r="D1621" i="1"/>
  <c r="C1621" i="1"/>
  <c r="E1620" i="1"/>
  <c r="D1620" i="1"/>
  <c r="C1620" i="1"/>
  <c r="E1619" i="1"/>
  <c r="D1619" i="1"/>
  <c r="C1619" i="1"/>
  <c r="E1618" i="1"/>
  <c r="D1618" i="1"/>
  <c r="C1618" i="1"/>
  <c r="E1617" i="1"/>
  <c r="D1617" i="1"/>
  <c r="C1617" i="1"/>
  <c r="E1616" i="1"/>
  <c r="D1616" i="1"/>
  <c r="C1616" i="1"/>
  <c r="E1615" i="1"/>
  <c r="D1615" i="1"/>
  <c r="C1615" i="1"/>
  <c r="E1614" i="1"/>
  <c r="D1614" i="1"/>
  <c r="C1614" i="1"/>
  <c r="E1613" i="1"/>
  <c r="D1613" i="1"/>
  <c r="C1613" i="1"/>
  <c r="E1612" i="1"/>
  <c r="D1612" i="1"/>
  <c r="C1612" i="1"/>
  <c r="E1611" i="1"/>
  <c r="D1611" i="1"/>
  <c r="C1611" i="1"/>
  <c r="E1610" i="1"/>
  <c r="D1610" i="1"/>
  <c r="C1610" i="1"/>
  <c r="E1609" i="1"/>
  <c r="D1609" i="1"/>
  <c r="C1609" i="1"/>
  <c r="E1608" i="1"/>
  <c r="D1608" i="1"/>
  <c r="C1608" i="1"/>
  <c r="E1607" i="1"/>
  <c r="D1607" i="1"/>
  <c r="C1607" i="1"/>
  <c r="E1606" i="1"/>
  <c r="D1606" i="1"/>
  <c r="C1606" i="1"/>
  <c r="E1605" i="1"/>
  <c r="D1605" i="1"/>
  <c r="C1605" i="1"/>
  <c r="E1604" i="1"/>
  <c r="D1604" i="1"/>
  <c r="C1604" i="1"/>
  <c r="E1603" i="1"/>
  <c r="D1603" i="1"/>
  <c r="C1603" i="1"/>
  <c r="E1602" i="1"/>
  <c r="D1602" i="1"/>
  <c r="C1602" i="1"/>
  <c r="E1601" i="1"/>
  <c r="D1601" i="1"/>
  <c r="C1601" i="1"/>
  <c r="E1600" i="1"/>
  <c r="D1600" i="1"/>
  <c r="C1600" i="1"/>
  <c r="E1599" i="1"/>
  <c r="D1599" i="1"/>
  <c r="C1599" i="1"/>
  <c r="E1598" i="1"/>
  <c r="D1598" i="1"/>
  <c r="C1598" i="1"/>
  <c r="E1597" i="1"/>
  <c r="D1597" i="1"/>
  <c r="C1597" i="1"/>
  <c r="E1596" i="1"/>
  <c r="D1596" i="1"/>
  <c r="C1596" i="1"/>
  <c r="E1595" i="1"/>
  <c r="D1595" i="1"/>
  <c r="C1595" i="1"/>
  <c r="E1594" i="1"/>
  <c r="D1594" i="1"/>
  <c r="C1594" i="1"/>
  <c r="E1593" i="1"/>
  <c r="D1593" i="1"/>
  <c r="C1593" i="1"/>
  <c r="E1592" i="1"/>
  <c r="D1592" i="1"/>
  <c r="C1592" i="1"/>
  <c r="E1591" i="1"/>
  <c r="D1591" i="1"/>
  <c r="C1591" i="1"/>
  <c r="E1590" i="1"/>
  <c r="D1590" i="1"/>
  <c r="C1590" i="1"/>
  <c r="E1589" i="1"/>
  <c r="D1589" i="1"/>
  <c r="C1589" i="1"/>
  <c r="E1588" i="1"/>
  <c r="D1588" i="1"/>
  <c r="C1588" i="1"/>
  <c r="E1587" i="1"/>
  <c r="D1587" i="1"/>
  <c r="C1587" i="1"/>
  <c r="E1586" i="1"/>
  <c r="D1586" i="1"/>
  <c r="C1586" i="1"/>
  <c r="E1585" i="1"/>
  <c r="D1585" i="1"/>
  <c r="C1585" i="1"/>
  <c r="E1584" i="1"/>
  <c r="D1584" i="1"/>
  <c r="C1584" i="1"/>
  <c r="E1583" i="1"/>
  <c r="D1583" i="1"/>
  <c r="C1583" i="1"/>
  <c r="E1582" i="1"/>
  <c r="D1582" i="1"/>
  <c r="C1582" i="1"/>
  <c r="E1581" i="1"/>
  <c r="D1581" i="1"/>
  <c r="C1581" i="1"/>
  <c r="E1580" i="1"/>
  <c r="D1580" i="1"/>
  <c r="C1580" i="1"/>
  <c r="E1579" i="1"/>
  <c r="D1579" i="1"/>
  <c r="C1579" i="1"/>
  <c r="E1578" i="1"/>
  <c r="D1578" i="1"/>
  <c r="C1578" i="1"/>
  <c r="E1577" i="1"/>
  <c r="D1577" i="1"/>
  <c r="C1577" i="1"/>
  <c r="E1576" i="1"/>
  <c r="D1576" i="1"/>
  <c r="C1576" i="1"/>
  <c r="E1575" i="1"/>
  <c r="D1575" i="1"/>
  <c r="C1575" i="1"/>
  <c r="E1574" i="1"/>
  <c r="D1574" i="1"/>
  <c r="C1574" i="1"/>
  <c r="E1573" i="1"/>
  <c r="D1573" i="1"/>
  <c r="C1573" i="1"/>
  <c r="E1572" i="1"/>
  <c r="D1572" i="1"/>
  <c r="C1572" i="1"/>
  <c r="E1571" i="1"/>
  <c r="D1571" i="1"/>
  <c r="C1571" i="1"/>
  <c r="E1570" i="1"/>
  <c r="D1570" i="1"/>
  <c r="C1570" i="1"/>
  <c r="E1569" i="1"/>
  <c r="D1569" i="1"/>
  <c r="C1569" i="1"/>
  <c r="E1568" i="1"/>
  <c r="D1568" i="1"/>
  <c r="C1568" i="1"/>
  <c r="E1567" i="1"/>
  <c r="D1567" i="1"/>
  <c r="C1567" i="1"/>
  <c r="E1566" i="1"/>
  <c r="D1566" i="1"/>
  <c r="C1566" i="1"/>
  <c r="E1565" i="1"/>
  <c r="D1565" i="1"/>
  <c r="C1565" i="1"/>
  <c r="E1564" i="1"/>
  <c r="D1564" i="1"/>
  <c r="C1564" i="1"/>
  <c r="E1563" i="1"/>
  <c r="D1563" i="1"/>
  <c r="C1563" i="1"/>
  <c r="E1562" i="1"/>
  <c r="D1562" i="1"/>
  <c r="C1562" i="1"/>
  <c r="E1561" i="1"/>
  <c r="D1561" i="1"/>
  <c r="C1561" i="1"/>
  <c r="E1560" i="1"/>
  <c r="D1560" i="1"/>
  <c r="C1560" i="1"/>
  <c r="E1559" i="1"/>
  <c r="D1559" i="1"/>
  <c r="C1559" i="1"/>
  <c r="E1558" i="1"/>
  <c r="D1558" i="1"/>
  <c r="C1558" i="1"/>
  <c r="E1557" i="1"/>
  <c r="D1557" i="1"/>
  <c r="C1557" i="1"/>
  <c r="E1556" i="1"/>
  <c r="D1556" i="1"/>
  <c r="C1556" i="1"/>
  <c r="E1555" i="1"/>
  <c r="D1555" i="1"/>
  <c r="C1555" i="1"/>
  <c r="E1554" i="1"/>
  <c r="D1554" i="1"/>
  <c r="C1554" i="1"/>
  <c r="E1553" i="1"/>
  <c r="D1553" i="1"/>
  <c r="C1553" i="1"/>
  <c r="E1552" i="1"/>
  <c r="D1552" i="1"/>
  <c r="C1552" i="1"/>
  <c r="E1551" i="1"/>
  <c r="D1551" i="1"/>
  <c r="C1551" i="1"/>
  <c r="E1550" i="1"/>
  <c r="D1550" i="1"/>
  <c r="C1550" i="1"/>
  <c r="E1549" i="1"/>
  <c r="D1549" i="1"/>
  <c r="C1549" i="1"/>
  <c r="E1548" i="1"/>
  <c r="D1548" i="1"/>
  <c r="C1548" i="1"/>
  <c r="E1547" i="1"/>
  <c r="D1547" i="1"/>
  <c r="C1547" i="1"/>
  <c r="E1546" i="1"/>
  <c r="D1546" i="1"/>
  <c r="C1546" i="1"/>
  <c r="E1545" i="1"/>
  <c r="D1545" i="1"/>
  <c r="C1545" i="1"/>
  <c r="E1544" i="1"/>
  <c r="D1544" i="1"/>
  <c r="C1544" i="1"/>
  <c r="E1543" i="1"/>
  <c r="D1543" i="1"/>
  <c r="C1543" i="1"/>
  <c r="E1542" i="1"/>
  <c r="D1542" i="1"/>
  <c r="C1542" i="1"/>
  <c r="E1541" i="1"/>
  <c r="D1541" i="1"/>
  <c r="C1541" i="1"/>
  <c r="E1540" i="1"/>
  <c r="D1540" i="1"/>
  <c r="C1540" i="1"/>
  <c r="E1539" i="1"/>
  <c r="D1539" i="1"/>
  <c r="C1539" i="1"/>
  <c r="E1538" i="1"/>
  <c r="D1538" i="1"/>
  <c r="C1538" i="1"/>
  <c r="E1537" i="1"/>
  <c r="D1537" i="1"/>
  <c r="C1537" i="1"/>
  <c r="E1536" i="1"/>
  <c r="D1536" i="1"/>
  <c r="C1536" i="1"/>
  <c r="E1535" i="1"/>
  <c r="D1535" i="1"/>
  <c r="C1535" i="1"/>
  <c r="E1534" i="1"/>
  <c r="D1534" i="1"/>
  <c r="C1534" i="1"/>
  <c r="E1533" i="1"/>
  <c r="D1533" i="1"/>
  <c r="C1533" i="1"/>
  <c r="E1532" i="1"/>
  <c r="D1532" i="1"/>
  <c r="C1532" i="1"/>
  <c r="E1531" i="1"/>
  <c r="D1531" i="1"/>
  <c r="C1531" i="1"/>
  <c r="E1530" i="1"/>
  <c r="D1530" i="1"/>
  <c r="C1530" i="1"/>
  <c r="E1529" i="1"/>
  <c r="D1529" i="1"/>
  <c r="C1529" i="1"/>
  <c r="E1528" i="1"/>
  <c r="D1528" i="1"/>
  <c r="C1528" i="1"/>
  <c r="E1527" i="1"/>
  <c r="D1527" i="1"/>
  <c r="C1527" i="1"/>
  <c r="E1526" i="1"/>
  <c r="D1526" i="1"/>
  <c r="C1526" i="1"/>
  <c r="E1525" i="1"/>
  <c r="D1525" i="1"/>
  <c r="C1525" i="1"/>
  <c r="E1524" i="1"/>
  <c r="D1524" i="1"/>
  <c r="C1524" i="1"/>
  <c r="E1523" i="1"/>
  <c r="D1523" i="1"/>
  <c r="C1523" i="1"/>
  <c r="E1522" i="1"/>
  <c r="D1522" i="1"/>
  <c r="C1522" i="1"/>
  <c r="E1521" i="1"/>
  <c r="D1521" i="1"/>
  <c r="C1521" i="1"/>
  <c r="E1520" i="1"/>
  <c r="D1520" i="1"/>
  <c r="C1520" i="1"/>
  <c r="E1519" i="1"/>
  <c r="D1519" i="1"/>
  <c r="C1519" i="1"/>
  <c r="E1518" i="1"/>
  <c r="D1518" i="1"/>
  <c r="C1518" i="1"/>
  <c r="E1517" i="1"/>
  <c r="D1517" i="1"/>
  <c r="C1517" i="1"/>
  <c r="E1516" i="1"/>
  <c r="D1516" i="1"/>
  <c r="C1516" i="1"/>
  <c r="E1515" i="1"/>
  <c r="D1515" i="1"/>
  <c r="C1515" i="1"/>
  <c r="E1514" i="1"/>
  <c r="D1514" i="1"/>
  <c r="C1514" i="1"/>
  <c r="E1513" i="1"/>
  <c r="D1513" i="1"/>
  <c r="C1513" i="1"/>
  <c r="E1512" i="1"/>
  <c r="D1512" i="1"/>
  <c r="C1512" i="1"/>
  <c r="E1511" i="1"/>
  <c r="D1511" i="1"/>
  <c r="C1511" i="1"/>
  <c r="E1510" i="1"/>
  <c r="D1510" i="1"/>
  <c r="C1510" i="1"/>
  <c r="E1509" i="1"/>
  <c r="D1509" i="1"/>
  <c r="C1509" i="1"/>
  <c r="E1508" i="1"/>
  <c r="D1508" i="1"/>
  <c r="C1508" i="1"/>
  <c r="E1507" i="1"/>
  <c r="D1507" i="1"/>
  <c r="C1507" i="1"/>
  <c r="E1506" i="1"/>
  <c r="D1506" i="1"/>
  <c r="C1506" i="1"/>
  <c r="E1505" i="1"/>
  <c r="D1505" i="1"/>
  <c r="C1505" i="1"/>
  <c r="E1504" i="1"/>
  <c r="D1504" i="1"/>
  <c r="C1504" i="1"/>
  <c r="E1503" i="1"/>
  <c r="D1503" i="1"/>
  <c r="C1503" i="1"/>
  <c r="E1502" i="1"/>
  <c r="D1502" i="1"/>
  <c r="C1502" i="1"/>
  <c r="E1501" i="1"/>
  <c r="D1501" i="1"/>
  <c r="C1501" i="1"/>
  <c r="E1500" i="1"/>
  <c r="D1500" i="1"/>
  <c r="C1500" i="1"/>
  <c r="E1499" i="1"/>
  <c r="D1499" i="1"/>
  <c r="C1499" i="1"/>
  <c r="E1498" i="1"/>
  <c r="D1498" i="1"/>
  <c r="C1498" i="1"/>
  <c r="E1497" i="1"/>
  <c r="D1497" i="1"/>
  <c r="C1497" i="1"/>
  <c r="E1496" i="1"/>
  <c r="D1496" i="1"/>
  <c r="C1496" i="1"/>
  <c r="E1495" i="1"/>
  <c r="D1495" i="1"/>
  <c r="C1495" i="1"/>
  <c r="E1494" i="1"/>
  <c r="D1494" i="1"/>
  <c r="C1494" i="1"/>
  <c r="E1493" i="1"/>
  <c r="D1493" i="1"/>
  <c r="C1493" i="1"/>
  <c r="E1492" i="1"/>
  <c r="D1492" i="1"/>
  <c r="C1492" i="1"/>
  <c r="E1491" i="1"/>
  <c r="D1491" i="1"/>
  <c r="C1491" i="1"/>
  <c r="E1490" i="1"/>
  <c r="D1490" i="1"/>
  <c r="C1490" i="1"/>
  <c r="E1489" i="1"/>
  <c r="D1489" i="1"/>
  <c r="C1489" i="1"/>
  <c r="E1488" i="1"/>
  <c r="D1488" i="1"/>
  <c r="C1488" i="1"/>
  <c r="E1487" i="1"/>
  <c r="D1487" i="1"/>
  <c r="C1487" i="1"/>
  <c r="E1486" i="1"/>
  <c r="D1486" i="1"/>
  <c r="C1486" i="1"/>
  <c r="E1485" i="1"/>
  <c r="D1485" i="1"/>
  <c r="C1485" i="1"/>
  <c r="E1484" i="1"/>
  <c r="D1484" i="1"/>
  <c r="C1484" i="1"/>
  <c r="E1483" i="1"/>
  <c r="D1483" i="1"/>
  <c r="C1483" i="1"/>
  <c r="E1482" i="1"/>
  <c r="D1482" i="1"/>
  <c r="C1482" i="1"/>
  <c r="E1481" i="1"/>
  <c r="D1481" i="1"/>
  <c r="C1481" i="1"/>
  <c r="E1480" i="1"/>
  <c r="D1480" i="1"/>
  <c r="C1480" i="1"/>
  <c r="E1479" i="1"/>
  <c r="D1479" i="1"/>
  <c r="C1479" i="1"/>
  <c r="E1478" i="1"/>
  <c r="D1478" i="1"/>
  <c r="C1478" i="1"/>
  <c r="E1477" i="1"/>
  <c r="D1477" i="1"/>
  <c r="C1477" i="1"/>
  <c r="E1476" i="1"/>
  <c r="D1476" i="1"/>
  <c r="C1476" i="1"/>
  <c r="E1475" i="1"/>
  <c r="D1475" i="1"/>
  <c r="C1475" i="1"/>
  <c r="E1474" i="1"/>
  <c r="D1474" i="1"/>
  <c r="C1474" i="1"/>
  <c r="E1473" i="1"/>
  <c r="D1473" i="1"/>
  <c r="C1473" i="1"/>
  <c r="E1472" i="1"/>
  <c r="D1472" i="1"/>
  <c r="C1472" i="1"/>
  <c r="E1471" i="1"/>
  <c r="D1471" i="1"/>
  <c r="C1471" i="1"/>
  <c r="E1470" i="1"/>
  <c r="D1470" i="1"/>
  <c r="C1470" i="1"/>
  <c r="E1469" i="1"/>
  <c r="D1469" i="1"/>
  <c r="C1469" i="1"/>
  <c r="E1468" i="1"/>
  <c r="D1468" i="1"/>
  <c r="C1468" i="1"/>
  <c r="E1467" i="1"/>
  <c r="D1467" i="1"/>
  <c r="C1467" i="1"/>
  <c r="E1466" i="1"/>
  <c r="D1466" i="1"/>
  <c r="C1466" i="1"/>
  <c r="E1465" i="1"/>
  <c r="D1465" i="1"/>
  <c r="C1465" i="1"/>
  <c r="E1464" i="1"/>
  <c r="D1464" i="1"/>
  <c r="C1464" i="1"/>
  <c r="E1463" i="1"/>
  <c r="D1463" i="1"/>
  <c r="C1463" i="1"/>
  <c r="E1462" i="1"/>
  <c r="D1462" i="1"/>
  <c r="C1462" i="1"/>
  <c r="E1461" i="1"/>
  <c r="D1461" i="1"/>
  <c r="C1461" i="1"/>
  <c r="E1460" i="1"/>
  <c r="D1460" i="1"/>
  <c r="C1460" i="1"/>
  <c r="E1459" i="1"/>
  <c r="D1459" i="1"/>
  <c r="C1459" i="1"/>
  <c r="E1458" i="1"/>
  <c r="D1458" i="1"/>
  <c r="C1458" i="1"/>
  <c r="E1457" i="1"/>
  <c r="D1457" i="1"/>
  <c r="C1457" i="1"/>
  <c r="E1456" i="1"/>
  <c r="D1456" i="1"/>
  <c r="C1456" i="1"/>
  <c r="E1455" i="1"/>
  <c r="D1455" i="1"/>
  <c r="C1455" i="1"/>
  <c r="E1454" i="1"/>
  <c r="D1454" i="1"/>
  <c r="C1454" i="1"/>
  <c r="E1453" i="1"/>
  <c r="D1453" i="1"/>
  <c r="C1453" i="1"/>
  <c r="E1452" i="1"/>
  <c r="D1452" i="1"/>
  <c r="C1452" i="1"/>
  <c r="E1451" i="1"/>
  <c r="D1451" i="1"/>
  <c r="C1451" i="1"/>
  <c r="E1450" i="1"/>
  <c r="D1450" i="1"/>
  <c r="C1450" i="1"/>
  <c r="E1449" i="1"/>
  <c r="D1449" i="1"/>
  <c r="C1449" i="1"/>
  <c r="E1448" i="1"/>
  <c r="D1448" i="1"/>
  <c r="C1448" i="1"/>
  <c r="E1447" i="1"/>
  <c r="D1447" i="1"/>
  <c r="C1447" i="1"/>
  <c r="E1446" i="1"/>
  <c r="D1446" i="1"/>
  <c r="C1446" i="1"/>
  <c r="E1445" i="1"/>
  <c r="D1445" i="1"/>
  <c r="C1445" i="1"/>
  <c r="E1444" i="1"/>
  <c r="D1444" i="1"/>
  <c r="C1444" i="1"/>
  <c r="E1443" i="1"/>
  <c r="D1443" i="1"/>
  <c r="C1443" i="1"/>
  <c r="E1442" i="1"/>
  <c r="D1442" i="1"/>
  <c r="C1442" i="1"/>
  <c r="E1441" i="1"/>
  <c r="D1441" i="1"/>
  <c r="C1441" i="1"/>
  <c r="E1440" i="1"/>
  <c r="D1440" i="1"/>
  <c r="C1440" i="1"/>
  <c r="E1439" i="1"/>
  <c r="D1439" i="1"/>
  <c r="C1439" i="1"/>
  <c r="E1438" i="1"/>
  <c r="D1438" i="1"/>
  <c r="C1438" i="1"/>
  <c r="E1437" i="1"/>
  <c r="D1437" i="1"/>
  <c r="C1437" i="1"/>
  <c r="E1436" i="1"/>
  <c r="D1436" i="1"/>
  <c r="C1436" i="1"/>
  <c r="E1435" i="1"/>
  <c r="D1435" i="1"/>
  <c r="C1435" i="1"/>
  <c r="E1434" i="1"/>
  <c r="D1434" i="1"/>
  <c r="C1434" i="1"/>
  <c r="E1433" i="1"/>
  <c r="D1433" i="1"/>
  <c r="C1433" i="1"/>
  <c r="E1432" i="1"/>
  <c r="D1432" i="1"/>
  <c r="C1432" i="1"/>
  <c r="E1431" i="1"/>
  <c r="D1431" i="1"/>
  <c r="C1431" i="1"/>
  <c r="E1430" i="1"/>
  <c r="D1430" i="1"/>
  <c r="C1430" i="1"/>
  <c r="E1429" i="1"/>
  <c r="D1429" i="1"/>
  <c r="C1429" i="1"/>
  <c r="E1428" i="1"/>
  <c r="D1428" i="1"/>
  <c r="C1428" i="1"/>
  <c r="E1427" i="1"/>
  <c r="D1427" i="1"/>
  <c r="C1427" i="1"/>
  <c r="E1426" i="1"/>
  <c r="D1426" i="1"/>
  <c r="C1426" i="1"/>
  <c r="E1425" i="1"/>
  <c r="D1425" i="1"/>
  <c r="C1425" i="1"/>
  <c r="E1424" i="1"/>
  <c r="D1424" i="1"/>
  <c r="C1424" i="1"/>
  <c r="E1423" i="1"/>
  <c r="D1423" i="1"/>
  <c r="C1423" i="1"/>
  <c r="E1422" i="1"/>
  <c r="D1422" i="1"/>
  <c r="C1422" i="1"/>
  <c r="E1421" i="1"/>
  <c r="D1421" i="1"/>
  <c r="C1421" i="1"/>
  <c r="E1420" i="1"/>
  <c r="D1420" i="1"/>
  <c r="C1420" i="1"/>
  <c r="E1419" i="1"/>
  <c r="D1419" i="1"/>
  <c r="C1419" i="1"/>
  <c r="E1418" i="1"/>
  <c r="D1418" i="1"/>
  <c r="C1418" i="1"/>
  <c r="E1417" i="1"/>
  <c r="D1417" i="1"/>
  <c r="C1417" i="1"/>
  <c r="E1416" i="1"/>
  <c r="D1416" i="1"/>
  <c r="C1416" i="1"/>
  <c r="E1415" i="1"/>
  <c r="D1415" i="1"/>
  <c r="C1415" i="1"/>
  <c r="E1414" i="1"/>
  <c r="D1414" i="1"/>
  <c r="C1414" i="1"/>
  <c r="E1413" i="1"/>
  <c r="D1413" i="1"/>
  <c r="C1413" i="1"/>
  <c r="E1412" i="1"/>
  <c r="D1412" i="1"/>
  <c r="C1412" i="1"/>
  <c r="E1411" i="1"/>
  <c r="D1411" i="1"/>
  <c r="C1411" i="1"/>
  <c r="E1410" i="1"/>
  <c r="D1410" i="1"/>
  <c r="C1410" i="1"/>
  <c r="E1409" i="1"/>
  <c r="D1409" i="1"/>
  <c r="C1409" i="1"/>
  <c r="E1408" i="1"/>
  <c r="D1408" i="1"/>
  <c r="C1408" i="1"/>
  <c r="E1407" i="1"/>
  <c r="D1407" i="1"/>
  <c r="C1407" i="1"/>
  <c r="E1406" i="1"/>
  <c r="D1406" i="1"/>
  <c r="C1406" i="1"/>
  <c r="E1405" i="1"/>
  <c r="D1405" i="1"/>
  <c r="C1405" i="1"/>
  <c r="E1404" i="1"/>
  <c r="D1404" i="1"/>
  <c r="C1404" i="1"/>
  <c r="E1403" i="1"/>
  <c r="D1403" i="1"/>
  <c r="C1403" i="1"/>
  <c r="E1402" i="1"/>
  <c r="D1402" i="1"/>
  <c r="C1402" i="1"/>
  <c r="E1401" i="1"/>
  <c r="D1401" i="1"/>
  <c r="C1401" i="1"/>
  <c r="E1400" i="1"/>
  <c r="D1400" i="1"/>
  <c r="C1400" i="1"/>
  <c r="E1399" i="1"/>
  <c r="D1399" i="1"/>
  <c r="C1399" i="1"/>
  <c r="E1398" i="1"/>
  <c r="D1398" i="1"/>
  <c r="C1398" i="1"/>
  <c r="E1397" i="1"/>
  <c r="D1397" i="1"/>
  <c r="C1397" i="1"/>
  <c r="E1396" i="1"/>
  <c r="D1396" i="1"/>
  <c r="C1396" i="1"/>
  <c r="E1395" i="1"/>
  <c r="D1395" i="1"/>
  <c r="C1395" i="1"/>
  <c r="E1394" i="1"/>
  <c r="D1394" i="1"/>
  <c r="C1394" i="1"/>
  <c r="E1393" i="1"/>
  <c r="D1393" i="1"/>
  <c r="C1393" i="1"/>
  <c r="E1392" i="1"/>
  <c r="D1392" i="1"/>
  <c r="C1392" i="1"/>
  <c r="E1391" i="1"/>
  <c r="D1391" i="1"/>
  <c r="C1391" i="1"/>
  <c r="E1390" i="1"/>
  <c r="D1390" i="1"/>
  <c r="C1390" i="1"/>
  <c r="E1389" i="1"/>
  <c r="D1389" i="1"/>
  <c r="C1389" i="1"/>
  <c r="E1388" i="1"/>
  <c r="D1388" i="1"/>
  <c r="C1388" i="1"/>
  <c r="E1387" i="1"/>
  <c r="D1387" i="1"/>
  <c r="C1387" i="1"/>
  <c r="E1386" i="1"/>
  <c r="D1386" i="1"/>
  <c r="C1386" i="1"/>
  <c r="E1385" i="1"/>
  <c r="D1385" i="1"/>
  <c r="C1385" i="1"/>
  <c r="E1384" i="1"/>
  <c r="D1384" i="1"/>
  <c r="C1384" i="1"/>
  <c r="E1383" i="1"/>
  <c r="D1383" i="1"/>
  <c r="C1383" i="1"/>
  <c r="E1382" i="1"/>
  <c r="D1382" i="1"/>
  <c r="C1382" i="1"/>
  <c r="E1381" i="1"/>
  <c r="D1381" i="1"/>
  <c r="C1381" i="1"/>
  <c r="E1380" i="1"/>
  <c r="D1380" i="1"/>
  <c r="C1380" i="1"/>
  <c r="E1379" i="1"/>
  <c r="D1379" i="1"/>
  <c r="C1379" i="1"/>
  <c r="E1378" i="1"/>
  <c r="D1378" i="1"/>
  <c r="C1378" i="1"/>
  <c r="E1377" i="1"/>
  <c r="D1377" i="1"/>
  <c r="C1377" i="1"/>
  <c r="E1376" i="1"/>
  <c r="D1376" i="1"/>
  <c r="C1376" i="1"/>
  <c r="E1375" i="1"/>
  <c r="D1375" i="1"/>
  <c r="C1375" i="1"/>
  <c r="E1374" i="1"/>
  <c r="D1374" i="1"/>
  <c r="C1374" i="1"/>
  <c r="E1373" i="1"/>
  <c r="D1373" i="1"/>
  <c r="C1373" i="1"/>
  <c r="E1372" i="1"/>
  <c r="D1372" i="1"/>
  <c r="C1372" i="1"/>
  <c r="E1371" i="1"/>
  <c r="D1371" i="1"/>
  <c r="C1371" i="1"/>
  <c r="E1370" i="1"/>
  <c r="D1370" i="1"/>
  <c r="C1370" i="1"/>
  <c r="E1369" i="1"/>
  <c r="D1369" i="1"/>
  <c r="C1369" i="1"/>
  <c r="E1368" i="1"/>
  <c r="D1368" i="1"/>
  <c r="C1368" i="1"/>
  <c r="E1367" i="1"/>
  <c r="D1367" i="1"/>
  <c r="C1367" i="1"/>
  <c r="E1366" i="1"/>
  <c r="D1366" i="1"/>
  <c r="C1366" i="1"/>
  <c r="E1365" i="1"/>
  <c r="D1365" i="1"/>
  <c r="C1365" i="1"/>
  <c r="E1364" i="1"/>
  <c r="D1364" i="1"/>
  <c r="C1364" i="1"/>
  <c r="E1363" i="1"/>
  <c r="D1363" i="1"/>
  <c r="C1363" i="1"/>
  <c r="E1362" i="1"/>
  <c r="D1362" i="1"/>
  <c r="C1362" i="1"/>
  <c r="E1361" i="1"/>
  <c r="D1361" i="1"/>
  <c r="C1361" i="1"/>
  <c r="E1360" i="1"/>
  <c r="D1360" i="1"/>
  <c r="C1360" i="1"/>
  <c r="E1359" i="1"/>
  <c r="D1359" i="1"/>
  <c r="C1359" i="1"/>
  <c r="E1358" i="1"/>
  <c r="D1358" i="1"/>
  <c r="C1358" i="1"/>
  <c r="E1357" i="1"/>
  <c r="D1357" i="1"/>
  <c r="C1357" i="1"/>
  <c r="E1356" i="1"/>
  <c r="D1356" i="1"/>
  <c r="C1356" i="1"/>
  <c r="E1355" i="1"/>
  <c r="D1355" i="1"/>
  <c r="C1355" i="1"/>
  <c r="E1354" i="1"/>
  <c r="D1354" i="1"/>
  <c r="C1354" i="1"/>
  <c r="E1353" i="1"/>
  <c r="D1353" i="1"/>
  <c r="C1353" i="1"/>
  <c r="E1352" i="1"/>
  <c r="D1352" i="1"/>
  <c r="C1352" i="1"/>
  <c r="E1351" i="1"/>
  <c r="D1351" i="1"/>
  <c r="C1351" i="1"/>
  <c r="E1350" i="1"/>
  <c r="D1350" i="1"/>
  <c r="C1350" i="1"/>
  <c r="E1349" i="1"/>
  <c r="D1349" i="1"/>
  <c r="C1349" i="1"/>
  <c r="E1348" i="1"/>
  <c r="D1348" i="1"/>
  <c r="C1348" i="1"/>
  <c r="E1347" i="1"/>
  <c r="D1347" i="1"/>
  <c r="C1347" i="1"/>
  <c r="E1346" i="1"/>
  <c r="D1346" i="1"/>
  <c r="C1346" i="1"/>
  <c r="E1345" i="1"/>
  <c r="D1345" i="1"/>
  <c r="C1345" i="1"/>
  <c r="E1344" i="1"/>
  <c r="D1344" i="1"/>
  <c r="C1344" i="1"/>
  <c r="E1343" i="1"/>
  <c r="D1343" i="1"/>
  <c r="C1343" i="1"/>
  <c r="E1342" i="1"/>
  <c r="D1342" i="1"/>
  <c r="C1342" i="1"/>
  <c r="E1341" i="1"/>
  <c r="D1341" i="1"/>
  <c r="C1341" i="1"/>
  <c r="E1340" i="1"/>
  <c r="D1340" i="1"/>
  <c r="C1340" i="1"/>
  <c r="E1339" i="1"/>
  <c r="D1339" i="1"/>
  <c r="C1339" i="1"/>
  <c r="E1338" i="1"/>
  <c r="D1338" i="1"/>
  <c r="C1338" i="1"/>
  <c r="E1337" i="1"/>
  <c r="D1337" i="1"/>
  <c r="C1337" i="1"/>
  <c r="E1336" i="1"/>
  <c r="D1336" i="1"/>
  <c r="C1336" i="1"/>
  <c r="E1335" i="1"/>
  <c r="D1335" i="1"/>
  <c r="C1335" i="1"/>
  <c r="E1334" i="1"/>
  <c r="D1334" i="1"/>
  <c r="C1334" i="1"/>
  <c r="E1333" i="1"/>
  <c r="D1333" i="1"/>
  <c r="C1333" i="1"/>
  <c r="E1332" i="1"/>
  <c r="D1332" i="1"/>
  <c r="C1332" i="1"/>
  <c r="E1331" i="1"/>
  <c r="D1331" i="1"/>
  <c r="C1331" i="1"/>
  <c r="E1330" i="1"/>
  <c r="D1330" i="1"/>
  <c r="C1330" i="1"/>
  <c r="E1329" i="1"/>
  <c r="D1329" i="1"/>
  <c r="C1329" i="1"/>
  <c r="E1328" i="1"/>
  <c r="D1328" i="1"/>
  <c r="C1328" i="1"/>
  <c r="E1327" i="1"/>
  <c r="D1327" i="1"/>
  <c r="C1327" i="1"/>
  <c r="E1326" i="1"/>
  <c r="D1326" i="1"/>
  <c r="C1326" i="1"/>
  <c r="E1325" i="1"/>
  <c r="D1325" i="1"/>
  <c r="C1325" i="1"/>
  <c r="E1324" i="1"/>
  <c r="D1324" i="1"/>
  <c r="C1324" i="1"/>
  <c r="E1323" i="1"/>
  <c r="D1323" i="1"/>
  <c r="C1323" i="1"/>
  <c r="E1322" i="1"/>
  <c r="D1322" i="1"/>
  <c r="C1322" i="1"/>
  <c r="E1321" i="1"/>
  <c r="D1321" i="1"/>
  <c r="C1321" i="1"/>
  <c r="E1320" i="1"/>
  <c r="D1320" i="1"/>
  <c r="C1320" i="1"/>
  <c r="E1319" i="1"/>
  <c r="D1319" i="1"/>
  <c r="C1319" i="1"/>
  <c r="E1318" i="1"/>
  <c r="D1318" i="1"/>
  <c r="C1318" i="1"/>
  <c r="E1317" i="1"/>
  <c r="D1317" i="1"/>
  <c r="C1317" i="1"/>
  <c r="E1316" i="1"/>
  <c r="D1316" i="1"/>
  <c r="C1316" i="1"/>
  <c r="E1315" i="1"/>
  <c r="D1315" i="1"/>
  <c r="C1315" i="1"/>
  <c r="E1314" i="1"/>
  <c r="D1314" i="1"/>
  <c r="C1314" i="1"/>
  <c r="E1313" i="1"/>
  <c r="D1313" i="1"/>
  <c r="C1313" i="1"/>
  <c r="E1312" i="1"/>
  <c r="D1312" i="1"/>
  <c r="C1312" i="1"/>
  <c r="E1311" i="1"/>
  <c r="D1311" i="1"/>
  <c r="C1311" i="1"/>
  <c r="E1310" i="1"/>
  <c r="D1310" i="1"/>
  <c r="C1310" i="1"/>
  <c r="E1309" i="1"/>
  <c r="D1309" i="1"/>
  <c r="C1309" i="1"/>
  <c r="E1308" i="1"/>
  <c r="D1308" i="1"/>
  <c r="C1308" i="1"/>
  <c r="E1307" i="1"/>
  <c r="D1307" i="1"/>
  <c r="C1307" i="1"/>
  <c r="E1306" i="1"/>
  <c r="D1306" i="1"/>
  <c r="C1306" i="1"/>
  <c r="E1305" i="1"/>
  <c r="D1305" i="1"/>
  <c r="C1305" i="1"/>
  <c r="E1304" i="1"/>
  <c r="D1304" i="1"/>
  <c r="C1304" i="1"/>
  <c r="E1303" i="1"/>
  <c r="D1303" i="1"/>
  <c r="C1303" i="1"/>
  <c r="E1302" i="1"/>
  <c r="D1302" i="1"/>
  <c r="C1302" i="1"/>
  <c r="E1301" i="1"/>
  <c r="D1301" i="1"/>
  <c r="C1301" i="1"/>
  <c r="E1300" i="1"/>
  <c r="D1300" i="1"/>
  <c r="C1300" i="1"/>
  <c r="E1299" i="1"/>
  <c r="D1299" i="1"/>
  <c r="C1299" i="1"/>
  <c r="E1298" i="1"/>
  <c r="D1298" i="1"/>
  <c r="C1298" i="1"/>
  <c r="E1297" i="1"/>
  <c r="D1297" i="1"/>
  <c r="C1297" i="1"/>
  <c r="E1296" i="1"/>
  <c r="D1296" i="1"/>
  <c r="C1296" i="1"/>
  <c r="E1295" i="1"/>
  <c r="D1295" i="1"/>
  <c r="C1295" i="1"/>
  <c r="E1294" i="1"/>
  <c r="D1294" i="1"/>
  <c r="C1294" i="1"/>
  <c r="E1293" i="1"/>
  <c r="D1293" i="1"/>
  <c r="C1293" i="1"/>
  <c r="E1292" i="1"/>
  <c r="D1292" i="1"/>
  <c r="C1292" i="1"/>
  <c r="E1291" i="1"/>
  <c r="D1291" i="1"/>
  <c r="C1291" i="1"/>
  <c r="E1290" i="1"/>
  <c r="D1290" i="1"/>
  <c r="C1290" i="1"/>
  <c r="E1289" i="1"/>
  <c r="D1289" i="1"/>
  <c r="C1289" i="1"/>
  <c r="E1288" i="1"/>
  <c r="D1288" i="1"/>
  <c r="C1288" i="1"/>
  <c r="E1287" i="1"/>
  <c r="D1287" i="1"/>
  <c r="C1287" i="1"/>
  <c r="E1286" i="1"/>
  <c r="D1286" i="1"/>
  <c r="C1286" i="1"/>
  <c r="E1285" i="1"/>
  <c r="D1285" i="1"/>
  <c r="C1285" i="1"/>
  <c r="E1284" i="1"/>
  <c r="D1284" i="1"/>
  <c r="C1284" i="1"/>
  <c r="E1283" i="1"/>
  <c r="D1283" i="1"/>
  <c r="C1283" i="1"/>
  <c r="E1282" i="1"/>
  <c r="D1282" i="1"/>
  <c r="C1282" i="1"/>
  <c r="E1281" i="1"/>
  <c r="D1281" i="1"/>
  <c r="C1281" i="1"/>
  <c r="E1280" i="1"/>
  <c r="D1280" i="1"/>
  <c r="C1280" i="1"/>
  <c r="E1279" i="1"/>
  <c r="D1279" i="1"/>
  <c r="C1279" i="1"/>
  <c r="E1278" i="1"/>
  <c r="D1278" i="1"/>
  <c r="C1278" i="1"/>
  <c r="E1277" i="1"/>
  <c r="D1277" i="1"/>
  <c r="C1277" i="1"/>
  <c r="E1276" i="1"/>
  <c r="D1276" i="1"/>
  <c r="C1276" i="1"/>
  <c r="E1275" i="1"/>
  <c r="D1275" i="1"/>
  <c r="C1275" i="1"/>
  <c r="E1274" i="1"/>
  <c r="D1274" i="1"/>
  <c r="C1274" i="1"/>
  <c r="E1273" i="1"/>
  <c r="D1273" i="1"/>
  <c r="C1273" i="1"/>
  <c r="E1272" i="1"/>
  <c r="D1272" i="1"/>
  <c r="C1272" i="1"/>
  <c r="E1271" i="1"/>
  <c r="D1271" i="1"/>
  <c r="C1271" i="1"/>
  <c r="E1270" i="1"/>
  <c r="D1270" i="1"/>
  <c r="C1270" i="1"/>
  <c r="E1269" i="1"/>
  <c r="D1269" i="1"/>
  <c r="C1269" i="1"/>
  <c r="E1268" i="1"/>
  <c r="D1268" i="1"/>
  <c r="C1268" i="1"/>
  <c r="E1267" i="1"/>
  <c r="D1267" i="1"/>
  <c r="C1267" i="1"/>
  <c r="E1266" i="1"/>
  <c r="D1266" i="1"/>
  <c r="C1266" i="1"/>
  <c r="E1265" i="1"/>
  <c r="D1265" i="1"/>
  <c r="C1265" i="1"/>
  <c r="E1264" i="1"/>
  <c r="D1264" i="1"/>
  <c r="C1264" i="1"/>
  <c r="E1263" i="1"/>
  <c r="D1263" i="1"/>
  <c r="C1263" i="1"/>
  <c r="E1262" i="1"/>
  <c r="D1262" i="1"/>
  <c r="C1262" i="1"/>
  <c r="E1261" i="1"/>
  <c r="D1261" i="1"/>
  <c r="C1261" i="1"/>
  <c r="E1260" i="1"/>
  <c r="D1260" i="1"/>
  <c r="C1260" i="1"/>
  <c r="E1259" i="1"/>
  <c r="D1259" i="1"/>
  <c r="C1259" i="1"/>
  <c r="E1258" i="1"/>
  <c r="D1258" i="1"/>
  <c r="C1258" i="1"/>
  <c r="E1257" i="1"/>
  <c r="D1257" i="1"/>
  <c r="C1257" i="1"/>
  <c r="E1256" i="1"/>
  <c r="D1256" i="1"/>
  <c r="C1256" i="1"/>
  <c r="E1255" i="1"/>
  <c r="D1255" i="1"/>
  <c r="C1255" i="1"/>
  <c r="E1254" i="1"/>
  <c r="D1254" i="1"/>
  <c r="C1254" i="1"/>
  <c r="E1253" i="1"/>
  <c r="D1253" i="1"/>
  <c r="C1253" i="1"/>
  <c r="E1252" i="1"/>
  <c r="D1252" i="1"/>
  <c r="C1252" i="1"/>
  <c r="E1251" i="1"/>
  <c r="D1251" i="1"/>
  <c r="C1251" i="1"/>
  <c r="E1250" i="1"/>
  <c r="D1250" i="1"/>
  <c r="C1250" i="1"/>
  <c r="E1249" i="1"/>
  <c r="D1249" i="1"/>
  <c r="C1249" i="1"/>
  <c r="E1248" i="1"/>
  <c r="D1248" i="1"/>
  <c r="C1248" i="1"/>
  <c r="E1247" i="1"/>
  <c r="D1247" i="1"/>
  <c r="C1247" i="1"/>
  <c r="E1246" i="1"/>
  <c r="D1246" i="1"/>
  <c r="C1246" i="1"/>
  <c r="E1245" i="1"/>
  <c r="D1245" i="1"/>
  <c r="C1245" i="1"/>
  <c r="E1244" i="1"/>
  <c r="D1244" i="1"/>
  <c r="C1244" i="1"/>
  <c r="E1243" i="1"/>
  <c r="D1243" i="1"/>
  <c r="C1243" i="1"/>
  <c r="E1242" i="1"/>
  <c r="D1242" i="1"/>
  <c r="C1242" i="1"/>
  <c r="E1241" i="1"/>
  <c r="D1241" i="1"/>
  <c r="C1241" i="1"/>
  <c r="E1240" i="1"/>
  <c r="D1240" i="1"/>
  <c r="C1240" i="1"/>
  <c r="E1239" i="1"/>
  <c r="D1239" i="1"/>
  <c r="C1239" i="1"/>
  <c r="E1238" i="1"/>
  <c r="D1238" i="1"/>
  <c r="C1238" i="1"/>
  <c r="E1237" i="1"/>
  <c r="D1237" i="1"/>
  <c r="C1237" i="1"/>
  <c r="E1236" i="1"/>
  <c r="D1236" i="1"/>
  <c r="C1236" i="1"/>
  <c r="E1235" i="1"/>
  <c r="D1235" i="1"/>
  <c r="C1235" i="1"/>
  <c r="E1234" i="1"/>
  <c r="D1234" i="1"/>
  <c r="C1234" i="1"/>
  <c r="E1233" i="1"/>
  <c r="D1233" i="1"/>
  <c r="C1233" i="1"/>
  <c r="E1232" i="1"/>
  <c r="D1232" i="1"/>
  <c r="C1232" i="1"/>
  <c r="E1231" i="1"/>
  <c r="D1231" i="1"/>
  <c r="C1231" i="1"/>
  <c r="E1230" i="1"/>
  <c r="D1230" i="1"/>
  <c r="C1230" i="1"/>
  <c r="E1229" i="1"/>
  <c r="D1229" i="1"/>
  <c r="C1229" i="1"/>
  <c r="E1228" i="1"/>
  <c r="D1228" i="1"/>
  <c r="C1228" i="1"/>
  <c r="E1227" i="1"/>
  <c r="D1227" i="1"/>
  <c r="C1227" i="1"/>
  <c r="E1226" i="1"/>
  <c r="D1226" i="1"/>
  <c r="C1226" i="1"/>
  <c r="E1225" i="1"/>
  <c r="D1225" i="1"/>
  <c r="C1225" i="1"/>
  <c r="E1224" i="1"/>
  <c r="D1224" i="1"/>
  <c r="C1224" i="1"/>
  <c r="E1223" i="1"/>
  <c r="D1223" i="1"/>
  <c r="C1223" i="1"/>
  <c r="E1222" i="1"/>
  <c r="D1222" i="1"/>
  <c r="C1222" i="1"/>
  <c r="E1221" i="1"/>
  <c r="D1221" i="1"/>
  <c r="C1221" i="1"/>
  <c r="E1220" i="1"/>
  <c r="D1220" i="1"/>
  <c r="C1220" i="1"/>
  <c r="E1219" i="1"/>
  <c r="D1219" i="1"/>
  <c r="C1219" i="1"/>
  <c r="E1218" i="1"/>
  <c r="D1218" i="1"/>
  <c r="C1218" i="1"/>
  <c r="E1217" i="1"/>
  <c r="D1217" i="1"/>
  <c r="C1217" i="1"/>
  <c r="E1216" i="1"/>
  <c r="D1216" i="1"/>
  <c r="C1216" i="1"/>
  <c r="E1215" i="1"/>
  <c r="D1215" i="1"/>
  <c r="C1215" i="1"/>
  <c r="E1214" i="1"/>
  <c r="D1214" i="1"/>
  <c r="C1214" i="1"/>
  <c r="E1213" i="1"/>
  <c r="D1213" i="1"/>
  <c r="C1213" i="1"/>
  <c r="E1212" i="1"/>
  <c r="D1212" i="1"/>
  <c r="C1212" i="1"/>
  <c r="E1211" i="1"/>
  <c r="D1211" i="1"/>
  <c r="C1211" i="1"/>
  <c r="E1210" i="1"/>
  <c r="D1210" i="1"/>
  <c r="C1210" i="1"/>
  <c r="E1209" i="1"/>
  <c r="D1209" i="1"/>
  <c r="C1209" i="1"/>
  <c r="E1208" i="1"/>
  <c r="D1208" i="1"/>
  <c r="C1208" i="1"/>
  <c r="E1207" i="1"/>
  <c r="D1207" i="1"/>
  <c r="C1207" i="1"/>
  <c r="E1206" i="1"/>
  <c r="D1206" i="1"/>
  <c r="C1206" i="1"/>
  <c r="E1205" i="1"/>
  <c r="D1205" i="1"/>
  <c r="C1205" i="1"/>
  <c r="E1204" i="1"/>
  <c r="D1204" i="1"/>
  <c r="C1204" i="1"/>
  <c r="E1203" i="1"/>
  <c r="D1203" i="1"/>
  <c r="C1203" i="1"/>
  <c r="E1202" i="1"/>
  <c r="D1202" i="1"/>
  <c r="C1202" i="1"/>
  <c r="E1201" i="1"/>
  <c r="D1201" i="1"/>
  <c r="C1201" i="1"/>
  <c r="E1200" i="1"/>
  <c r="D1200" i="1"/>
  <c r="C1200" i="1"/>
  <c r="E1199" i="1"/>
  <c r="D1199" i="1"/>
  <c r="C1199" i="1"/>
  <c r="E1198" i="1"/>
  <c r="D1198" i="1"/>
  <c r="C1198" i="1"/>
  <c r="E1197" i="1"/>
  <c r="D1197" i="1"/>
  <c r="C1197" i="1"/>
  <c r="E1196" i="1"/>
  <c r="D1196" i="1"/>
  <c r="C1196" i="1"/>
  <c r="E1195" i="1"/>
  <c r="D1195" i="1"/>
  <c r="C1195" i="1"/>
  <c r="E1194" i="1"/>
  <c r="D1194" i="1"/>
  <c r="C1194" i="1"/>
  <c r="E1193" i="1"/>
  <c r="D1193" i="1"/>
  <c r="C1193" i="1"/>
  <c r="E1192" i="1"/>
  <c r="D1192" i="1"/>
  <c r="C1192" i="1"/>
  <c r="E1191" i="1"/>
  <c r="D1191" i="1"/>
  <c r="C1191" i="1"/>
  <c r="E1190" i="1"/>
  <c r="D1190" i="1"/>
  <c r="C1190" i="1"/>
  <c r="E1189" i="1"/>
  <c r="D1189" i="1"/>
  <c r="C1189" i="1"/>
  <c r="E1188" i="1"/>
  <c r="D1188" i="1"/>
  <c r="C1188" i="1"/>
  <c r="E1187" i="1"/>
  <c r="D1187" i="1"/>
  <c r="C1187" i="1"/>
  <c r="E1186" i="1"/>
  <c r="D1186" i="1"/>
  <c r="C1186" i="1"/>
  <c r="E1185" i="1"/>
  <c r="D1185" i="1"/>
  <c r="C1185" i="1"/>
  <c r="E1184" i="1"/>
  <c r="D1184" i="1"/>
  <c r="C1184" i="1"/>
  <c r="E1183" i="1"/>
  <c r="D1183" i="1"/>
  <c r="C1183" i="1"/>
  <c r="E1182" i="1"/>
  <c r="D1182" i="1"/>
  <c r="C1182" i="1"/>
  <c r="E1181" i="1"/>
  <c r="D1181" i="1"/>
  <c r="C1181" i="1"/>
  <c r="E1180" i="1"/>
  <c r="D1180" i="1"/>
  <c r="C1180" i="1"/>
  <c r="E1179" i="1"/>
  <c r="D1179" i="1"/>
  <c r="C1179" i="1"/>
  <c r="E1178" i="1"/>
  <c r="D1178" i="1"/>
  <c r="C1178" i="1"/>
  <c r="E1177" i="1"/>
  <c r="D1177" i="1"/>
  <c r="C1177" i="1"/>
  <c r="E1176" i="1"/>
  <c r="D1176" i="1"/>
  <c r="C1176" i="1"/>
  <c r="E1175" i="1"/>
  <c r="D1175" i="1"/>
  <c r="C1175" i="1"/>
  <c r="E1174" i="1"/>
  <c r="D1174" i="1"/>
  <c r="C1174" i="1"/>
  <c r="E1173" i="1"/>
  <c r="D1173" i="1"/>
  <c r="C1173" i="1"/>
  <c r="E1172" i="1"/>
  <c r="D1172" i="1"/>
  <c r="C1172" i="1"/>
  <c r="E1171" i="1"/>
  <c r="D1171" i="1"/>
  <c r="C1171" i="1"/>
  <c r="E1170" i="1"/>
  <c r="D1170" i="1"/>
  <c r="C1170" i="1"/>
  <c r="E1169" i="1"/>
  <c r="D1169" i="1"/>
  <c r="C1169" i="1"/>
  <c r="E1168" i="1"/>
  <c r="D1168" i="1"/>
  <c r="C1168" i="1"/>
  <c r="E1167" i="1"/>
  <c r="D1167" i="1"/>
  <c r="C1167" i="1"/>
  <c r="E1166" i="1"/>
  <c r="D1166" i="1"/>
  <c r="C1166" i="1"/>
  <c r="E1165" i="1"/>
  <c r="D1165" i="1"/>
  <c r="C1165" i="1"/>
  <c r="E1164" i="1"/>
  <c r="D1164" i="1"/>
  <c r="C1164" i="1"/>
  <c r="E1163" i="1"/>
  <c r="D1163" i="1"/>
  <c r="C1163" i="1"/>
  <c r="E1162" i="1"/>
  <c r="D1162" i="1"/>
  <c r="C1162" i="1"/>
  <c r="E1161" i="1"/>
  <c r="D1161" i="1"/>
  <c r="C1161" i="1"/>
  <c r="E1160" i="1"/>
  <c r="D1160" i="1"/>
  <c r="C1160" i="1"/>
  <c r="E1159" i="1"/>
  <c r="D1159" i="1"/>
  <c r="C1159" i="1"/>
  <c r="E1158" i="1"/>
  <c r="D1158" i="1"/>
  <c r="C1158" i="1"/>
  <c r="E1157" i="1"/>
  <c r="D1157" i="1"/>
  <c r="C1157" i="1"/>
  <c r="E1156" i="1"/>
  <c r="D1156" i="1"/>
  <c r="C1156" i="1"/>
  <c r="E1155" i="1"/>
  <c r="D1155" i="1"/>
  <c r="C1155" i="1"/>
  <c r="E1154" i="1"/>
  <c r="D1154" i="1"/>
  <c r="C1154" i="1"/>
  <c r="E1153" i="1"/>
  <c r="D1153" i="1"/>
  <c r="C1153" i="1"/>
  <c r="E1152" i="1"/>
  <c r="D1152" i="1"/>
  <c r="C1152" i="1"/>
  <c r="E1151" i="1"/>
  <c r="D1151" i="1"/>
  <c r="C1151" i="1"/>
  <c r="E1150" i="1"/>
  <c r="D1150" i="1"/>
  <c r="C1150" i="1"/>
  <c r="E1149" i="1"/>
  <c r="D1149" i="1"/>
  <c r="C1149" i="1"/>
  <c r="E1148" i="1"/>
  <c r="D1148" i="1"/>
  <c r="C1148" i="1"/>
  <c r="E1147" i="1"/>
  <c r="D1147" i="1"/>
  <c r="C1147" i="1"/>
  <c r="E1146" i="1"/>
  <c r="D1146" i="1"/>
  <c r="C1146" i="1"/>
  <c r="E1145" i="1"/>
  <c r="D1145" i="1"/>
  <c r="C1145" i="1"/>
  <c r="E1144" i="1"/>
  <c r="D1144" i="1"/>
  <c r="C1144" i="1"/>
  <c r="E1143" i="1"/>
  <c r="D1143" i="1"/>
  <c r="C1143" i="1"/>
  <c r="E1142" i="1"/>
  <c r="D1142" i="1"/>
  <c r="C1142" i="1"/>
  <c r="E1141" i="1"/>
  <c r="D1141" i="1"/>
  <c r="C1141" i="1"/>
  <c r="E1140" i="1"/>
  <c r="D1140" i="1"/>
  <c r="C1140" i="1"/>
  <c r="E1139" i="1"/>
  <c r="D1139" i="1"/>
  <c r="C1139" i="1"/>
  <c r="E1138" i="1"/>
  <c r="D1138" i="1"/>
  <c r="C1138" i="1"/>
  <c r="E1137" i="1"/>
  <c r="D1137" i="1"/>
  <c r="C1137" i="1"/>
  <c r="E1136" i="1"/>
  <c r="D1136" i="1"/>
  <c r="C1136" i="1"/>
  <c r="E1135" i="1"/>
  <c r="D1135" i="1"/>
  <c r="C1135" i="1"/>
  <c r="E1134" i="1"/>
  <c r="D1134" i="1"/>
  <c r="C1134" i="1"/>
  <c r="E1133" i="1"/>
  <c r="D1133" i="1"/>
  <c r="C1133" i="1"/>
  <c r="E1132" i="1"/>
  <c r="D1132" i="1"/>
  <c r="C1132" i="1"/>
  <c r="E1131" i="1"/>
  <c r="D1131" i="1"/>
  <c r="C1131" i="1"/>
  <c r="E1130" i="1"/>
  <c r="D1130" i="1"/>
  <c r="C1130" i="1"/>
  <c r="E1129" i="1"/>
  <c r="D1129" i="1"/>
  <c r="C1129" i="1"/>
  <c r="E1128" i="1"/>
  <c r="D1128" i="1"/>
  <c r="C1128" i="1"/>
  <c r="E1127" i="1"/>
  <c r="D1127" i="1"/>
  <c r="C1127" i="1"/>
  <c r="E1126" i="1"/>
  <c r="D1126" i="1"/>
  <c r="C1126" i="1"/>
  <c r="E1125" i="1"/>
  <c r="D1125" i="1"/>
  <c r="C1125" i="1"/>
  <c r="E1124" i="1"/>
  <c r="D1124" i="1"/>
  <c r="C1124" i="1"/>
  <c r="E1123" i="1"/>
  <c r="D1123" i="1"/>
  <c r="C1123" i="1"/>
  <c r="E1122" i="1"/>
  <c r="D1122" i="1"/>
  <c r="C1122" i="1"/>
  <c r="E1121" i="1"/>
  <c r="D1121" i="1"/>
  <c r="C1121" i="1"/>
  <c r="E1120" i="1"/>
  <c r="D1120" i="1"/>
  <c r="C1120" i="1"/>
  <c r="E1119" i="1"/>
  <c r="D1119" i="1"/>
  <c r="C1119" i="1"/>
  <c r="E1118" i="1"/>
  <c r="D1118" i="1"/>
  <c r="C1118" i="1"/>
  <c r="E1117" i="1"/>
  <c r="D1117" i="1"/>
  <c r="C1117" i="1"/>
  <c r="E1116" i="1"/>
  <c r="D1116" i="1"/>
  <c r="C1116" i="1"/>
  <c r="E1115" i="1"/>
  <c r="D1115" i="1"/>
  <c r="C1115" i="1"/>
  <c r="E1114" i="1"/>
  <c r="D1114" i="1"/>
  <c r="C1114" i="1"/>
  <c r="E1113" i="1"/>
  <c r="D1113" i="1"/>
  <c r="C1113" i="1"/>
  <c r="E1112" i="1"/>
  <c r="D1112" i="1"/>
  <c r="C1112" i="1"/>
  <c r="E1111" i="1"/>
  <c r="D1111" i="1"/>
  <c r="C1111" i="1"/>
  <c r="E1110" i="1"/>
  <c r="D1110" i="1"/>
  <c r="C1110" i="1"/>
  <c r="E1109" i="1"/>
  <c r="D1109" i="1"/>
  <c r="C1109" i="1"/>
  <c r="E1108" i="1"/>
  <c r="D1108" i="1"/>
  <c r="C1108" i="1"/>
  <c r="E1107" i="1"/>
  <c r="D1107" i="1"/>
  <c r="C1107" i="1"/>
  <c r="E1106" i="1"/>
  <c r="D1106" i="1"/>
  <c r="C1106" i="1"/>
  <c r="E1105" i="1"/>
  <c r="D1105" i="1"/>
  <c r="C1105" i="1"/>
  <c r="E1104" i="1"/>
  <c r="D1104" i="1"/>
  <c r="C1104" i="1"/>
  <c r="E1103" i="1"/>
  <c r="D1103" i="1"/>
  <c r="C1103" i="1"/>
  <c r="E1102" i="1"/>
  <c r="D1102" i="1"/>
  <c r="C1102" i="1"/>
  <c r="E1101" i="1"/>
  <c r="D1101" i="1"/>
  <c r="C1101" i="1"/>
  <c r="E1100" i="1"/>
  <c r="D1100" i="1"/>
  <c r="C1100" i="1"/>
  <c r="E1099" i="1"/>
  <c r="D1099" i="1"/>
  <c r="C1099" i="1"/>
  <c r="E1098" i="1"/>
  <c r="D1098" i="1"/>
  <c r="C1098" i="1"/>
  <c r="E1097" i="1"/>
  <c r="D1097" i="1"/>
  <c r="C1097" i="1"/>
  <c r="E1096" i="1"/>
  <c r="D1096" i="1"/>
  <c r="C1096" i="1"/>
  <c r="E1095" i="1"/>
  <c r="D1095" i="1"/>
  <c r="C1095" i="1"/>
  <c r="E1094" i="1"/>
  <c r="D1094" i="1"/>
  <c r="C1094" i="1"/>
  <c r="E1093" i="1"/>
  <c r="D1093" i="1"/>
  <c r="C1093" i="1"/>
  <c r="E1092" i="1"/>
  <c r="D1092" i="1"/>
  <c r="C1092" i="1"/>
  <c r="E1091" i="1"/>
  <c r="D1091" i="1"/>
  <c r="C1091" i="1"/>
  <c r="E1090" i="1"/>
  <c r="D1090" i="1"/>
  <c r="C1090" i="1"/>
  <c r="E1089" i="1"/>
  <c r="D1089" i="1"/>
  <c r="C1089" i="1"/>
  <c r="E1088" i="1"/>
  <c r="D1088" i="1"/>
  <c r="C1088" i="1"/>
  <c r="E1087" i="1"/>
  <c r="D1087" i="1"/>
  <c r="C1087" i="1"/>
  <c r="E1086" i="1"/>
  <c r="D1086" i="1"/>
  <c r="C1086" i="1"/>
  <c r="E1085" i="1"/>
  <c r="D1085" i="1"/>
  <c r="C1085" i="1"/>
  <c r="E1084" i="1"/>
  <c r="D1084" i="1"/>
  <c r="C1084" i="1"/>
  <c r="E1083" i="1"/>
  <c r="D1083" i="1"/>
  <c r="C1083" i="1"/>
  <c r="E1082" i="1"/>
  <c r="D1082" i="1"/>
  <c r="C1082" i="1"/>
  <c r="E1081" i="1"/>
  <c r="D1081" i="1"/>
  <c r="C1081" i="1"/>
  <c r="E1080" i="1"/>
  <c r="D1080" i="1"/>
  <c r="C1080" i="1"/>
  <c r="E1079" i="1"/>
  <c r="D1079" i="1"/>
  <c r="C1079" i="1"/>
  <c r="E1078" i="1"/>
  <c r="D1078" i="1"/>
  <c r="C1078" i="1"/>
  <c r="E1077" i="1"/>
  <c r="D1077" i="1"/>
  <c r="C1077" i="1"/>
  <c r="E1076" i="1"/>
  <c r="D1076" i="1"/>
  <c r="C1076" i="1"/>
  <c r="E1075" i="1"/>
  <c r="D1075" i="1"/>
  <c r="C1075" i="1"/>
  <c r="E1074" i="1"/>
  <c r="D1074" i="1"/>
  <c r="C1074" i="1"/>
  <c r="E1073" i="1"/>
  <c r="D1073" i="1"/>
  <c r="C1073" i="1"/>
  <c r="E1072" i="1"/>
  <c r="D1072" i="1"/>
  <c r="C1072" i="1"/>
  <c r="E1071" i="1"/>
  <c r="D1071" i="1"/>
  <c r="C1071" i="1"/>
  <c r="E1070" i="1"/>
  <c r="D1070" i="1"/>
  <c r="C1070" i="1"/>
  <c r="E1069" i="1"/>
  <c r="D1069" i="1"/>
  <c r="C1069" i="1"/>
  <c r="E1068" i="1"/>
  <c r="D1068" i="1"/>
  <c r="C1068" i="1"/>
  <c r="E1067" i="1"/>
  <c r="D1067" i="1"/>
  <c r="C1067" i="1"/>
  <c r="E1066" i="1"/>
  <c r="D1066" i="1"/>
  <c r="C1066" i="1"/>
  <c r="E1065" i="1"/>
  <c r="D1065" i="1"/>
  <c r="C1065" i="1"/>
  <c r="E1064" i="1"/>
  <c r="D1064" i="1"/>
  <c r="C1064" i="1"/>
  <c r="E1063" i="1"/>
  <c r="D1063" i="1"/>
  <c r="C1063" i="1"/>
  <c r="E1062" i="1"/>
  <c r="D1062" i="1"/>
  <c r="C1062" i="1"/>
  <c r="E1061" i="1"/>
  <c r="D1061" i="1"/>
  <c r="C1061" i="1"/>
  <c r="E1060" i="1"/>
  <c r="D1060" i="1"/>
  <c r="C1060" i="1"/>
  <c r="E1059" i="1"/>
  <c r="D1059" i="1"/>
  <c r="C1059" i="1"/>
  <c r="E1058" i="1"/>
  <c r="D1058" i="1"/>
  <c r="C1058" i="1"/>
  <c r="E1057" i="1"/>
  <c r="D1057" i="1"/>
  <c r="C1057" i="1"/>
  <c r="E1056" i="1"/>
  <c r="D1056" i="1"/>
  <c r="C1056" i="1"/>
  <c r="E1055" i="1"/>
  <c r="D1055" i="1"/>
  <c r="C1055" i="1"/>
  <c r="E1054" i="1"/>
  <c r="D1054" i="1"/>
  <c r="C1054" i="1"/>
  <c r="E1053" i="1"/>
  <c r="D1053" i="1"/>
  <c r="C1053" i="1"/>
  <c r="E1052" i="1"/>
  <c r="D1052" i="1"/>
  <c r="C1052" i="1"/>
  <c r="E1051" i="1"/>
  <c r="D1051" i="1"/>
  <c r="C1051" i="1"/>
  <c r="E1050" i="1"/>
  <c r="D1050" i="1"/>
  <c r="C1050" i="1"/>
  <c r="E1049" i="1"/>
  <c r="D1049" i="1"/>
  <c r="C1049" i="1"/>
  <c r="E1048" i="1"/>
  <c r="D1048" i="1"/>
  <c r="C1048" i="1"/>
  <c r="E1047" i="1"/>
  <c r="D1047" i="1"/>
  <c r="C1047" i="1"/>
  <c r="E1046" i="1"/>
  <c r="D1046" i="1"/>
  <c r="C1046" i="1"/>
  <c r="E1045" i="1"/>
  <c r="D1045" i="1"/>
  <c r="C1045" i="1"/>
  <c r="E1044" i="1"/>
  <c r="D1044" i="1"/>
  <c r="C1044" i="1"/>
  <c r="E1043" i="1"/>
  <c r="D1043" i="1"/>
  <c r="C1043" i="1"/>
  <c r="E1042" i="1"/>
  <c r="D1042" i="1"/>
  <c r="C1042" i="1"/>
  <c r="E1041" i="1"/>
  <c r="D1041" i="1"/>
  <c r="C1041" i="1"/>
  <c r="E1040" i="1"/>
  <c r="D1040" i="1"/>
  <c r="C1040" i="1"/>
  <c r="E1039" i="1"/>
  <c r="D1039" i="1"/>
  <c r="C1039" i="1"/>
  <c r="E1038" i="1"/>
  <c r="D1038" i="1"/>
  <c r="C1038" i="1"/>
  <c r="E1037" i="1"/>
  <c r="D1037" i="1"/>
  <c r="C1037" i="1"/>
  <c r="E1036" i="1"/>
  <c r="D1036" i="1"/>
  <c r="C1036" i="1"/>
  <c r="E1035" i="1"/>
  <c r="D1035" i="1"/>
  <c r="C1035" i="1"/>
  <c r="E1034" i="1"/>
  <c r="D1034" i="1"/>
  <c r="C1034" i="1"/>
  <c r="E1033" i="1"/>
  <c r="D1033" i="1"/>
  <c r="C1033" i="1"/>
  <c r="E1032" i="1"/>
  <c r="D1032" i="1"/>
  <c r="C1032" i="1"/>
  <c r="E1031" i="1"/>
  <c r="D1031" i="1"/>
  <c r="C1031" i="1"/>
  <c r="E1030" i="1"/>
  <c r="D1030" i="1"/>
  <c r="C1030" i="1"/>
  <c r="E1029" i="1"/>
  <c r="D1029" i="1"/>
  <c r="C1029" i="1"/>
  <c r="E1028" i="1"/>
  <c r="D1028" i="1"/>
  <c r="C1028" i="1"/>
  <c r="E1027" i="1"/>
  <c r="D1027" i="1"/>
  <c r="C1027" i="1"/>
  <c r="E1026" i="1"/>
  <c r="D1026" i="1"/>
  <c r="C1026" i="1"/>
  <c r="E1025" i="1"/>
  <c r="D1025" i="1"/>
  <c r="C1025" i="1"/>
  <c r="E1024" i="1"/>
  <c r="D1024" i="1"/>
  <c r="C1024" i="1"/>
  <c r="E1023" i="1"/>
  <c r="D1023" i="1"/>
  <c r="C1023" i="1"/>
  <c r="E1022" i="1"/>
  <c r="D1022" i="1"/>
  <c r="C1022" i="1"/>
  <c r="E1021" i="1"/>
  <c r="D1021" i="1"/>
  <c r="C1021" i="1"/>
  <c r="E1020" i="1"/>
  <c r="D1020" i="1"/>
  <c r="C1020" i="1"/>
  <c r="E1019" i="1"/>
  <c r="D1019" i="1"/>
  <c r="C1019" i="1"/>
  <c r="E1018" i="1"/>
  <c r="D1018" i="1"/>
  <c r="C1018" i="1"/>
  <c r="E1017" i="1"/>
  <c r="D1017" i="1"/>
  <c r="C1017" i="1"/>
  <c r="E1016" i="1"/>
  <c r="D1016" i="1"/>
  <c r="C1016" i="1"/>
  <c r="E1015" i="1"/>
  <c r="D1015" i="1"/>
  <c r="C1015" i="1"/>
  <c r="E1014" i="1"/>
  <c r="D1014" i="1"/>
  <c r="C1014" i="1"/>
  <c r="E1013" i="1"/>
  <c r="D1013" i="1"/>
  <c r="C1013" i="1"/>
  <c r="E1012" i="1"/>
  <c r="D1012" i="1"/>
  <c r="C1012" i="1"/>
  <c r="E1011" i="1"/>
  <c r="D1011" i="1"/>
  <c r="C1011" i="1"/>
  <c r="E1010" i="1"/>
  <c r="D1010" i="1"/>
  <c r="C1010" i="1"/>
  <c r="E1009" i="1"/>
  <c r="D1009" i="1"/>
  <c r="C1009" i="1"/>
  <c r="E1008" i="1"/>
  <c r="D1008" i="1"/>
  <c r="C1008" i="1"/>
  <c r="E1007" i="1"/>
  <c r="D1007" i="1"/>
  <c r="C1007" i="1"/>
  <c r="E1006" i="1"/>
  <c r="D1006" i="1"/>
  <c r="C1006" i="1"/>
  <c r="E1005" i="1"/>
  <c r="D1005" i="1"/>
  <c r="C1005" i="1"/>
  <c r="E1004" i="1"/>
  <c r="D1004" i="1"/>
  <c r="C1004" i="1"/>
  <c r="E1003" i="1"/>
  <c r="D1003" i="1"/>
  <c r="C1003" i="1"/>
  <c r="E1002" i="1"/>
  <c r="D1002" i="1"/>
  <c r="C1002" i="1"/>
  <c r="E1001" i="1"/>
  <c r="D1001" i="1"/>
  <c r="C1001" i="1"/>
  <c r="E1000" i="1"/>
  <c r="D1000" i="1"/>
  <c r="C1000" i="1"/>
  <c r="E999" i="1"/>
  <c r="D999" i="1"/>
  <c r="C999" i="1"/>
  <c r="E998" i="1"/>
  <c r="D998" i="1"/>
  <c r="C998" i="1"/>
  <c r="E997" i="1"/>
  <c r="D997" i="1"/>
  <c r="C997" i="1"/>
  <c r="E996" i="1"/>
  <c r="D996" i="1"/>
  <c r="C996" i="1"/>
  <c r="E995" i="1"/>
  <c r="D995" i="1"/>
  <c r="C995" i="1"/>
  <c r="E994" i="1"/>
  <c r="D994" i="1"/>
  <c r="C994" i="1"/>
  <c r="E993" i="1"/>
  <c r="D993" i="1"/>
  <c r="C993" i="1"/>
  <c r="E992" i="1"/>
  <c r="D992" i="1"/>
  <c r="C992" i="1"/>
  <c r="E991" i="1"/>
  <c r="D991" i="1"/>
  <c r="C991" i="1"/>
  <c r="E990" i="1"/>
  <c r="D990" i="1"/>
  <c r="C990" i="1"/>
  <c r="E989" i="1"/>
  <c r="D989" i="1"/>
  <c r="C989" i="1"/>
  <c r="E988" i="1"/>
  <c r="D988" i="1"/>
  <c r="C988" i="1"/>
  <c r="E987" i="1"/>
  <c r="D987" i="1"/>
  <c r="C987" i="1"/>
  <c r="E986" i="1"/>
  <c r="D986" i="1"/>
  <c r="C986" i="1"/>
  <c r="E985" i="1"/>
  <c r="D985" i="1"/>
  <c r="C985" i="1"/>
  <c r="E984" i="1"/>
  <c r="D984" i="1"/>
  <c r="C984" i="1"/>
  <c r="E983" i="1"/>
  <c r="D983" i="1"/>
  <c r="C983" i="1"/>
  <c r="E982" i="1"/>
  <c r="D982" i="1"/>
  <c r="C982" i="1"/>
  <c r="E981" i="1"/>
  <c r="D981" i="1"/>
  <c r="C981" i="1"/>
  <c r="E980" i="1"/>
  <c r="D980" i="1"/>
  <c r="C980" i="1"/>
  <c r="E979" i="1"/>
  <c r="D979" i="1"/>
  <c r="C979" i="1"/>
  <c r="E978" i="1"/>
  <c r="D978" i="1"/>
  <c r="C978" i="1"/>
  <c r="E977" i="1"/>
  <c r="D977" i="1"/>
  <c r="C977" i="1"/>
  <c r="E976" i="1"/>
  <c r="D976" i="1"/>
  <c r="C976" i="1"/>
  <c r="E975" i="1"/>
  <c r="D975" i="1"/>
  <c r="C975" i="1"/>
  <c r="E974" i="1"/>
  <c r="D974" i="1"/>
  <c r="C974" i="1"/>
  <c r="E973" i="1"/>
  <c r="D973" i="1"/>
  <c r="C973" i="1"/>
  <c r="E972" i="1"/>
  <c r="D972" i="1"/>
  <c r="C972" i="1"/>
  <c r="E971" i="1"/>
  <c r="D971" i="1"/>
  <c r="C971" i="1"/>
  <c r="E970" i="1"/>
  <c r="D970" i="1"/>
  <c r="C970" i="1"/>
  <c r="E969" i="1"/>
  <c r="D969" i="1"/>
  <c r="C969" i="1"/>
  <c r="E968" i="1"/>
  <c r="D968" i="1"/>
  <c r="C968" i="1"/>
  <c r="E967" i="1"/>
  <c r="D967" i="1"/>
  <c r="C967" i="1"/>
  <c r="E966" i="1"/>
  <c r="D966" i="1"/>
  <c r="C966" i="1"/>
  <c r="E965" i="1"/>
  <c r="D965" i="1"/>
  <c r="C965" i="1"/>
  <c r="E964" i="1"/>
  <c r="D964" i="1"/>
  <c r="C964" i="1"/>
  <c r="E963" i="1"/>
  <c r="D963" i="1"/>
  <c r="C963" i="1"/>
  <c r="E962" i="1"/>
  <c r="D962" i="1"/>
  <c r="C962" i="1"/>
  <c r="E961" i="1"/>
  <c r="D961" i="1"/>
  <c r="C961" i="1"/>
  <c r="E960" i="1"/>
  <c r="D960" i="1"/>
  <c r="C960" i="1"/>
  <c r="E959" i="1"/>
  <c r="D959" i="1"/>
  <c r="C959" i="1"/>
  <c r="E958" i="1"/>
  <c r="D958" i="1"/>
  <c r="C958" i="1"/>
  <c r="E957" i="1"/>
  <c r="D957" i="1"/>
  <c r="C957" i="1"/>
  <c r="E956" i="1"/>
  <c r="D956" i="1"/>
  <c r="C956" i="1"/>
  <c r="E955" i="1"/>
  <c r="D955" i="1"/>
  <c r="C955" i="1"/>
  <c r="E954" i="1"/>
  <c r="D954" i="1"/>
  <c r="C954" i="1"/>
  <c r="E953" i="1"/>
  <c r="D953" i="1"/>
  <c r="C953" i="1"/>
  <c r="E952" i="1"/>
  <c r="D952" i="1"/>
  <c r="C952" i="1"/>
  <c r="E951" i="1"/>
  <c r="D951" i="1"/>
  <c r="C951" i="1"/>
  <c r="E950" i="1"/>
  <c r="D950" i="1"/>
  <c r="C950" i="1"/>
  <c r="E949" i="1"/>
  <c r="D949" i="1"/>
  <c r="C949" i="1"/>
  <c r="E948" i="1"/>
  <c r="D948" i="1"/>
  <c r="C948" i="1"/>
  <c r="E947" i="1"/>
  <c r="D947" i="1"/>
  <c r="C947" i="1"/>
  <c r="E946" i="1"/>
  <c r="D946" i="1"/>
  <c r="C946" i="1"/>
  <c r="E945" i="1"/>
  <c r="D945" i="1"/>
  <c r="C945" i="1"/>
  <c r="E944" i="1"/>
  <c r="D944" i="1"/>
  <c r="C944" i="1"/>
  <c r="E943" i="1"/>
  <c r="D943" i="1"/>
  <c r="C943" i="1"/>
  <c r="E942" i="1"/>
  <c r="D942" i="1"/>
  <c r="C942" i="1"/>
  <c r="E941" i="1"/>
  <c r="D941" i="1"/>
  <c r="C941" i="1"/>
  <c r="E940" i="1"/>
  <c r="D940" i="1"/>
  <c r="C940" i="1"/>
  <c r="E939" i="1"/>
  <c r="D939" i="1"/>
  <c r="C939" i="1"/>
  <c r="E938" i="1"/>
  <c r="D938" i="1"/>
  <c r="C938" i="1"/>
  <c r="E937" i="1"/>
  <c r="D937" i="1"/>
  <c r="C937" i="1"/>
  <c r="E936" i="1"/>
  <c r="D936" i="1"/>
  <c r="C936" i="1"/>
  <c r="E935" i="1"/>
  <c r="D935" i="1"/>
  <c r="C935" i="1"/>
  <c r="E934" i="1"/>
  <c r="D934" i="1"/>
  <c r="C934" i="1"/>
  <c r="E933" i="1"/>
  <c r="D933" i="1"/>
  <c r="C933" i="1"/>
  <c r="E932" i="1"/>
  <c r="D932" i="1"/>
  <c r="C932" i="1"/>
  <c r="E931" i="1"/>
  <c r="D931" i="1"/>
  <c r="C931" i="1"/>
  <c r="E930" i="1"/>
  <c r="D930" i="1"/>
  <c r="C930" i="1"/>
  <c r="E929" i="1"/>
  <c r="D929" i="1"/>
  <c r="C929" i="1"/>
  <c r="E928" i="1"/>
  <c r="D928" i="1"/>
  <c r="C928" i="1"/>
  <c r="E927" i="1"/>
  <c r="D927" i="1"/>
  <c r="C927" i="1"/>
  <c r="E926" i="1"/>
  <c r="D926" i="1"/>
  <c r="C926" i="1"/>
  <c r="E925" i="1"/>
  <c r="D925" i="1"/>
  <c r="C925" i="1"/>
  <c r="E924" i="1"/>
  <c r="D924" i="1"/>
  <c r="C924" i="1"/>
  <c r="E923" i="1"/>
  <c r="D923" i="1"/>
  <c r="C923" i="1"/>
  <c r="E922" i="1"/>
  <c r="D922" i="1"/>
  <c r="C922" i="1"/>
  <c r="E921" i="1"/>
  <c r="D921" i="1"/>
  <c r="C921" i="1"/>
  <c r="E920" i="1"/>
  <c r="D920" i="1"/>
  <c r="C920" i="1"/>
  <c r="E919" i="1"/>
  <c r="D919" i="1"/>
  <c r="C919" i="1"/>
  <c r="E918" i="1"/>
  <c r="D918" i="1"/>
  <c r="C918" i="1"/>
  <c r="E917" i="1"/>
  <c r="D917" i="1"/>
  <c r="C917" i="1"/>
  <c r="E916" i="1"/>
  <c r="D916" i="1"/>
  <c r="C916" i="1"/>
  <c r="E915" i="1"/>
  <c r="D915" i="1"/>
  <c r="C915" i="1"/>
  <c r="E914" i="1"/>
  <c r="D914" i="1"/>
  <c r="C914" i="1"/>
  <c r="E913" i="1"/>
  <c r="D913" i="1"/>
  <c r="C913" i="1"/>
  <c r="E912" i="1"/>
  <c r="D912" i="1"/>
  <c r="C912" i="1"/>
  <c r="E911" i="1"/>
  <c r="D911" i="1"/>
  <c r="C911" i="1"/>
  <c r="E910" i="1"/>
  <c r="D910" i="1"/>
  <c r="C910" i="1"/>
  <c r="E909" i="1"/>
  <c r="D909" i="1"/>
  <c r="C909" i="1"/>
  <c r="E908" i="1"/>
  <c r="D908" i="1"/>
  <c r="C908" i="1"/>
  <c r="E907" i="1"/>
  <c r="D907" i="1"/>
  <c r="C907" i="1"/>
  <c r="E906" i="1"/>
  <c r="D906" i="1"/>
  <c r="C906" i="1"/>
  <c r="E905" i="1"/>
  <c r="D905" i="1"/>
  <c r="C905" i="1"/>
  <c r="E904" i="1"/>
  <c r="D904" i="1"/>
  <c r="C904" i="1"/>
  <c r="E903" i="1"/>
  <c r="D903" i="1"/>
  <c r="C903" i="1"/>
  <c r="E902" i="1"/>
  <c r="D902" i="1"/>
  <c r="C902" i="1"/>
  <c r="E901" i="1"/>
  <c r="D901" i="1"/>
  <c r="C901" i="1"/>
  <c r="E900" i="1"/>
  <c r="D900" i="1"/>
  <c r="C900" i="1"/>
  <c r="E899" i="1"/>
  <c r="D899" i="1"/>
  <c r="C899" i="1"/>
  <c r="E898" i="1"/>
  <c r="D898" i="1"/>
  <c r="C898" i="1"/>
  <c r="E897" i="1"/>
  <c r="D897" i="1"/>
  <c r="C897" i="1"/>
  <c r="E896" i="1"/>
  <c r="D896" i="1"/>
  <c r="C896" i="1"/>
  <c r="E895" i="1"/>
  <c r="D895" i="1"/>
  <c r="C895" i="1"/>
  <c r="E894" i="1"/>
  <c r="D894" i="1"/>
  <c r="C894" i="1"/>
  <c r="E893" i="1"/>
  <c r="D893" i="1"/>
  <c r="C893" i="1"/>
  <c r="E892" i="1"/>
  <c r="D892" i="1"/>
  <c r="C892" i="1"/>
  <c r="E891" i="1"/>
  <c r="D891" i="1"/>
  <c r="C891" i="1"/>
  <c r="E890" i="1"/>
  <c r="D890" i="1"/>
  <c r="C890" i="1"/>
  <c r="E889" i="1"/>
  <c r="D889" i="1"/>
  <c r="C889" i="1"/>
  <c r="E888" i="1"/>
  <c r="D888" i="1"/>
  <c r="C888" i="1"/>
  <c r="E887" i="1"/>
  <c r="D887" i="1"/>
  <c r="C887" i="1"/>
  <c r="E886" i="1"/>
  <c r="D886" i="1"/>
  <c r="C886" i="1"/>
  <c r="E885" i="1"/>
  <c r="D885" i="1"/>
  <c r="C885" i="1"/>
  <c r="E884" i="1"/>
  <c r="D884" i="1"/>
  <c r="C884" i="1"/>
  <c r="E883" i="1"/>
  <c r="D883" i="1"/>
  <c r="C883" i="1"/>
  <c r="E882" i="1"/>
  <c r="D882" i="1"/>
  <c r="C882" i="1"/>
  <c r="E881" i="1"/>
  <c r="D881" i="1"/>
  <c r="C881" i="1"/>
  <c r="E880" i="1"/>
  <c r="D880" i="1"/>
  <c r="C880" i="1"/>
  <c r="E879" i="1"/>
  <c r="D879" i="1"/>
  <c r="C879" i="1"/>
  <c r="E878" i="1"/>
  <c r="D878" i="1"/>
  <c r="C878" i="1"/>
  <c r="E877" i="1"/>
  <c r="D877" i="1"/>
  <c r="C877" i="1"/>
  <c r="E876" i="1"/>
  <c r="D876" i="1"/>
  <c r="C876" i="1"/>
  <c r="E875" i="1"/>
  <c r="D875" i="1"/>
  <c r="C875" i="1"/>
  <c r="E874" i="1"/>
  <c r="D874" i="1"/>
  <c r="C874" i="1"/>
  <c r="E873" i="1"/>
  <c r="D873" i="1"/>
  <c r="C873" i="1"/>
  <c r="E872" i="1"/>
  <c r="D872" i="1"/>
  <c r="C872" i="1"/>
  <c r="E871" i="1"/>
  <c r="D871" i="1"/>
  <c r="C871" i="1"/>
  <c r="E870" i="1"/>
  <c r="D870" i="1"/>
  <c r="C870" i="1"/>
  <c r="E869" i="1"/>
  <c r="D869" i="1"/>
  <c r="C869" i="1"/>
  <c r="E868" i="1"/>
  <c r="D868" i="1"/>
  <c r="C868" i="1"/>
  <c r="E867" i="1"/>
  <c r="D867" i="1"/>
  <c r="C867" i="1"/>
  <c r="E866" i="1"/>
  <c r="D866" i="1"/>
  <c r="C866" i="1"/>
  <c r="E865" i="1"/>
  <c r="D865" i="1"/>
  <c r="C865" i="1"/>
  <c r="E864" i="1"/>
  <c r="D864" i="1"/>
  <c r="C864" i="1"/>
  <c r="E863" i="1"/>
  <c r="D863" i="1"/>
  <c r="C863" i="1"/>
  <c r="E862" i="1"/>
  <c r="D862" i="1"/>
  <c r="C862" i="1"/>
  <c r="E861" i="1"/>
  <c r="D861" i="1"/>
  <c r="C861" i="1"/>
  <c r="E860" i="1"/>
  <c r="D860" i="1"/>
  <c r="C860" i="1"/>
  <c r="E859" i="1"/>
  <c r="D859" i="1"/>
  <c r="C859" i="1"/>
  <c r="E858" i="1"/>
  <c r="D858" i="1"/>
  <c r="C858" i="1"/>
  <c r="E857" i="1"/>
  <c r="D857" i="1"/>
  <c r="C857" i="1"/>
  <c r="E856" i="1"/>
  <c r="D856" i="1"/>
  <c r="C856" i="1"/>
  <c r="E855" i="1"/>
  <c r="D855" i="1"/>
  <c r="C855" i="1"/>
  <c r="E854" i="1"/>
  <c r="D854" i="1"/>
  <c r="C854" i="1"/>
  <c r="E853" i="1"/>
  <c r="D853" i="1"/>
  <c r="C853" i="1"/>
  <c r="E852" i="1"/>
  <c r="D852" i="1"/>
  <c r="C852" i="1"/>
  <c r="E851" i="1"/>
  <c r="D851" i="1"/>
  <c r="C851" i="1"/>
  <c r="E850" i="1"/>
  <c r="D850" i="1"/>
  <c r="C850" i="1"/>
  <c r="E849" i="1"/>
  <c r="D849" i="1"/>
  <c r="C849" i="1"/>
  <c r="E848" i="1"/>
  <c r="D848" i="1"/>
  <c r="C848" i="1"/>
  <c r="E847" i="1"/>
  <c r="D847" i="1"/>
  <c r="C847" i="1"/>
  <c r="E846" i="1"/>
  <c r="D846" i="1"/>
  <c r="C846" i="1"/>
  <c r="E845" i="1"/>
  <c r="D845" i="1"/>
  <c r="C845" i="1"/>
  <c r="E844" i="1"/>
  <c r="D844" i="1"/>
  <c r="C844" i="1"/>
  <c r="E843" i="1"/>
  <c r="D843" i="1"/>
  <c r="C843" i="1"/>
  <c r="E842" i="1"/>
  <c r="D842" i="1"/>
  <c r="C842" i="1"/>
  <c r="E841" i="1"/>
  <c r="D841" i="1"/>
  <c r="C841" i="1"/>
  <c r="E840" i="1"/>
  <c r="D840" i="1"/>
  <c r="C840" i="1"/>
  <c r="E839" i="1"/>
  <c r="D839" i="1"/>
  <c r="C839" i="1"/>
  <c r="E838" i="1"/>
  <c r="D838" i="1"/>
  <c r="C838" i="1"/>
  <c r="E837" i="1"/>
  <c r="D837" i="1"/>
  <c r="C837" i="1"/>
  <c r="E836" i="1"/>
  <c r="D836" i="1"/>
  <c r="C836" i="1"/>
  <c r="E835" i="1"/>
  <c r="D835" i="1"/>
  <c r="C835" i="1"/>
  <c r="E834" i="1"/>
  <c r="D834" i="1"/>
  <c r="C834" i="1"/>
  <c r="E833" i="1"/>
  <c r="D833" i="1"/>
  <c r="C833" i="1"/>
  <c r="E832" i="1"/>
  <c r="D832" i="1"/>
  <c r="C832" i="1"/>
  <c r="E831" i="1"/>
  <c r="D831" i="1"/>
  <c r="C831" i="1"/>
  <c r="E830" i="1"/>
  <c r="D830" i="1"/>
  <c r="C830" i="1"/>
  <c r="E829" i="1"/>
  <c r="D829" i="1"/>
  <c r="C829" i="1"/>
  <c r="E828" i="1"/>
  <c r="D828" i="1"/>
  <c r="C828" i="1"/>
  <c r="E827" i="1"/>
  <c r="D827" i="1"/>
  <c r="C827" i="1"/>
  <c r="E826" i="1"/>
  <c r="D826" i="1"/>
  <c r="C826" i="1"/>
  <c r="E825" i="1"/>
  <c r="D825" i="1"/>
  <c r="C825" i="1"/>
  <c r="E824" i="1"/>
  <c r="D824" i="1"/>
  <c r="C824" i="1"/>
  <c r="E823" i="1"/>
  <c r="D823" i="1"/>
  <c r="C823" i="1"/>
  <c r="E822" i="1"/>
  <c r="D822" i="1"/>
  <c r="C822" i="1"/>
  <c r="E821" i="1"/>
  <c r="D821" i="1"/>
  <c r="C821" i="1"/>
  <c r="E820" i="1"/>
  <c r="D820" i="1"/>
  <c r="C820" i="1"/>
  <c r="E819" i="1"/>
  <c r="D819" i="1"/>
  <c r="C819" i="1"/>
  <c r="E818" i="1"/>
  <c r="D818" i="1"/>
  <c r="C818" i="1"/>
  <c r="E817" i="1"/>
  <c r="D817" i="1"/>
  <c r="C817" i="1"/>
  <c r="E816" i="1"/>
  <c r="D816" i="1"/>
  <c r="C816" i="1"/>
  <c r="E815" i="1"/>
  <c r="D815" i="1"/>
  <c r="C815" i="1"/>
  <c r="E814" i="1"/>
  <c r="D814" i="1"/>
  <c r="C814" i="1"/>
  <c r="E813" i="1"/>
  <c r="D813" i="1"/>
  <c r="C813" i="1"/>
  <c r="E812" i="1"/>
  <c r="D812" i="1"/>
  <c r="C812" i="1"/>
  <c r="E811" i="1"/>
  <c r="D811" i="1"/>
  <c r="C811" i="1"/>
  <c r="E810" i="1"/>
  <c r="D810" i="1"/>
  <c r="C810" i="1"/>
  <c r="E809" i="1"/>
  <c r="D809" i="1"/>
  <c r="C809" i="1"/>
  <c r="E808" i="1"/>
  <c r="D808" i="1"/>
  <c r="C808" i="1"/>
  <c r="E807" i="1"/>
  <c r="D807" i="1"/>
  <c r="C807" i="1"/>
  <c r="E806" i="1"/>
  <c r="D806" i="1"/>
  <c r="C806" i="1"/>
  <c r="E805" i="1"/>
  <c r="D805" i="1"/>
  <c r="C805" i="1"/>
  <c r="E804" i="1"/>
  <c r="D804" i="1"/>
  <c r="C804" i="1"/>
  <c r="E803" i="1"/>
  <c r="D803" i="1"/>
  <c r="C803" i="1"/>
  <c r="E802" i="1"/>
  <c r="D802" i="1"/>
  <c r="C802" i="1"/>
  <c r="E801" i="1"/>
  <c r="D801" i="1"/>
  <c r="C801" i="1"/>
  <c r="E800" i="1"/>
  <c r="D800" i="1"/>
  <c r="C800" i="1"/>
  <c r="E799" i="1"/>
  <c r="D799" i="1"/>
  <c r="C799" i="1"/>
  <c r="E798" i="1"/>
  <c r="D798" i="1"/>
  <c r="C798" i="1"/>
  <c r="E797" i="1"/>
  <c r="D797" i="1"/>
  <c r="C797" i="1"/>
  <c r="E796" i="1"/>
  <c r="D796" i="1"/>
  <c r="C796" i="1"/>
  <c r="E795" i="1"/>
  <c r="D795" i="1"/>
  <c r="C795" i="1"/>
  <c r="E794" i="1"/>
  <c r="D794" i="1"/>
  <c r="C794" i="1"/>
  <c r="E793" i="1"/>
  <c r="D793" i="1"/>
  <c r="C793" i="1"/>
  <c r="E792" i="1"/>
  <c r="D792" i="1"/>
  <c r="C792" i="1"/>
  <c r="E791" i="1"/>
  <c r="D791" i="1"/>
  <c r="C791" i="1"/>
  <c r="E790" i="1"/>
  <c r="D790" i="1"/>
  <c r="C790" i="1"/>
  <c r="E789" i="1"/>
  <c r="D789" i="1"/>
  <c r="C789" i="1"/>
  <c r="E788" i="1"/>
  <c r="D788" i="1"/>
  <c r="C788" i="1"/>
  <c r="E787" i="1"/>
  <c r="D787" i="1"/>
  <c r="C787" i="1"/>
  <c r="E786" i="1"/>
  <c r="D786" i="1"/>
  <c r="C786" i="1"/>
  <c r="E785" i="1"/>
  <c r="D785" i="1"/>
  <c r="C785" i="1"/>
  <c r="E784" i="1"/>
  <c r="D784" i="1"/>
  <c r="C784" i="1"/>
  <c r="E783" i="1"/>
  <c r="D783" i="1"/>
  <c r="C783" i="1"/>
  <c r="E782" i="1"/>
  <c r="D782" i="1"/>
  <c r="C782" i="1"/>
  <c r="E781" i="1"/>
  <c r="D781" i="1"/>
  <c r="C781" i="1"/>
  <c r="E780" i="1"/>
  <c r="D780" i="1"/>
  <c r="C780" i="1"/>
  <c r="E779" i="1"/>
  <c r="D779" i="1"/>
  <c r="C779" i="1"/>
  <c r="E778" i="1"/>
  <c r="D778" i="1"/>
  <c r="C778" i="1"/>
  <c r="E777" i="1"/>
  <c r="D777" i="1"/>
  <c r="C777" i="1"/>
  <c r="E776" i="1"/>
  <c r="D776" i="1"/>
  <c r="C776" i="1"/>
  <c r="E775" i="1"/>
  <c r="D775" i="1"/>
  <c r="C775" i="1"/>
  <c r="E774" i="1"/>
  <c r="D774" i="1"/>
  <c r="C774" i="1"/>
  <c r="E773" i="1"/>
  <c r="D773" i="1"/>
  <c r="C773" i="1"/>
  <c r="E772" i="1"/>
  <c r="D772" i="1"/>
  <c r="C772" i="1"/>
  <c r="E771" i="1"/>
  <c r="D771" i="1"/>
  <c r="C771" i="1"/>
  <c r="E770" i="1"/>
  <c r="D770" i="1"/>
  <c r="C770" i="1"/>
  <c r="E769" i="1"/>
  <c r="D769" i="1"/>
  <c r="C769" i="1"/>
  <c r="E768" i="1"/>
  <c r="D768" i="1"/>
  <c r="C768" i="1"/>
  <c r="E767" i="1"/>
  <c r="D767" i="1"/>
  <c r="C767" i="1"/>
  <c r="E766" i="1"/>
  <c r="D766" i="1"/>
  <c r="C766" i="1"/>
  <c r="E765" i="1"/>
  <c r="D765" i="1"/>
  <c r="C765" i="1"/>
  <c r="E764" i="1"/>
  <c r="D764" i="1"/>
  <c r="C764" i="1"/>
  <c r="E763" i="1"/>
  <c r="D763" i="1"/>
  <c r="C763" i="1"/>
  <c r="E762" i="1"/>
  <c r="D762" i="1"/>
  <c r="C762" i="1"/>
  <c r="E761" i="1"/>
  <c r="D761" i="1"/>
  <c r="C761" i="1"/>
  <c r="E760" i="1"/>
  <c r="D760" i="1"/>
  <c r="C760" i="1"/>
  <c r="E759" i="1"/>
  <c r="D759" i="1"/>
  <c r="C759" i="1"/>
  <c r="E758" i="1"/>
  <c r="D758" i="1"/>
  <c r="C758" i="1"/>
  <c r="E757" i="1"/>
  <c r="D757" i="1"/>
  <c r="C757" i="1"/>
  <c r="E756" i="1"/>
  <c r="D756" i="1"/>
  <c r="C756" i="1"/>
  <c r="E755" i="1"/>
  <c r="D755" i="1"/>
  <c r="C755" i="1"/>
  <c r="E754" i="1"/>
  <c r="D754" i="1"/>
  <c r="C754" i="1"/>
  <c r="E753" i="1"/>
  <c r="D753" i="1"/>
  <c r="C753" i="1"/>
  <c r="E752" i="1"/>
  <c r="D752" i="1"/>
  <c r="C752" i="1"/>
  <c r="E751" i="1"/>
  <c r="D751" i="1"/>
  <c r="C751" i="1"/>
  <c r="E750" i="1"/>
  <c r="D750" i="1"/>
  <c r="C750" i="1"/>
  <c r="E749" i="1"/>
  <c r="D749" i="1"/>
  <c r="C749" i="1"/>
  <c r="E748" i="1"/>
  <c r="D748" i="1"/>
  <c r="C748" i="1"/>
  <c r="E747" i="1"/>
  <c r="D747" i="1"/>
  <c r="C747" i="1"/>
  <c r="E746" i="1"/>
  <c r="D746" i="1"/>
  <c r="C746" i="1"/>
  <c r="E745" i="1"/>
  <c r="D745" i="1"/>
  <c r="C745" i="1"/>
  <c r="E744" i="1"/>
  <c r="D744" i="1"/>
  <c r="C744" i="1"/>
  <c r="E743" i="1"/>
  <c r="D743" i="1"/>
  <c r="C743" i="1"/>
  <c r="E742" i="1"/>
  <c r="D742" i="1"/>
  <c r="C742" i="1"/>
  <c r="E741" i="1"/>
  <c r="D741" i="1"/>
  <c r="C741" i="1"/>
  <c r="E740" i="1"/>
  <c r="D740" i="1"/>
  <c r="C740" i="1"/>
  <c r="E739" i="1"/>
  <c r="D739" i="1"/>
  <c r="C739" i="1"/>
  <c r="E738" i="1"/>
  <c r="D738" i="1"/>
  <c r="C738" i="1"/>
  <c r="E737" i="1"/>
  <c r="D737" i="1"/>
  <c r="C737" i="1"/>
  <c r="E736" i="1"/>
  <c r="D736" i="1"/>
  <c r="C736" i="1"/>
  <c r="E735" i="1"/>
  <c r="D735" i="1"/>
  <c r="C735" i="1"/>
  <c r="E734" i="1"/>
  <c r="D734" i="1"/>
  <c r="C734" i="1"/>
  <c r="E733" i="1"/>
  <c r="D733" i="1"/>
  <c r="C733" i="1"/>
  <c r="E732" i="1"/>
  <c r="D732" i="1"/>
  <c r="C732" i="1"/>
  <c r="E731" i="1"/>
  <c r="D731" i="1"/>
  <c r="C731" i="1"/>
  <c r="E730" i="1"/>
  <c r="D730" i="1"/>
  <c r="C730" i="1"/>
  <c r="E729" i="1"/>
  <c r="D729" i="1"/>
  <c r="C729" i="1"/>
  <c r="E728" i="1"/>
  <c r="D728" i="1"/>
  <c r="C728" i="1"/>
  <c r="E727" i="1"/>
  <c r="D727" i="1"/>
  <c r="C727" i="1"/>
  <c r="E726" i="1"/>
  <c r="D726" i="1"/>
  <c r="C726" i="1"/>
  <c r="E725" i="1"/>
  <c r="D725" i="1"/>
  <c r="C725" i="1"/>
  <c r="E724" i="1"/>
  <c r="D724" i="1"/>
  <c r="C724" i="1"/>
  <c r="E723" i="1"/>
  <c r="D723" i="1"/>
  <c r="C723" i="1"/>
  <c r="E722" i="1"/>
  <c r="D722" i="1"/>
  <c r="C722" i="1"/>
  <c r="E721" i="1"/>
  <c r="D721" i="1"/>
  <c r="C721" i="1"/>
  <c r="E720" i="1"/>
  <c r="D720" i="1"/>
  <c r="C720" i="1"/>
  <c r="E719" i="1"/>
  <c r="D719" i="1"/>
  <c r="C719" i="1"/>
  <c r="E718" i="1"/>
  <c r="D718" i="1"/>
  <c r="C718" i="1"/>
  <c r="E717" i="1"/>
  <c r="D717" i="1"/>
  <c r="C717" i="1"/>
  <c r="E716" i="1"/>
  <c r="D716" i="1"/>
  <c r="C716" i="1"/>
  <c r="E715" i="1"/>
  <c r="D715" i="1"/>
  <c r="C715" i="1"/>
  <c r="E714" i="1"/>
  <c r="D714" i="1"/>
  <c r="C714" i="1"/>
  <c r="E713" i="1"/>
  <c r="D713" i="1"/>
  <c r="C713" i="1"/>
  <c r="E712" i="1"/>
  <c r="D712" i="1"/>
  <c r="C712" i="1"/>
  <c r="E711" i="1"/>
  <c r="D711" i="1"/>
  <c r="C711" i="1"/>
  <c r="E710" i="1"/>
  <c r="D710" i="1"/>
  <c r="C710" i="1"/>
  <c r="E709" i="1"/>
  <c r="D709" i="1"/>
  <c r="C709" i="1"/>
  <c r="E708" i="1"/>
  <c r="D708" i="1"/>
  <c r="C708" i="1"/>
  <c r="E707" i="1"/>
  <c r="D707" i="1"/>
  <c r="C707" i="1"/>
  <c r="E706" i="1"/>
  <c r="D706" i="1"/>
  <c r="C706" i="1"/>
  <c r="E705" i="1"/>
  <c r="D705" i="1"/>
  <c r="C705" i="1"/>
  <c r="E704" i="1"/>
  <c r="D704" i="1"/>
  <c r="C704" i="1"/>
  <c r="E703" i="1"/>
  <c r="D703" i="1"/>
  <c r="C703" i="1"/>
  <c r="E702" i="1"/>
  <c r="D702" i="1"/>
  <c r="C702" i="1"/>
  <c r="E701" i="1"/>
  <c r="D701" i="1"/>
  <c r="C701" i="1"/>
  <c r="E700" i="1"/>
  <c r="D700" i="1"/>
  <c r="C700" i="1"/>
  <c r="E699" i="1"/>
  <c r="D699" i="1"/>
  <c r="C699" i="1"/>
  <c r="E698" i="1"/>
  <c r="D698" i="1"/>
  <c r="C698" i="1"/>
  <c r="E697" i="1"/>
  <c r="D697" i="1"/>
  <c r="C697" i="1"/>
  <c r="E696" i="1"/>
  <c r="D696" i="1"/>
  <c r="C696" i="1"/>
  <c r="E695" i="1"/>
  <c r="D695" i="1"/>
  <c r="C695" i="1"/>
  <c r="E694" i="1"/>
  <c r="D694" i="1"/>
  <c r="C694" i="1"/>
  <c r="E693" i="1"/>
  <c r="D693" i="1"/>
  <c r="C693" i="1"/>
  <c r="E692" i="1"/>
  <c r="D692" i="1"/>
  <c r="C692" i="1"/>
  <c r="E691" i="1"/>
  <c r="D691" i="1"/>
  <c r="C691" i="1"/>
  <c r="E690" i="1"/>
  <c r="D690" i="1"/>
  <c r="C690" i="1"/>
  <c r="E689" i="1"/>
  <c r="D689" i="1"/>
  <c r="C689" i="1"/>
  <c r="E688" i="1"/>
  <c r="D688" i="1"/>
  <c r="C688" i="1"/>
  <c r="E687" i="1"/>
  <c r="D687" i="1"/>
  <c r="C687" i="1"/>
  <c r="E686" i="1"/>
  <c r="D686" i="1"/>
  <c r="C686" i="1"/>
  <c r="E685" i="1"/>
  <c r="D685" i="1"/>
  <c r="C685" i="1"/>
  <c r="E684" i="1"/>
  <c r="D684" i="1"/>
  <c r="C684" i="1"/>
  <c r="E683" i="1"/>
  <c r="D683" i="1"/>
  <c r="C683" i="1"/>
  <c r="E682" i="1"/>
  <c r="D682" i="1"/>
  <c r="C682" i="1"/>
  <c r="E681" i="1"/>
  <c r="D681" i="1"/>
  <c r="C681" i="1"/>
  <c r="E680" i="1"/>
  <c r="D680" i="1"/>
  <c r="C680" i="1"/>
  <c r="E679" i="1"/>
  <c r="D679" i="1"/>
  <c r="C679" i="1"/>
  <c r="E678" i="1"/>
  <c r="D678" i="1"/>
  <c r="C678" i="1"/>
  <c r="E677" i="1"/>
  <c r="D677" i="1"/>
  <c r="C677" i="1"/>
  <c r="E676" i="1"/>
  <c r="D676" i="1"/>
  <c r="C676" i="1"/>
  <c r="E675" i="1"/>
  <c r="D675" i="1"/>
  <c r="C675" i="1"/>
  <c r="E674" i="1"/>
  <c r="D674" i="1"/>
  <c r="C674" i="1"/>
  <c r="E673" i="1"/>
  <c r="D673" i="1"/>
  <c r="C673" i="1"/>
  <c r="E672" i="1"/>
  <c r="D672" i="1"/>
  <c r="C672" i="1"/>
  <c r="E671" i="1"/>
  <c r="D671" i="1"/>
  <c r="C671" i="1"/>
  <c r="E670" i="1"/>
  <c r="D670" i="1"/>
  <c r="C670" i="1"/>
  <c r="E669" i="1"/>
  <c r="D669" i="1"/>
  <c r="C669" i="1"/>
  <c r="E668" i="1"/>
  <c r="D668" i="1"/>
  <c r="C668" i="1"/>
  <c r="E667" i="1"/>
  <c r="D667" i="1"/>
  <c r="C667" i="1"/>
  <c r="E666" i="1"/>
  <c r="D666" i="1"/>
  <c r="C666" i="1"/>
  <c r="E665" i="1"/>
  <c r="D665" i="1"/>
  <c r="C665" i="1"/>
  <c r="E664" i="1"/>
  <c r="D664" i="1"/>
  <c r="C664" i="1"/>
  <c r="E663" i="1"/>
  <c r="D663" i="1"/>
  <c r="C663" i="1"/>
  <c r="E662" i="1"/>
  <c r="D662" i="1"/>
  <c r="C662" i="1"/>
  <c r="E661" i="1"/>
  <c r="D661" i="1"/>
  <c r="C661" i="1"/>
  <c r="E660" i="1"/>
  <c r="D660" i="1"/>
  <c r="C660" i="1"/>
  <c r="E659" i="1"/>
  <c r="D659" i="1"/>
  <c r="C659" i="1"/>
  <c r="E658" i="1"/>
  <c r="D658" i="1"/>
  <c r="C658" i="1"/>
  <c r="E657" i="1"/>
  <c r="D657" i="1"/>
  <c r="C657" i="1"/>
  <c r="E656" i="1"/>
  <c r="D656" i="1"/>
  <c r="C656" i="1"/>
  <c r="E655" i="1"/>
  <c r="D655" i="1"/>
  <c r="C655" i="1"/>
  <c r="E654" i="1"/>
  <c r="D654" i="1"/>
  <c r="C654" i="1"/>
  <c r="E653" i="1"/>
  <c r="D653" i="1"/>
  <c r="C653" i="1"/>
  <c r="E652" i="1"/>
  <c r="D652" i="1"/>
  <c r="C652" i="1"/>
  <c r="E651" i="1"/>
  <c r="D651" i="1"/>
  <c r="C651" i="1"/>
  <c r="E650" i="1"/>
  <c r="D650" i="1"/>
  <c r="C650" i="1"/>
  <c r="E649" i="1"/>
  <c r="D649" i="1"/>
  <c r="C649" i="1"/>
  <c r="E648" i="1"/>
  <c r="D648" i="1"/>
  <c r="C648" i="1"/>
  <c r="E647" i="1"/>
  <c r="D647" i="1"/>
  <c r="C647" i="1"/>
  <c r="E646" i="1"/>
  <c r="D646" i="1"/>
  <c r="C646" i="1"/>
  <c r="E645" i="1"/>
  <c r="D645" i="1"/>
  <c r="C645" i="1"/>
  <c r="E644" i="1"/>
  <c r="D644" i="1"/>
  <c r="C644" i="1"/>
  <c r="E643" i="1"/>
  <c r="D643" i="1"/>
  <c r="C643" i="1"/>
  <c r="E642" i="1"/>
  <c r="D642" i="1"/>
  <c r="C642" i="1"/>
  <c r="E641" i="1"/>
  <c r="D641" i="1"/>
  <c r="C641" i="1"/>
  <c r="E640" i="1"/>
  <c r="D640" i="1"/>
  <c r="C640" i="1"/>
  <c r="E639" i="1"/>
  <c r="D639" i="1"/>
  <c r="C639" i="1"/>
  <c r="E638" i="1"/>
  <c r="D638" i="1"/>
  <c r="C638" i="1"/>
  <c r="E637" i="1"/>
  <c r="D637" i="1"/>
  <c r="C637" i="1"/>
  <c r="E636" i="1"/>
  <c r="D636" i="1"/>
  <c r="C636" i="1"/>
  <c r="E635" i="1"/>
  <c r="D635" i="1"/>
  <c r="C635" i="1"/>
  <c r="E634" i="1"/>
  <c r="D634" i="1"/>
  <c r="C634" i="1"/>
  <c r="E633" i="1"/>
  <c r="D633" i="1"/>
  <c r="C633" i="1"/>
  <c r="E632" i="1"/>
  <c r="D632" i="1"/>
  <c r="C632" i="1"/>
  <c r="E631" i="1"/>
  <c r="D631" i="1"/>
  <c r="C631" i="1"/>
  <c r="E630" i="1"/>
  <c r="D630" i="1"/>
  <c r="C630" i="1"/>
  <c r="E629" i="1"/>
  <c r="D629" i="1"/>
  <c r="C629" i="1"/>
  <c r="E628" i="1"/>
  <c r="D628" i="1"/>
  <c r="C628" i="1"/>
  <c r="E627" i="1"/>
  <c r="D627" i="1"/>
  <c r="C627" i="1"/>
  <c r="E626" i="1"/>
  <c r="D626" i="1"/>
  <c r="C626" i="1"/>
  <c r="E625" i="1"/>
  <c r="D625" i="1"/>
  <c r="C625" i="1"/>
  <c r="E624" i="1"/>
  <c r="D624" i="1"/>
  <c r="C624" i="1"/>
  <c r="E623" i="1"/>
  <c r="D623" i="1"/>
  <c r="C623" i="1"/>
  <c r="E622" i="1"/>
  <c r="D622" i="1"/>
  <c r="C622" i="1"/>
  <c r="E621" i="1"/>
  <c r="D621" i="1"/>
  <c r="C621" i="1"/>
  <c r="E620" i="1"/>
  <c r="D620" i="1"/>
  <c r="C620" i="1"/>
  <c r="E619" i="1"/>
  <c r="D619" i="1"/>
  <c r="C619" i="1"/>
  <c r="E618" i="1"/>
  <c r="D618" i="1"/>
  <c r="C618" i="1"/>
  <c r="E617" i="1"/>
  <c r="D617" i="1"/>
  <c r="C617" i="1"/>
  <c r="E616" i="1"/>
  <c r="D616" i="1"/>
  <c r="C616" i="1"/>
  <c r="E615" i="1"/>
  <c r="D615" i="1"/>
  <c r="C615" i="1"/>
  <c r="E614" i="1"/>
  <c r="D614" i="1"/>
  <c r="C614" i="1"/>
  <c r="E613" i="1"/>
  <c r="D613" i="1"/>
  <c r="C613" i="1"/>
  <c r="E612" i="1"/>
  <c r="D612" i="1"/>
  <c r="C612" i="1"/>
  <c r="E611" i="1"/>
  <c r="D611" i="1"/>
  <c r="C611" i="1"/>
  <c r="E610" i="1"/>
  <c r="D610" i="1"/>
  <c r="C610" i="1"/>
  <c r="E609" i="1"/>
  <c r="D609" i="1"/>
  <c r="C609" i="1"/>
  <c r="E608" i="1"/>
  <c r="D608" i="1"/>
  <c r="C608" i="1"/>
  <c r="E607" i="1"/>
  <c r="D607" i="1"/>
  <c r="C607" i="1"/>
  <c r="E606" i="1"/>
  <c r="D606" i="1"/>
  <c r="C606" i="1"/>
  <c r="E605" i="1"/>
  <c r="D605" i="1"/>
  <c r="C605" i="1"/>
  <c r="E604" i="1"/>
  <c r="D604" i="1"/>
  <c r="C604" i="1"/>
  <c r="E603" i="1"/>
  <c r="D603" i="1"/>
  <c r="C603" i="1"/>
  <c r="E602" i="1"/>
  <c r="D602" i="1"/>
  <c r="C602" i="1"/>
  <c r="E601" i="1"/>
  <c r="D601" i="1"/>
  <c r="C601" i="1"/>
  <c r="E600" i="1"/>
  <c r="D600" i="1"/>
  <c r="C600" i="1"/>
  <c r="E599" i="1"/>
  <c r="D599" i="1"/>
  <c r="C599" i="1"/>
  <c r="E598" i="1"/>
  <c r="D598" i="1"/>
  <c r="C598" i="1"/>
  <c r="E597" i="1"/>
  <c r="D597" i="1"/>
  <c r="C597" i="1"/>
  <c r="E596" i="1"/>
  <c r="D596" i="1"/>
  <c r="C596" i="1"/>
  <c r="E595" i="1"/>
  <c r="D595" i="1"/>
  <c r="C595" i="1"/>
  <c r="E594" i="1"/>
  <c r="D594" i="1"/>
  <c r="C594" i="1"/>
  <c r="E593" i="1"/>
  <c r="D593" i="1"/>
  <c r="C593" i="1"/>
  <c r="E592" i="1"/>
  <c r="D592" i="1"/>
  <c r="C592" i="1"/>
  <c r="E591" i="1"/>
  <c r="D591" i="1"/>
  <c r="C591" i="1"/>
  <c r="E590" i="1"/>
  <c r="D590" i="1"/>
  <c r="C590" i="1"/>
  <c r="E589" i="1"/>
  <c r="D589" i="1"/>
  <c r="C589" i="1"/>
  <c r="E588" i="1"/>
  <c r="D588" i="1"/>
  <c r="C588" i="1"/>
  <c r="E587" i="1"/>
  <c r="D587" i="1"/>
  <c r="C587" i="1"/>
  <c r="E586" i="1"/>
  <c r="D586" i="1"/>
  <c r="C586" i="1"/>
  <c r="E585" i="1"/>
  <c r="D585" i="1"/>
  <c r="C585" i="1"/>
  <c r="E584" i="1"/>
  <c r="D584" i="1"/>
  <c r="C584" i="1"/>
  <c r="E583" i="1"/>
  <c r="D583" i="1"/>
  <c r="C583" i="1"/>
  <c r="E582" i="1"/>
  <c r="D582" i="1"/>
  <c r="C582" i="1"/>
  <c r="E581" i="1"/>
  <c r="D581" i="1"/>
  <c r="C581" i="1"/>
  <c r="E580" i="1"/>
  <c r="D580" i="1"/>
  <c r="C580" i="1"/>
  <c r="E579" i="1"/>
  <c r="D579" i="1"/>
  <c r="C579" i="1"/>
  <c r="E578" i="1"/>
  <c r="D578" i="1"/>
  <c r="C578" i="1"/>
  <c r="E577" i="1"/>
  <c r="D577" i="1"/>
  <c r="C577" i="1"/>
  <c r="E576" i="1"/>
  <c r="D576" i="1"/>
  <c r="C576" i="1"/>
  <c r="E575" i="1"/>
  <c r="D575" i="1"/>
  <c r="C575" i="1"/>
  <c r="E574" i="1"/>
  <c r="D574" i="1"/>
  <c r="C574" i="1"/>
  <c r="E573" i="1"/>
  <c r="D573" i="1"/>
  <c r="C573" i="1"/>
  <c r="E572" i="1"/>
  <c r="D572" i="1"/>
  <c r="C572" i="1"/>
  <c r="E571" i="1"/>
  <c r="D571" i="1"/>
  <c r="C571" i="1"/>
  <c r="E570" i="1"/>
  <c r="D570" i="1"/>
  <c r="C570" i="1"/>
  <c r="E569" i="1"/>
  <c r="D569" i="1"/>
  <c r="C569" i="1"/>
  <c r="E568" i="1"/>
  <c r="D568" i="1"/>
  <c r="C568" i="1"/>
  <c r="E567" i="1"/>
  <c r="D567" i="1"/>
  <c r="C567" i="1"/>
  <c r="E566" i="1"/>
  <c r="D566" i="1"/>
  <c r="C566" i="1"/>
  <c r="E565" i="1"/>
  <c r="D565" i="1"/>
  <c r="C565" i="1"/>
  <c r="E564" i="1"/>
  <c r="D564" i="1"/>
  <c r="C564" i="1"/>
  <c r="E563" i="1"/>
  <c r="D563" i="1"/>
  <c r="C563" i="1"/>
  <c r="E562" i="1"/>
  <c r="D562" i="1"/>
  <c r="C562" i="1"/>
  <c r="E561" i="1"/>
  <c r="D561" i="1"/>
  <c r="C561" i="1"/>
  <c r="E560" i="1"/>
  <c r="D560" i="1"/>
  <c r="C560" i="1"/>
  <c r="E559" i="1"/>
  <c r="D559" i="1"/>
  <c r="C559" i="1"/>
  <c r="E558" i="1"/>
  <c r="D558" i="1"/>
  <c r="C558" i="1"/>
  <c r="E557" i="1"/>
  <c r="D557" i="1"/>
  <c r="C557" i="1"/>
  <c r="E556" i="1"/>
  <c r="D556" i="1"/>
  <c r="C556" i="1"/>
  <c r="E555" i="1"/>
  <c r="D555" i="1"/>
  <c r="C555" i="1"/>
  <c r="E554" i="1"/>
  <c r="D554" i="1"/>
  <c r="C554" i="1"/>
  <c r="E553" i="1"/>
  <c r="D553" i="1"/>
  <c r="C553" i="1"/>
  <c r="E552" i="1"/>
  <c r="D552" i="1"/>
  <c r="C552" i="1"/>
  <c r="E551" i="1"/>
  <c r="D551" i="1"/>
  <c r="C551" i="1"/>
  <c r="E550" i="1"/>
  <c r="D550" i="1"/>
  <c r="C550" i="1"/>
  <c r="E549" i="1"/>
  <c r="D549" i="1"/>
  <c r="C549" i="1"/>
  <c r="E548" i="1"/>
  <c r="D548" i="1"/>
  <c r="C548" i="1"/>
  <c r="E547" i="1"/>
  <c r="D547" i="1"/>
  <c r="C547" i="1"/>
  <c r="E546" i="1"/>
  <c r="D546" i="1"/>
  <c r="C546" i="1"/>
  <c r="E545" i="1"/>
  <c r="D545" i="1"/>
  <c r="C545" i="1"/>
  <c r="E544" i="1"/>
  <c r="D544" i="1"/>
  <c r="C544" i="1"/>
  <c r="E543" i="1"/>
  <c r="D543" i="1"/>
  <c r="C543" i="1"/>
  <c r="E542" i="1"/>
  <c r="D542" i="1"/>
  <c r="C542" i="1"/>
  <c r="E541" i="1"/>
  <c r="D541" i="1"/>
  <c r="C541" i="1"/>
  <c r="E540" i="1"/>
  <c r="D540" i="1"/>
  <c r="C540" i="1"/>
  <c r="E539" i="1"/>
  <c r="D539" i="1"/>
  <c r="C539" i="1"/>
  <c r="E538" i="1"/>
  <c r="D538" i="1"/>
  <c r="C538" i="1"/>
  <c r="E537" i="1"/>
  <c r="D537" i="1"/>
  <c r="C537" i="1"/>
  <c r="E536" i="1"/>
  <c r="D536" i="1"/>
  <c r="C536" i="1"/>
  <c r="E535" i="1"/>
  <c r="D535" i="1"/>
  <c r="C535" i="1"/>
  <c r="E534" i="1"/>
  <c r="D534" i="1"/>
  <c r="C534" i="1"/>
  <c r="E533" i="1"/>
  <c r="D533" i="1"/>
  <c r="C533" i="1"/>
  <c r="E532" i="1"/>
  <c r="D532" i="1"/>
  <c r="C532" i="1"/>
  <c r="E531" i="1"/>
  <c r="D531" i="1"/>
  <c r="C531" i="1"/>
  <c r="E530" i="1"/>
  <c r="D530" i="1"/>
  <c r="C530" i="1"/>
  <c r="E529" i="1"/>
  <c r="D529" i="1"/>
  <c r="C529" i="1"/>
  <c r="E528" i="1"/>
  <c r="D528" i="1"/>
  <c r="C528" i="1"/>
  <c r="E527" i="1"/>
  <c r="D527" i="1"/>
  <c r="C527" i="1"/>
  <c r="E526" i="1"/>
  <c r="D526" i="1"/>
  <c r="C526" i="1"/>
  <c r="E525" i="1"/>
  <c r="D525" i="1"/>
  <c r="C525" i="1"/>
  <c r="E524" i="1"/>
  <c r="D524" i="1"/>
  <c r="C524" i="1"/>
  <c r="E523" i="1"/>
  <c r="D523" i="1"/>
  <c r="C523" i="1"/>
  <c r="E522" i="1"/>
  <c r="D522" i="1"/>
  <c r="C522" i="1"/>
  <c r="E521" i="1"/>
  <c r="D521" i="1"/>
  <c r="C521" i="1"/>
  <c r="E520" i="1"/>
  <c r="D520" i="1"/>
  <c r="C520" i="1"/>
  <c r="E519" i="1"/>
  <c r="D519" i="1"/>
  <c r="C519" i="1"/>
  <c r="E518" i="1"/>
  <c r="D518" i="1"/>
  <c r="C518" i="1"/>
  <c r="E517" i="1"/>
  <c r="D517" i="1"/>
  <c r="C517" i="1"/>
  <c r="E516" i="1"/>
  <c r="D516" i="1"/>
  <c r="C516" i="1"/>
  <c r="E515" i="1"/>
  <c r="D515" i="1"/>
  <c r="C515" i="1"/>
  <c r="E514" i="1"/>
  <c r="D514" i="1"/>
  <c r="C514" i="1"/>
  <c r="E513" i="1"/>
  <c r="D513" i="1"/>
  <c r="C513" i="1"/>
  <c r="E512" i="1"/>
  <c r="D512" i="1"/>
  <c r="C512" i="1"/>
  <c r="E511" i="1"/>
  <c r="D511" i="1"/>
  <c r="C511" i="1"/>
  <c r="E510" i="1"/>
  <c r="D510" i="1"/>
  <c r="C510" i="1"/>
  <c r="E509" i="1"/>
  <c r="D509" i="1"/>
  <c r="C509" i="1"/>
  <c r="E508" i="1"/>
  <c r="D508" i="1"/>
  <c r="C508" i="1"/>
  <c r="E507" i="1"/>
  <c r="D507" i="1"/>
  <c r="C507" i="1"/>
  <c r="E506" i="1"/>
  <c r="D506" i="1"/>
  <c r="C506" i="1"/>
  <c r="E505" i="1"/>
  <c r="D505" i="1"/>
  <c r="C505" i="1"/>
  <c r="E504" i="1"/>
  <c r="D504" i="1"/>
  <c r="C504" i="1"/>
  <c r="E503" i="1"/>
  <c r="D503" i="1"/>
  <c r="C503" i="1"/>
  <c r="E502" i="1"/>
  <c r="D502" i="1"/>
  <c r="C502" i="1"/>
  <c r="E501" i="1"/>
  <c r="D501" i="1"/>
  <c r="C501" i="1"/>
  <c r="E500" i="1"/>
  <c r="D500" i="1"/>
  <c r="C500" i="1"/>
  <c r="E499" i="1"/>
  <c r="D499" i="1"/>
  <c r="C499" i="1"/>
  <c r="E498" i="1"/>
  <c r="D498" i="1"/>
  <c r="C498" i="1"/>
  <c r="E497" i="1"/>
  <c r="D497" i="1"/>
  <c r="C497" i="1"/>
  <c r="E496" i="1"/>
  <c r="D496" i="1"/>
  <c r="C496" i="1"/>
  <c r="E495" i="1"/>
  <c r="D495" i="1"/>
  <c r="C495" i="1"/>
  <c r="E494" i="1"/>
  <c r="D494" i="1"/>
  <c r="C494" i="1"/>
  <c r="E493" i="1"/>
  <c r="D493" i="1"/>
  <c r="C493" i="1"/>
  <c r="E492" i="1"/>
  <c r="D492" i="1"/>
  <c r="C492" i="1"/>
  <c r="E491" i="1"/>
  <c r="D491" i="1"/>
  <c r="C491" i="1"/>
  <c r="E490" i="1"/>
  <c r="D490" i="1"/>
  <c r="C490" i="1"/>
  <c r="E489" i="1"/>
  <c r="D489" i="1"/>
  <c r="C489" i="1"/>
  <c r="E488" i="1"/>
  <c r="D488" i="1"/>
  <c r="C488" i="1"/>
  <c r="E487" i="1"/>
  <c r="D487" i="1"/>
  <c r="C487" i="1"/>
  <c r="E486" i="1"/>
  <c r="D486" i="1"/>
  <c r="C486" i="1"/>
  <c r="E485" i="1"/>
  <c r="D485" i="1"/>
  <c r="C485" i="1"/>
  <c r="E484" i="1"/>
  <c r="D484" i="1"/>
  <c r="C484" i="1"/>
  <c r="E483" i="1"/>
  <c r="D483" i="1"/>
  <c r="C483" i="1"/>
  <c r="E482" i="1"/>
  <c r="D482" i="1"/>
  <c r="C482" i="1"/>
  <c r="E481" i="1"/>
  <c r="D481" i="1"/>
  <c r="C481" i="1"/>
  <c r="E480" i="1"/>
  <c r="D480" i="1"/>
  <c r="C480" i="1"/>
  <c r="E479" i="1"/>
  <c r="D479" i="1"/>
  <c r="C479" i="1"/>
  <c r="E478" i="1"/>
  <c r="D478" i="1"/>
  <c r="C478" i="1"/>
  <c r="E477" i="1"/>
  <c r="D477" i="1"/>
  <c r="C477" i="1"/>
  <c r="E476" i="1"/>
  <c r="D476" i="1"/>
  <c r="C476" i="1"/>
  <c r="E475" i="1"/>
  <c r="D475" i="1"/>
  <c r="C475" i="1"/>
  <c r="E474" i="1"/>
  <c r="D474" i="1"/>
  <c r="C474" i="1"/>
  <c r="E473" i="1"/>
  <c r="D473" i="1"/>
  <c r="C473" i="1"/>
  <c r="E472" i="1"/>
  <c r="D472" i="1"/>
  <c r="C472" i="1"/>
  <c r="E471" i="1"/>
  <c r="D471" i="1"/>
  <c r="C471" i="1"/>
  <c r="E470" i="1"/>
  <c r="D470" i="1"/>
  <c r="C470" i="1"/>
  <c r="E469" i="1"/>
  <c r="D469" i="1"/>
  <c r="C469" i="1"/>
  <c r="E468" i="1"/>
  <c r="D468" i="1"/>
  <c r="C468" i="1"/>
  <c r="E467" i="1"/>
  <c r="D467" i="1"/>
  <c r="C467" i="1"/>
  <c r="E466" i="1"/>
  <c r="D466" i="1"/>
  <c r="C466" i="1"/>
  <c r="E465" i="1"/>
  <c r="D465" i="1"/>
  <c r="C465" i="1"/>
  <c r="E464" i="1"/>
  <c r="D464" i="1"/>
  <c r="C464" i="1"/>
  <c r="E463" i="1"/>
  <c r="D463" i="1"/>
  <c r="C463" i="1"/>
  <c r="E462" i="1"/>
  <c r="D462" i="1"/>
  <c r="C462" i="1"/>
  <c r="E461" i="1"/>
  <c r="D461" i="1"/>
  <c r="C461" i="1"/>
  <c r="E460" i="1"/>
  <c r="D460" i="1"/>
  <c r="C460" i="1"/>
  <c r="E459" i="1"/>
  <c r="D459" i="1"/>
  <c r="C459" i="1"/>
  <c r="E458" i="1"/>
  <c r="D458" i="1"/>
  <c r="C458" i="1"/>
  <c r="E457" i="1"/>
  <c r="D457" i="1"/>
  <c r="C457" i="1"/>
  <c r="E456" i="1"/>
  <c r="D456" i="1"/>
  <c r="C456" i="1"/>
  <c r="E455" i="1"/>
  <c r="D455" i="1"/>
  <c r="C455" i="1"/>
  <c r="E454" i="1"/>
  <c r="D454" i="1"/>
  <c r="C454" i="1"/>
  <c r="E453" i="1"/>
  <c r="D453" i="1"/>
  <c r="C453" i="1"/>
  <c r="E452" i="1"/>
  <c r="D452" i="1"/>
  <c r="C452" i="1"/>
  <c r="E451" i="1"/>
  <c r="D451" i="1"/>
  <c r="C451" i="1"/>
  <c r="E450" i="1"/>
  <c r="D450" i="1"/>
  <c r="C450" i="1"/>
  <c r="E449" i="1"/>
  <c r="D449" i="1"/>
  <c r="C449" i="1"/>
  <c r="E448" i="1"/>
  <c r="D448" i="1"/>
  <c r="C448" i="1"/>
  <c r="E447" i="1"/>
  <c r="D447" i="1"/>
  <c r="C447" i="1"/>
  <c r="E446" i="1"/>
  <c r="D446" i="1"/>
  <c r="C446" i="1"/>
  <c r="E445" i="1"/>
  <c r="D445" i="1"/>
  <c r="C445" i="1"/>
  <c r="E444" i="1"/>
  <c r="D444" i="1"/>
  <c r="C444" i="1"/>
  <c r="E443" i="1"/>
  <c r="D443" i="1"/>
  <c r="C443" i="1"/>
  <c r="E442" i="1"/>
  <c r="D442" i="1"/>
  <c r="C442" i="1"/>
  <c r="E441" i="1"/>
  <c r="D441" i="1"/>
  <c r="C441" i="1"/>
  <c r="E440" i="1"/>
  <c r="D440" i="1"/>
  <c r="C440" i="1"/>
  <c r="E439" i="1"/>
  <c r="D439" i="1"/>
  <c r="C439" i="1"/>
  <c r="E438" i="1"/>
  <c r="D438" i="1"/>
  <c r="C438" i="1"/>
  <c r="E437" i="1"/>
  <c r="D437" i="1"/>
  <c r="C437" i="1"/>
  <c r="E436" i="1"/>
  <c r="D436" i="1"/>
  <c r="C436" i="1"/>
  <c r="E435" i="1"/>
  <c r="D435" i="1"/>
  <c r="C435" i="1"/>
  <c r="E434" i="1"/>
  <c r="D434" i="1"/>
  <c r="C434" i="1"/>
  <c r="E433" i="1"/>
  <c r="D433" i="1"/>
  <c r="C433" i="1"/>
  <c r="E432" i="1"/>
  <c r="D432" i="1"/>
  <c r="C432" i="1"/>
  <c r="E431" i="1"/>
  <c r="D431" i="1"/>
  <c r="C431" i="1"/>
  <c r="E430" i="1"/>
  <c r="D430" i="1"/>
  <c r="C430" i="1"/>
  <c r="E429" i="1"/>
  <c r="D429" i="1"/>
  <c r="C429" i="1"/>
  <c r="E428" i="1"/>
  <c r="D428" i="1"/>
  <c r="C428" i="1"/>
  <c r="E427" i="1"/>
  <c r="D427" i="1"/>
  <c r="C427" i="1"/>
  <c r="E426" i="1"/>
  <c r="D426" i="1"/>
  <c r="C426" i="1"/>
  <c r="E425" i="1"/>
  <c r="D425" i="1"/>
  <c r="C425" i="1"/>
  <c r="E424" i="1"/>
  <c r="D424" i="1"/>
  <c r="C424" i="1"/>
  <c r="E423" i="1"/>
  <c r="D423" i="1"/>
  <c r="C423" i="1"/>
  <c r="E422" i="1"/>
  <c r="D422" i="1"/>
  <c r="C422" i="1"/>
  <c r="E421" i="1"/>
  <c r="D421" i="1"/>
  <c r="C421" i="1"/>
  <c r="E420" i="1"/>
  <c r="D420" i="1"/>
  <c r="C420" i="1"/>
  <c r="E419" i="1"/>
  <c r="D419" i="1"/>
  <c r="C419" i="1"/>
  <c r="E418" i="1"/>
  <c r="D418" i="1"/>
  <c r="C418" i="1"/>
  <c r="E417" i="1"/>
  <c r="D417" i="1"/>
  <c r="C417" i="1"/>
  <c r="E416" i="1"/>
  <c r="D416" i="1"/>
  <c r="C416" i="1"/>
  <c r="E415" i="1"/>
  <c r="D415" i="1"/>
  <c r="C415" i="1"/>
  <c r="E414" i="1"/>
  <c r="D414" i="1"/>
  <c r="C414" i="1"/>
  <c r="E413" i="1"/>
  <c r="D413" i="1"/>
  <c r="C413" i="1"/>
  <c r="E412" i="1"/>
  <c r="D412" i="1"/>
  <c r="C412" i="1"/>
  <c r="E411" i="1"/>
  <c r="D411" i="1"/>
  <c r="C411" i="1"/>
  <c r="E410" i="1"/>
  <c r="D410" i="1"/>
  <c r="C410" i="1"/>
  <c r="E409" i="1"/>
  <c r="D409" i="1"/>
  <c r="C409" i="1"/>
  <c r="E408" i="1"/>
  <c r="D408" i="1"/>
  <c r="C408" i="1"/>
  <c r="E407" i="1"/>
  <c r="D407" i="1"/>
  <c r="C407" i="1"/>
  <c r="E406" i="1"/>
  <c r="D406" i="1"/>
  <c r="C406" i="1"/>
  <c r="E405" i="1"/>
  <c r="D405" i="1"/>
  <c r="C405" i="1"/>
  <c r="E404" i="1"/>
  <c r="D404" i="1"/>
  <c r="C404" i="1"/>
  <c r="E403" i="1"/>
  <c r="D403" i="1"/>
  <c r="C403" i="1"/>
  <c r="E402" i="1"/>
  <c r="D402" i="1"/>
  <c r="C402" i="1"/>
  <c r="E401" i="1"/>
  <c r="D401" i="1"/>
  <c r="C401" i="1"/>
  <c r="E400" i="1"/>
  <c r="D400" i="1"/>
  <c r="C400" i="1"/>
  <c r="E399" i="1"/>
  <c r="D399" i="1"/>
  <c r="C399" i="1"/>
  <c r="E398" i="1"/>
  <c r="D398" i="1"/>
  <c r="C398" i="1"/>
  <c r="E397" i="1"/>
  <c r="D397" i="1"/>
  <c r="C397" i="1"/>
  <c r="E396" i="1"/>
  <c r="D396" i="1"/>
  <c r="C396" i="1"/>
  <c r="E395" i="1"/>
  <c r="D395" i="1"/>
  <c r="C395" i="1"/>
  <c r="E394" i="1"/>
  <c r="D394" i="1"/>
  <c r="C394" i="1"/>
  <c r="E393" i="1"/>
  <c r="D393" i="1"/>
  <c r="C393" i="1"/>
  <c r="E392" i="1"/>
  <c r="D392" i="1"/>
  <c r="C392" i="1"/>
  <c r="E391" i="1"/>
  <c r="D391" i="1"/>
  <c r="C391" i="1"/>
  <c r="E390" i="1"/>
  <c r="D390" i="1"/>
  <c r="C390" i="1"/>
  <c r="E389" i="1"/>
  <c r="D389" i="1"/>
  <c r="C389" i="1"/>
  <c r="E388" i="1"/>
  <c r="D388" i="1"/>
  <c r="C388" i="1"/>
  <c r="E387" i="1"/>
  <c r="D387" i="1"/>
  <c r="C387" i="1"/>
  <c r="E386" i="1"/>
  <c r="D386" i="1"/>
  <c r="C386" i="1"/>
  <c r="E385" i="1"/>
  <c r="D385" i="1"/>
  <c r="C385" i="1"/>
  <c r="E384" i="1"/>
  <c r="D384" i="1"/>
  <c r="C384" i="1"/>
  <c r="E383" i="1"/>
  <c r="D383" i="1"/>
  <c r="C383" i="1"/>
  <c r="E382" i="1"/>
  <c r="D382" i="1"/>
  <c r="C382" i="1"/>
  <c r="E381" i="1"/>
  <c r="D381" i="1"/>
  <c r="C381" i="1"/>
  <c r="E380" i="1"/>
  <c r="D380" i="1"/>
  <c r="C380" i="1"/>
  <c r="E379" i="1"/>
  <c r="D379" i="1"/>
  <c r="C379" i="1"/>
  <c r="E378" i="1"/>
  <c r="D378" i="1"/>
  <c r="C378" i="1"/>
  <c r="E377" i="1"/>
  <c r="D377" i="1"/>
  <c r="C377" i="1"/>
  <c r="E376" i="1"/>
  <c r="D376" i="1"/>
  <c r="C376" i="1"/>
  <c r="E375" i="1"/>
  <c r="D375" i="1"/>
  <c r="C375" i="1"/>
  <c r="E374" i="1"/>
  <c r="D374" i="1"/>
  <c r="C374" i="1"/>
  <c r="E373" i="1"/>
  <c r="D373" i="1"/>
  <c r="C373" i="1"/>
  <c r="E372" i="1"/>
  <c r="D372" i="1"/>
  <c r="C372" i="1"/>
  <c r="E371" i="1"/>
  <c r="D371" i="1"/>
  <c r="C371" i="1"/>
  <c r="E370" i="1"/>
  <c r="D370" i="1"/>
  <c r="C370" i="1"/>
  <c r="E369" i="1"/>
  <c r="D369" i="1"/>
  <c r="C369" i="1"/>
  <c r="E368" i="1"/>
  <c r="D368" i="1"/>
  <c r="C368" i="1"/>
  <c r="E367" i="1"/>
  <c r="D367" i="1"/>
  <c r="C367" i="1"/>
  <c r="E366" i="1"/>
  <c r="D366" i="1"/>
  <c r="C366" i="1"/>
  <c r="E365" i="1"/>
  <c r="D365" i="1"/>
  <c r="C365" i="1"/>
  <c r="E364" i="1"/>
  <c r="D364" i="1"/>
  <c r="C364" i="1"/>
  <c r="E363" i="1"/>
  <c r="D363" i="1"/>
  <c r="C363" i="1"/>
  <c r="E362" i="1"/>
  <c r="D362" i="1"/>
  <c r="C362" i="1"/>
  <c r="E361" i="1"/>
  <c r="D361" i="1"/>
  <c r="C361" i="1"/>
  <c r="E360" i="1"/>
  <c r="D360" i="1"/>
  <c r="C360" i="1"/>
  <c r="E359" i="1"/>
  <c r="D359" i="1"/>
  <c r="C359" i="1"/>
  <c r="E358" i="1"/>
  <c r="D358" i="1"/>
  <c r="C358" i="1"/>
  <c r="E357" i="1"/>
  <c r="D357" i="1"/>
  <c r="C357" i="1"/>
  <c r="E356" i="1"/>
  <c r="D356" i="1"/>
  <c r="C356" i="1"/>
  <c r="E355" i="1"/>
  <c r="D355" i="1"/>
  <c r="C355" i="1"/>
  <c r="E354" i="1"/>
  <c r="D354" i="1"/>
  <c r="C354" i="1"/>
  <c r="E353" i="1"/>
  <c r="D353" i="1"/>
  <c r="C353" i="1"/>
  <c r="E352" i="1"/>
  <c r="D352" i="1"/>
  <c r="C352" i="1"/>
  <c r="E351" i="1"/>
  <c r="D351" i="1"/>
  <c r="C351" i="1"/>
  <c r="E350" i="1"/>
  <c r="D350" i="1"/>
  <c r="C350" i="1"/>
  <c r="E349" i="1"/>
  <c r="D349" i="1"/>
  <c r="C349" i="1"/>
  <c r="E348" i="1"/>
  <c r="D348" i="1"/>
  <c r="C348" i="1"/>
  <c r="E347" i="1"/>
  <c r="D347" i="1"/>
  <c r="C347" i="1"/>
  <c r="E346" i="1"/>
  <c r="D346" i="1"/>
  <c r="C346" i="1"/>
  <c r="E345" i="1"/>
  <c r="D345" i="1"/>
  <c r="C345" i="1"/>
  <c r="E344" i="1"/>
  <c r="D344" i="1"/>
  <c r="C344" i="1"/>
  <c r="E343" i="1"/>
  <c r="D343" i="1"/>
  <c r="C343" i="1"/>
  <c r="E342" i="1"/>
  <c r="D342" i="1"/>
  <c r="C342" i="1"/>
  <c r="E341" i="1"/>
  <c r="D341" i="1"/>
  <c r="C341" i="1"/>
  <c r="E340" i="1"/>
  <c r="D340" i="1"/>
  <c r="C340" i="1"/>
  <c r="E339" i="1"/>
  <c r="D339" i="1"/>
  <c r="C339" i="1"/>
  <c r="E338" i="1"/>
  <c r="D338" i="1"/>
  <c r="C338" i="1"/>
  <c r="E337" i="1"/>
  <c r="D337" i="1"/>
  <c r="C337" i="1"/>
  <c r="E336" i="1"/>
  <c r="D336" i="1"/>
  <c r="C336" i="1"/>
  <c r="E335" i="1"/>
  <c r="D335" i="1"/>
  <c r="C335" i="1"/>
  <c r="E334" i="1"/>
  <c r="D334" i="1"/>
  <c r="C334" i="1"/>
  <c r="E333" i="1"/>
  <c r="D333" i="1"/>
  <c r="C333" i="1"/>
  <c r="E332" i="1"/>
  <c r="D332" i="1"/>
  <c r="C332" i="1"/>
  <c r="E331" i="1"/>
  <c r="D331" i="1"/>
  <c r="C331" i="1"/>
  <c r="E330" i="1"/>
  <c r="D330" i="1"/>
  <c r="C330" i="1"/>
  <c r="E329" i="1"/>
  <c r="D329" i="1"/>
  <c r="C329" i="1"/>
  <c r="E328" i="1"/>
  <c r="D328" i="1"/>
  <c r="C328" i="1"/>
  <c r="E327" i="1"/>
  <c r="D327" i="1"/>
  <c r="C327" i="1"/>
  <c r="E326" i="1"/>
  <c r="D326" i="1"/>
  <c r="C326" i="1"/>
  <c r="E325" i="1"/>
  <c r="D325" i="1"/>
  <c r="C325" i="1"/>
  <c r="E324" i="1"/>
  <c r="D324" i="1"/>
  <c r="C324" i="1"/>
  <c r="E323" i="1"/>
  <c r="D323" i="1"/>
  <c r="C323" i="1"/>
  <c r="E322" i="1"/>
  <c r="D322" i="1"/>
  <c r="C322" i="1"/>
  <c r="E321" i="1"/>
  <c r="D321" i="1"/>
  <c r="C321" i="1"/>
  <c r="E320" i="1"/>
  <c r="D320" i="1"/>
  <c r="C320" i="1"/>
  <c r="E319" i="1"/>
  <c r="D319" i="1"/>
  <c r="C319" i="1"/>
  <c r="E318" i="1"/>
  <c r="D318" i="1"/>
  <c r="C318" i="1"/>
  <c r="E317" i="1"/>
  <c r="D317" i="1"/>
  <c r="C317" i="1"/>
  <c r="E316" i="1"/>
  <c r="D316" i="1"/>
  <c r="C316" i="1"/>
  <c r="E315" i="1"/>
  <c r="D315" i="1"/>
  <c r="C315" i="1"/>
  <c r="E314" i="1"/>
  <c r="D314" i="1"/>
  <c r="C314" i="1"/>
  <c r="E313" i="1"/>
  <c r="D313" i="1"/>
  <c r="C313" i="1"/>
  <c r="E312" i="1"/>
  <c r="D312" i="1"/>
  <c r="C312" i="1"/>
  <c r="E311" i="1"/>
  <c r="D311" i="1"/>
  <c r="C311" i="1"/>
  <c r="E310" i="1"/>
  <c r="D310" i="1"/>
  <c r="C310" i="1"/>
  <c r="E309" i="1"/>
  <c r="D309" i="1"/>
  <c r="C309" i="1"/>
  <c r="E308" i="1"/>
  <c r="D308" i="1"/>
  <c r="C308" i="1"/>
  <c r="E307" i="1"/>
  <c r="D307" i="1"/>
  <c r="C307" i="1"/>
  <c r="E306" i="1"/>
  <c r="D306" i="1"/>
  <c r="C306" i="1"/>
  <c r="E305" i="1"/>
  <c r="D305" i="1"/>
  <c r="C305" i="1"/>
  <c r="E304" i="1"/>
  <c r="D304" i="1"/>
  <c r="C304" i="1"/>
  <c r="E303" i="1"/>
  <c r="D303" i="1"/>
  <c r="C303" i="1"/>
  <c r="E302" i="1"/>
  <c r="D302" i="1"/>
  <c r="C302" i="1"/>
  <c r="E301" i="1"/>
  <c r="D301" i="1"/>
  <c r="C301" i="1"/>
  <c r="E300" i="1"/>
  <c r="D300" i="1"/>
  <c r="C300" i="1"/>
  <c r="E299" i="1"/>
  <c r="D299" i="1"/>
  <c r="C299" i="1"/>
  <c r="E298" i="1"/>
  <c r="D298" i="1"/>
  <c r="C298" i="1"/>
  <c r="E297" i="1"/>
  <c r="D297" i="1"/>
  <c r="C297" i="1"/>
  <c r="E296" i="1"/>
  <c r="D296" i="1"/>
  <c r="C296" i="1"/>
  <c r="E295" i="1"/>
  <c r="D295" i="1"/>
  <c r="C295" i="1"/>
  <c r="E294" i="1"/>
  <c r="D294" i="1"/>
  <c r="C294" i="1"/>
  <c r="E293" i="1"/>
  <c r="D293" i="1"/>
  <c r="C293" i="1"/>
  <c r="E292" i="1"/>
  <c r="D292" i="1"/>
  <c r="C292" i="1"/>
  <c r="E291" i="1"/>
  <c r="D291" i="1"/>
  <c r="C291" i="1"/>
  <c r="E290" i="1"/>
  <c r="D290" i="1"/>
  <c r="C290" i="1"/>
  <c r="E289" i="1"/>
  <c r="D289" i="1"/>
  <c r="C289" i="1"/>
  <c r="E288" i="1"/>
  <c r="D288" i="1"/>
  <c r="C288" i="1"/>
  <c r="E287" i="1"/>
  <c r="D287" i="1"/>
  <c r="C287" i="1"/>
  <c r="E286" i="1"/>
  <c r="D286" i="1"/>
  <c r="C286" i="1"/>
  <c r="E285" i="1"/>
  <c r="D285" i="1"/>
  <c r="C285" i="1"/>
  <c r="E284" i="1"/>
  <c r="D284" i="1"/>
  <c r="C284" i="1"/>
  <c r="E283" i="1"/>
  <c r="D283" i="1"/>
  <c r="C283" i="1"/>
  <c r="E282" i="1"/>
  <c r="D282" i="1"/>
  <c r="C282" i="1"/>
  <c r="E281" i="1"/>
  <c r="D281" i="1"/>
  <c r="C281" i="1"/>
  <c r="E280" i="1"/>
  <c r="D280" i="1"/>
  <c r="C280" i="1"/>
  <c r="E279" i="1"/>
  <c r="D279" i="1"/>
  <c r="C279" i="1"/>
  <c r="E278" i="1"/>
  <c r="D278" i="1"/>
  <c r="C278" i="1"/>
  <c r="E277" i="1"/>
  <c r="D277" i="1"/>
  <c r="C277" i="1"/>
  <c r="E276" i="1"/>
  <c r="D276" i="1"/>
  <c r="C276" i="1"/>
  <c r="E275" i="1"/>
  <c r="D275" i="1"/>
  <c r="C275" i="1"/>
  <c r="E274" i="1"/>
  <c r="D274" i="1"/>
  <c r="C274" i="1"/>
  <c r="E273" i="1"/>
  <c r="D273" i="1"/>
  <c r="C273" i="1"/>
  <c r="E272" i="1"/>
  <c r="D272" i="1"/>
  <c r="C272" i="1"/>
  <c r="E271" i="1"/>
  <c r="D271" i="1"/>
  <c r="C271" i="1"/>
  <c r="E270" i="1"/>
  <c r="D270" i="1"/>
  <c r="C270" i="1"/>
  <c r="E269" i="1"/>
  <c r="D269" i="1"/>
  <c r="C269" i="1"/>
  <c r="E268" i="1"/>
  <c r="D268" i="1"/>
  <c r="C268" i="1"/>
  <c r="E267" i="1"/>
  <c r="D267" i="1"/>
  <c r="C267" i="1"/>
  <c r="E266" i="1"/>
  <c r="D266" i="1"/>
  <c r="C266" i="1"/>
  <c r="E265" i="1"/>
  <c r="D265" i="1"/>
  <c r="C265" i="1"/>
  <c r="E264" i="1"/>
  <c r="D264" i="1"/>
  <c r="C264" i="1"/>
  <c r="E263" i="1"/>
  <c r="D263" i="1"/>
  <c r="C263" i="1"/>
  <c r="E262" i="1"/>
  <c r="D262" i="1"/>
  <c r="C262" i="1"/>
  <c r="E261" i="1"/>
  <c r="D261" i="1"/>
  <c r="C261" i="1"/>
  <c r="E260" i="1"/>
  <c r="D260" i="1"/>
  <c r="C260" i="1"/>
  <c r="E259" i="1"/>
  <c r="D259" i="1"/>
  <c r="C259" i="1"/>
  <c r="E258" i="1"/>
  <c r="D258" i="1"/>
  <c r="C258" i="1"/>
  <c r="E257" i="1"/>
  <c r="D257" i="1"/>
  <c r="C257" i="1"/>
  <c r="E256" i="1"/>
  <c r="D256" i="1"/>
  <c r="C256" i="1"/>
  <c r="E255" i="1"/>
  <c r="D255" i="1"/>
  <c r="C255" i="1"/>
  <c r="E254" i="1"/>
  <c r="D254" i="1"/>
  <c r="C254" i="1"/>
  <c r="E253" i="1"/>
  <c r="D253" i="1"/>
  <c r="C253" i="1"/>
  <c r="E252" i="1"/>
  <c r="D252" i="1"/>
  <c r="C252" i="1"/>
  <c r="E251" i="1"/>
  <c r="D251" i="1"/>
  <c r="C251" i="1"/>
  <c r="E250" i="1"/>
  <c r="D250" i="1"/>
  <c r="C250" i="1"/>
  <c r="E249" i="1"/>
  <c r="D249" i="1"/>
  <c r="C249" i="1"/>
  <c r="E248" i="1"/>
  <c r="D248" i="1"/>
  <c r="C248" i="1"/>
  <c r="E247" i="1"/>
  <c r="D247" i="1"/>
  <c r="C247" i="1"/>
  <c r="E246" i="1"/>
  <c r="D246" i="1"/>
  <c r="C246" i="1"/>
  <c r="E245" i="1"/>
  <c r="D245" i="1"/>
  <c r="C245" i="1"/>
  <c r="E244" i="1"/>
  <c r="D244" i="1"/>
  <c r="C244" i="1"/>
  <c r="E243" i="1"/>
  <c r="D243" i="1"/>
  <c r="C243" i="1"/>
  <c r="E242" i="1"/>
  <c r="D242" i="1"/>
  <c r="C242" i="1"/>
  <c r="E241" i="1"/>
  <c r="D241" i="1"/>
  <c r="C241" i="1"/>
  <c r="E240" i="1"/>
  <c r="D240" i="1"/>
  <c r="C240" i="1"/>
  <c r="E239" i="1"/>
  <c r="D239" i="1"/>
  <c r="C239" i="1"/>
  <c r="E238" i="1"/>
  <c r="D238" i="1"/>
  <c r="C238" i="1"/>
  <c r="E237" i="1"/>
  <c r="D237" i="1"/>
  <c r="C237" i="1"/>
  <c r="E236" i="1"/>
  <c r="D236" i="1"/>
  <c r="C236" i="1"/>
  <c r="E235" i="1"/>
  <c r="D235" i="1"/>
  <c r="C235" i="1"/>
  <c r="E234" i="1"/>
  <c r="D234" i="1"/>
  <c r="C234" i="1"/>
  <c r="E233" i="1"/>
  <c r="D233" i="1"/>
  <c r="C233" i="1"/>
  <c r="E232" i="1"/>
  <c r="D232" i="1"/>
  <c r="C232" i="1"/>
  <c r="E231" i="1"/>
  <c r="D231" i="1"/>
  <c r="C231" i="1"/>
  <c r="E230" i="1"/>
  <c r="D230" i="1"/>
  <c r="C230" i="1"/>
  <c r="E229" i="1"/>
  <c r="D229" i="1"/>
  <c r="C229" i="1"/>
  <c r="E228" i="1"/>
  <c r="D228" i="1"/>
  <c r="C228" i="1"/>
  <c r="E227" i="1"/>
  <c r="D227" i="1"/>
  <c r="C227" i="1"/>
  <c r="E226" i="1"/>
  <c r="D226" i="1"/>
  <c r="C226" i="1"/>
  <c r="E225" i="1"/>
  <c r="D225" i="1"/>
  <c r="C225" i="1"/>
  <c r="E224" i="1"/>
  <c r="D224" i="1"/>
  <c r="C224" i="1"/>
  <c r="E223" i="1"/>
  <c r="D223" i="1"/>
  <c r="C223" i="1"/>
  <c r="E222" i="1"/>
  <c r="D222" i="1"/>
  <c r="C222" i="1"/>
  <c r="E221" i="1"/>
  <c r="D221" i="1"/>
  <c r="C221" i="1"/>
  <c r="E220" i="1"/>
  <c r="D220" i="1"/>
  <c r="C220" i="1"/>
  <c r="E219" i="1"/>
  <c r="D219" i="1"/>
  <c r="C219" i="1"/>
  <c r="E218" i="1"/>
  <c r="D218" i="1"/>
  <c r="C218" i="1"/>
  <c r="E217" i="1"/>
  <c r="D217" i="1"/>
  <c r="C217" i="1"/>
  <c r="E216" i="1"/>
  <c r="D216" i="1"/>
  <c r="C216" i="1"/>
  <c r="E215" i="1"/>
  <c r="D215" i="1"/>
  <c r="C215" i="1"/>
  <c r="E214" i="1"/>
  <c r="D214" i="1"/>
  <c r="C214" i="1"/>
  <c r="E213" i="1"/>
  <c r="D213" i="1"/>
  <c r="C213" i="1"/>
  <c r="E212" i="1"/>
  <c r="D212" i="1"/>
  <c r="C212" i="1"/>
  <c r="E211" i="1"/>
  <c r="D211" i="1"/>
  <c r="C211" i="1"/>
  <c r="E210" i="1"/>
  <c r="D210" i="1"/>
  <c r="C210" i="1"/>
  <c r="E209" i="1"/>
  <c r="D209" i="1"/>
  <c r="C209" i="1"/>
  <c r="E208" i="1"/>
  <c r="D208" i="1"/>
  <c r="C208" i="1"/>
  <c r="E207" i="1"/>
  <c r="D207" i="1"/>
  <c r="C207" i="1"/>
  <c r="E206" i="1"/>
  <c r="D206" i="1"/>
  <c r="C206" i="1"/>
  <c r="E205" i="1"/>
  <c r="D205" i="1"/>
  <c r="C205" i="1"/>
  <c r="E204" i="1"/>
  <c r="D204" i="1"/>
  <c r="C204" i="1"/>
  <c r="E203" i="1"/>
  <c r="D203" i="1"/>
  <c r="C203" i="1"/>
  <c r="E202" i="1"/>
  <c r="D202" i="1"/>
  <c r="C202" i="1"/>
  <c r="E201" i="1"/>
  <c r="D201" i="1"/>
  <c r="C201" i="1"/>
  <c r="E200" i="1"/>
  <c r="D200" i="1"/>
  <c r="C200" i="1"/>
  <c r="E199" i="1"/>
  <c r="D199" i="1"/>
  <c r="C199" i="1"/>
  <c r="E198" i="1"/>
  <c r="D198" i="1"/>
  <c r="C198" i="1"/>
  <c r="E197" i="1"/>
  <c r="D197" i="1"/>
  <c r="C197" i="1"/>
  <c r="E196" i="1"/>
  <c r="D196" i="1"/>
  <c r="C196" i="1"/>
  <c r="E195" i="1"/>
  <c r="D195" i="1"/>
  <c r="C195" i="1"/>
  <c r="E194" i="1"/>
  <c r="D194" i="1"/>
  <c r="C194" i="1"/>
  <c r="E193" i="1"/>
  <c r="D193" i="1"/>
  <c r="C193" i="1"/>
  <c r="E192" i="1"/>
  <c r="D192" i="1"/>
  <c r="C192" i="1"/>
  <c r="E191" i="1"/>
  <c r="D191" i="1"/>
  <c r="C191" i="1"/>
  <c r="E190" i="1"/>
  <c r="D190" i="1"/>
  <c r="C190" i="1"/>
  <c r="E189" i="1"/>
  <c r="D189" i="1"/>
  <c r="C189" i="1"/>
  <c r="E188" i="1"/>
  <c r="D188" i="1"/>
  <c r="C188" i="1"/>
  <c r="E187" i="1"/>
  <c r="D187" i="1"/>
  <c r="C187" i="1"/>
  <c r="E186" i="1"/>
  <c r="D186" i="1"/>
  <c r="C186" i="1"/>
  <c r="E185" i="1"/>
  <c r="D185" i="1"/>
  <c r="C185" i="1"/>
  <c r="E184" i="1"/>
  <c r="D184" i="1"/>
  <c r="C184" i="1"/>
  <c r="E183" i="1"/>
  <c r="D183" i="1"/>
  <c r="C183" i="1"/>
  <c r="E182" i="1"/>
  <c r="D182" i="1"/>
  <c r="C182" i="1"/>
  <c r="E181" i="1"/>
  <c r="D181" i="1"/>
  <c r="C181" i="1"/>
  <c r="E180" i="1"/>
  <c r="D180" i="1"/>
  <c r="C180" i="1"/>
  <c r="E179" i="1"/>
  <c r="D179" i="1"/>
  <c r="C179" i="1"/>
  <c r="E178" i="1"/>
  <c r="D178" i="1"/>
  <c r="C178" i="1"/>
  <c r="E177" i="1"/>
  <c r="D177" i="1"/>
  <c r="C177" i="1"/>
  <c r="E176" i="1"/>
  <c r="D176" i="1"/>
  <c r="C176" i="1"/>
  <c r="E175" i="1"/>
  <c r="D175" i="1"/>
  <c r="C175" i="1"/>
  <c r="E174" i="1"/>
  <c r="D174" i="1"/>
  <c r="C174" i="1"/>
  <c r="E173" i="1"/>
  <c r="D173" i="1"/>
  <c r="C173" i="1"/>
  <c r="E172" i="1"/>
  <c r="D172" i="1"/>
  <c r="C172" i="1"/>
  <c r="E171" i="1"/>
  <c r="D171" i="1"/>
  <c r="C171" i="1"/>
  <c r="E170" i="1"/>
  <c r="D170" i="1"/>
  <c r="C170" i="1"/>
  <c r="E169" i="1"/>
  <c r="D169" i="1"/>
  <c r="C169" i="1"/>
  <c r="E168" i="1"/>
  <c r="D168" i="1"/>
  <c r="C168" i="1"/>
  <c r="E167" i="1"/>
  <c r="D167" i="1"/>
  <c r="C167" i="1"/>
  <c r="E166" i="1"/>
  <c r="D166" i="1"/>
  <c r="C166" i="1"/>
  <c r="E165" i="1"/>
  <c r="D165" i="1"/>
  <c r="C165" i="1"/>
  <c r="E164" i="1"/>
  <c r="D164" i="1"/>
  <c r="C164" i="1"/>
  <c r="E163" i="1"/>
  <c r="D163" i="1"/>
  <c r="C163" i="1"/>
  <c r="E162" i="1"/>
  <c r="D162" i="1"/>
  <c r="C162" i="1"/>
  <c r="E161" i="1"/>
  <c r="D161" i="1"/>
  <c r="C161" i="1"/>
  <c r="E160" i="1"/>
  <c r="D160" i="1"/>
  <c r="C160" i="1"/>
  <c r="E159" i="1"/>
  <c r="D159" i="1"/>
  <c r="C159" i="1"/>
  <c r="E158" i="1"/>
  <c r="D158" i="1"/>
  <c r="C158" i="1"/>
  <c r="E157" i="1"/>
  <c r="D157" i="1"/>
  <c r="C157" i="1"/>
  <c r="E156" i="1"/>
  <c r="D156" i="1"/>
  <c r="C156" i="1"/>
  <c r="E155" i="1"/>
  <c r="D155" i="1"/>
  <c r="C155" i="1"/>
  <c r="E154" i="1"/>
  <c r="D154" i="1"/>
  <c r="C154" i="1"/>
  <c r="E153" i="1"/>
  <c r="D153" i="1"/>
  <c r="C153" i="1"/>
  <c r="E152" i="1"/>
  <c r="D152" i="1"/>
  <c r="C152" i="1"/>
  <c r="E151" i="1"/>
  <c r="D151" i="1"/>
  <c r="C151" i="1"/>
  <c r="E150" i="1"/>
  <c r="D150" i="1"/>
  <c r="C150" i="1"/>
  <c r="E149" i="1"/>
  <c r="D149" i="1"/>
  <c r="C149" i="1"/>
  <c r="E148" i="1"/>
  <c r="D148" i="1"/>
  <c r="C148" i="1"/>
  <c r="E147" i="1"/>
  <c r="D147" i="1"/>
  <c r="C147" i="1"/>
  <c r="E146" i="1"/>
  <c r="D146" i="1"/>
  <c r="C146" i="1"/>
  <c r="E145" i="1"/>
  <c r="D145" i="1"/>
  <c r="C145" i="1"/>
  <c r="E144" i="1"/>
  <c r="D144" i="1"/>
  <c r="C144" i="1"/>
  <c r="E143" i="1"/>
  <c r="D143" i="1"/>
  <c r="C143" i="1"/>
  <c r="E142" i="1"/>
  <c r="D142" i="1"/>
  <c r="C142" i="1"/>
  <c r="E141" i="1"/>
  <c r="D141" i="1"/>
  <c r="C141" i="1"/>
  <c r="E140" i="1"/>
  <c r="D140" i="1"/>
  <c r="C140" i="1"/>
  <c r="E139" i="1"/>
  <c r="D139" i="1"/>
  <c r="C139" i="1"/>
  <c r="E138" i="1"/>
  <c r="D138" i="1"/>
  <c r="C138" i="1"/>
  <c r="E137" i="1"/>
  <c r="D137" i="1"/>
  <c r="C137" i="1"/>
  <c r="E136" i="1"/>
  <c r="D136" i="1"/>
  <c r="C136" i="1"/>
  <c r="E135" i="1"/>
  <c r="D135" i="1"/>
  <c r="C135" i="1"/>
  <c r="E134" i="1"/>
  <c r="D134" i="1"/>
  <c r="C134" i="1"/>
  <c r="E133" i="1"/>
  <c r="D133" i="1"/>
  <c r="C133" i="1"/>
  <c r="E132" i="1"/>
  <c r="D132" i="1"/>
  <c r="C132" i="1"/>
  <c r="E131" i="1"/>
  <c r="D131" i="1"/>
  <c r="C131" i="1"/>
  <c r="E130" i="1"/>
  <c r="D130" i="1"/>
  <c r="C130" i="1"/>
  <c r="E129" i="1"/>
  <c r="D129" i="1"/>
  <c r="C129" i="1"/>
  <c r="E128" i="1"/>
  <c r="D128" i="1"/>
  <c r="C128" i="1"/>
  <c r="E127" i="1"/>
  <c r="D127" i="1"/>
  <c r="C127" i="1"/>
  <c r="E126" i="1"/>
  <c r="D126" i="1"/>
  <c r="C126" i="1"/>
  <c r="E125" i="1"/>
  <c r="D125" i="1"/>
  <c r="C125" i="1"/>
  <c r="E124" i="1"/>
  <c r="D124" i="1"/>
  <c r="C124" i="1"/>
  <c r="E123" i="1"/>
  <c r="D123" i="1"/>
  <c r="C123" i="1"/>
  <c r="E122" i="1"/>
  <c r="D122" i="1"/>
  <c r="C122" i="1"/>
  <c r="E121" i="1"/>
  <c r="D121" i="1"/>
  <c r="C121" i="1"/>
  <c r="E120" i="1"/>
  <c r="D120" i="1"/>
  <c r="C120" i="1"/>
  <c r="E119" i="1"/>
  <c r="D119" i="1"/>
  <c r="C119" i="1"/>
  <c r="E118" i="1"/>
  <c r="D118" i="1"/>
  <c r="C118" i="1"/>
  <c r="E117" i="1"/>
  <c r="D117" i="1"/>
  <c r="C117" i="1"/>
  <c r="E116" i="1"/>
  <c r="D116" i="1"/>
  <c r="C116" i="1"/>
  <c r="E115" i="1"/>
  <c r="D115" i="1"/>
  <c r="C115" i="1"/>
  <c r="E114" i="1"/>
  <c r="D114" i="1"/>
  <c r="C114" i="1"/>
  <c r="E113" i="1"/>
  <c r="D113" i="1"/>
  <c r="C113" i="1"/>
  <c r="E112" i="1"/>
  <c r="D112" i="1"/>
  <c r="C112" i="1"/>
  <c r="E111" i="1"/>
  <c r="D111" i="1"/>
  <c r="C111" i="1"/>
  <c r="E110" i="1"/>
  <c r="D110" i="1"/>
  <c r="C110" i="1"/>
  <c r="E109" i="1"/>
  <c r="D109" i="1"/>
  <c r="C109" i="1"/>
  <c r="E108" i="1"/>
  <c r="D108" i="1"/>
  <c r="C108" i="1"/>
  <c r="E107" i="1"/>
  <c r="D107" i="1"/>
  <c r="C107" i="1"/>
  <c r="E106" i="1"/>
  <c r="D106" i="1"/>
  <c r="C106" i="1"/>
  <c r="E105" i="1"/>
  <c r="D105" i="1"/>
  <c r="C105" i="1"/>
  <c r="E104" i="1"/>
  <c r="D104" i="1"/>
  <c r="C104" i="1"/>
  <c r="E103" i="1"/>
  <c r="D103" i="1"/>
  <c r="C103" i="1"/>
  <c r="E102" i="1"/>
  <c r="D102" i="1"/>
  <c r="C102" i="1"/>
  <c r="E101" i="1"/>
  <c r="D101" i="1"/>
  <c r="C101" i="1"/>
  <c r="E100" i="1"/>
  <c r="D100" i="1"/>
  <c r="C100" i="1"/>
  <c r="E99" i="1"/>
  <c r="D99" i="1"/>
  <c r="C99" i="1"/>
  <c r="E98" i="1"/>
  <c r="D98" i="1"/>
  <c r="C98" i="1"/>
  <c r="E97" i="1"/>
  <c r="D97" i="1"/>
  <c r="C97" i="1"/>
  <c r="E96" i="1"/>
  <c r="D96" i="1"/>
  <c r="C96" i="1"/>
  <c r="E95" i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2" i="1"/>
  <c r="D82" i="1"/>
  <c r="C82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</calcChain>
</file>

<file path=xl/sharedStrings.xml><?xml version="1.0" encoding="utf-8"?>
<sst xmlns="http://schemas.openxmlformats.org/spreadsheetml/2006/main" count="29424" uniqueCount="4737">
  <si>
    <t>Customer ID</t>
  </si>
  <si>
    <t>Name</t>
  </si>
  <si>
    <t>Title</t>
  </si>
  <si>
    <t>First Name</t>
  </si>
  <si>
    <t>Last 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</si>
  <si>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</si>
  <si>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</si>
  <si>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</si>
  <si>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</si>
  <si>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</si>
  <si>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</si>
  <si>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</si>
  <si>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</si>
  <si>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</si>
  <si>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</si>
  <si>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</si>
  <si>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</si>
  <si>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</si>
  <si>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</si>
  <si>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</si>
  <si>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</si>
  <si>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</si>
  <si>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</si>
  <si>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</si>
  <si>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</si>
  <si>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</si>
  <si>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</si>
  <si>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</si>
  <si>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</si>
  <si>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</si>
  <si>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</si>
  <si>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</si>
  <si>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</si>
  <si>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</si>
  <si>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</si>
  <si>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</si>
  <si>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</si>
  <si>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</si>
  <si>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</si>
  <si>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</si>
  <si>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</si>
  <si>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</si>
  <si>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</si>
  <si>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</si>
  <si>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</si>
  <si>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</si>
  <si>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</si>
  <si>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</si>
  <si>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</si>
  <si>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</si>
  <si>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</si>
  <si>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</si>
  <si>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</si>
  <si>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</si>
  <si>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</si>
  <si>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</si>
  <si>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</si>
  <si>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</si>
  <si>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</si>
  <si>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</si>
  <si>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</si>
  <si>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</si>
  <si>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</si>
  <si>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</si>
  <si>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</si>
  <si>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</si>
  <si>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</si>
  <si>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</si>
  <si>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</si>
  <si>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</si>
  <si>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</si>
  <si>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</si>
  <si>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</si>
  <si>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</si>
  <si>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</si>
  <si>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</si>
  <si>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</si>
  <si>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</si>
  <si>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</si>
  <si>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</si>
  <si>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</si>
  <si>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</si>
  <si>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</si>
  <si>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</si>
  <si>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</si>
  <si>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</si>
  <si>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</si>
  <si>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</si>
  <si>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</si>
  <si>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</si>
  <si>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</si>
  <si>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</si>
  <si>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</si>
  <si>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</si>
  <si>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</si>
  <si>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</si>
  <si>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</si>
  <si>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</si>
  <si>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</si>
  <si>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</si>
  <si>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</si>
  <si>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</si>
  <si>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</si>
  <si>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</si>
  <si>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</si>
  <si>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</si>
  <si>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</si>
  <si>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</si>
  <si>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</si>
  <si>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</si>
  <si>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</si>
  <si>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</si>
  <si>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</si>
  <si>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</si>
  <si>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</si>
  <si>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</si>
  <si>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</si>
  <si>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</si>
  <si>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</si>
  <si>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</si>
  <si>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</si>
  <si>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</si>
  <si>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</si>
  <si>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</si>
  <si>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</si>
  <si>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</si>
  <si>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</si>
  <si>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</si>
  <si>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</si>
  <si>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</si>
  <si>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</si>
  <si>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</si>
  <si>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</si>
  <si>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</si>
  <si>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</si>
  <si>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</si>
  <si>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</si>
  <si>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</si>
  <si>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</si>
  <si>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</si>
  <si>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</si>
  <si>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</si>
  <si>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</si>
  <si>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</si>
  <si>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</si>
  <si>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</si>
  <si>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</si>
  <si>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</si>
  <si>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</si>
  <si>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</si>
  <si>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</si>
  <si>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</si>
  <si>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</si>
  <si>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</si>
  <si>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</si>
  <si>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</si>
  <si>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</si>
  <si>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</si>
  <si>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</si>
  <si>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</si>
  <si>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</si>
  <si>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</si>
  <si>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</si>
  <si>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</si>
  <si>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</si>
  <si>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</si>
  <si>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</si>
  <si>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</si>
  <si>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</si>
  <si>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</si>
  <si>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</si>
  <si>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</si>
  <si>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</si>
  <si>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</si>
  <si>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</si>
  <si>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</si>
  <si>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</si>
  <si>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</si>
  <si>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</si>
  <si>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</si>
  <si>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</si>
  <si>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</si>
  <si>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</si>
  <si>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</si>
  <si>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</si>
  <si>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</si>
  <si>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</si>
  <si>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</si>
  <si>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</si>
  <si>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</si>
  <si>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</si>
  <si>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</si>
  <si>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</si>
  <si>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</si>
  <si>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</si>
  <si>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</si>
  <si>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</si>
  <si>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</si>
  <si>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</si>
  <si>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</si>
  <si>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</si>
  <si>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</si>
  <si>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</si>
  <si>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</si>
  <si>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</si>
  <si>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</si>
  <si>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</si>
  <si>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</si>
  <si>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</si>
  <si>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</si>
  <si>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</si>
  <si>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</si>
  <si>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</si>
  <si>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</si>
  <si>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</si>
  <si>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</si>
  <si>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</si>
  <si>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</si>
  <si>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</si>
  <si>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</si>
  <si>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</si>
  <si>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</si>
  <si>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</si>
  <si>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</si>
  <si>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</si>
  <si>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</si>
  <si>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</si>
  <si>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</si>
  <si>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</si>
  <si>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</si>
  <si>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</si>
  <si>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</si>
  <si>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</si>
  <si>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</si>
  <si>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</si>
  <si>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</si>
  <si>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</si>
  <si>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</si>
  <si>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</si>
  <si>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</si>
  <si>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</si>
  <si>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</si>
  <si>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</si>
  <si>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</si>
  <si>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</si>
  <si>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</si>
  <si>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</si>
  <si>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</si>
  <si>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</si>
  <si>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</si>
  <si>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</si>
  <si>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</si>
  <si>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</si>
  <si>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</si>
  <si>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</si>
  <si>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</si>
  <si>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</si>
  <si>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</si>
  <si>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</si>
  <si>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</si>
  <si>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</si>
  <si>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</si>
  <si>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</si>
  <si>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</si>
  <si>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</si>
  <si>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</si>
  <si>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</si>
  <si>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</si>
  <si>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</si>
  <si>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</si>
  <si>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</si>
  <si>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</si>
  <si>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</si>
  <si>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</si>
  <si>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</si>
  <si>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</si>
  <si>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</si>
  <si>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</si>
  <si>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</si>
  <si>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</si>
  <si>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</si>
  <si>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</si>
  <si>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</si>
  <si>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</si>
  <si>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</si>
  <si>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</si>
  <si>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</si>
  <si>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</si>
  <si>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</si>
  <si>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</si>
  <si>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</si>
  <si>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</si>
  <si>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</si>
  <si>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</si>
  <si>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</si>
  <si>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</si>
  <si>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</si>
  <si>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</si>
  <si>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</si>
  <si>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</si>
  <si>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</si>
  <si>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</si>
  <si>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</si>
  <si>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</si>
  <si>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</si>
  <si>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</si>
  <si>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</si>
  <si>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</si>
  <si>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</si>
  <si>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</si>
  <si>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</si>
  <si>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</si>
  <si>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</si>
  <si>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</si>
  <si>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</si>
  <si>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</si>
  <si>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</si>
  <si>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</si>
  <si>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</si>
  <si>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</si>
  <si>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</si>
  <si>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</si>
  <si>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</si>
  <si>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</si>
  <si>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</si>
  <si>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</si>
  <si>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</si>
  <si>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</si>
  <si>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</si>
  <si>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</si>
  <si>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</si>
  <si>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</si>
  <si>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</si>
  <si>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</si>
  <si>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</si>
  <si>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</si>
  <si>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</si>
  <si>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</si>
  <si>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</si>
  <si>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</si>
  <si>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</si>
  <si>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</si>
  <si>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</si>
  <si>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</si>
  <si>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</si>
  <si>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</si>
  <si>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</si>
  <si>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</si>
  <si>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</si>
  <si>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</si>
  <si>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</si>
  <si>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</si>
  <si>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</si>
  <si>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</si>
  <si>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</si>
  <si>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</si>
  <si>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</si>
  <si>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</si>
  <si>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</si>
  <si>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</si>
  <si>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</si>
  <si>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</si>
  <si>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</si>
  <si>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</si>
  <si>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</si>
  <si>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</si>
  <si>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</si>
  <si>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</si>
  <si>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</si>
  <si>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</si>
  <si>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</si>
  <si>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</si>
  <si>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</si>
  <si>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</si>
  <si>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</si>
  <si>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</si>
  <si>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</si>
  <si>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</si>
  <si>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</si>
  <si>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</si>
  <si>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</si>
  <si>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</si>
  <si>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</si>
  <si>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</si>
  <si>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</si>
  <si>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</si>
  <si>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</si>
  <si>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</si>
  <si>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</si>
  <si>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</si>
  <si>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</si>
  <si>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</si>
  <si>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</si>
  <si>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</si>
  <si>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</si>
  <si>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</si>
  <si>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</si>
  <si>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</si>
  <si>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</si>
  <si>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</si>
  <si>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</si>
  <si>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</si>
  <si>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</si>
  <si>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</si>
  <si>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</si>
  <si>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</si>
  <si>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</si>
  <si>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</si>
  <si>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</si>
  <si>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</si>
  <si>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</si>
  <si>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</si>
  <si>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</si>
  <si>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</si>
  <si>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</si>
  <si>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</si>
  <si>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</si>
  <si>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</si>
  <si>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</si>
  <si>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</si>
  <si>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</si>
  <si>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</si>
  <si>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</si>
  <si>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</si>
  <si>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</si>
  <si>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</si>
  <si>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</si>
  <si>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</si>
  <si>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</si>
  <si>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</si>
  <si>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</si>
  <si>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</si>
  <si>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</si>
  <si>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</si>
  <si>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</si>
  <si>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</si>
  <si>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</si>
  <si>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</si>
  <si>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</si>
  <si>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</si>
  <si>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</si>
  <si>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</si>
  <si>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</si>
  <si>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</si>
  <si>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</si>
  <si>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</si>
  <si>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</si>
  <si>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</si>
  <si>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</si>
  <si>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</si>
  <si>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</si>
  <si>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</si>
  <si>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</si>
  <si>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</si>
  <si>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</si>
  <si>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</si>
  <si>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</si>
  <si>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</si>
  <si>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</si>
  <si>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</si>
  <si>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</si>
  <si>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</si>
  <si>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</si>
  <si>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</si>
  <si>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</si>
  <si>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</si>
  <si>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</si>
  <si>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</si>
  <si>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</si>
  <si>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</si>
  <si>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</si>
  <si>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</si>
  <si>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</si>
  <si>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</si>
  <si>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</si>
  <si>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</si>
  <si>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</si>
  <si>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</si>
  <si>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</si>
  <si>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</si>
  <si>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</si>
  <si>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</si>
  <si>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</si>
  <si>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</si>
  <si>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</si>
  <si>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</si>
  <si>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</si>
  <si>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</si>
  <si>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</si>
  <si>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</si>
  <si>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</si>
  <si>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</si>
  <si>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</si>
  <si>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</si>
  <si>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</si>
  <si>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</si>
  <si>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</si>
  <si>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</si>
  <si>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</si>
  <si>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</si>
  <si>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</si>
  <si>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</si>
  <si>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</si>
  <si>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</si>
  <si>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</si>
  <si>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</si>
  <si>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</si>
  <si>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</si>
  <si>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</si>
  <si>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</si>
  <si>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</si>
  <si>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</si>
  <si>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</si>
  <si>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</si>
  <si>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</si>
  <si>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</si>
  <si>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</si>
  <si>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</si>
  <si>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</si>
  <si>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</si>
  <si>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</si>
  <si>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</si>
  <si>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</si>
  <si>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</si>
  <si>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</si>
  <si>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</si>
  <si>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</si>
  <si>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</si>
  <si>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</si>
  <si>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</si>
  <si>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</si>
  <si>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</si>
  <si>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</si>
  <si>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</si>
  <si>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</si>
  <si>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</si>
  <si>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</si>
  <si>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</si>
  <si>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</si>
  <si>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</si>
  <si>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</si>
  <si>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</si>
  <si>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</si>
  <si>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</si>
  <si>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</si>
  <si>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</si>
  <si>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</si>
  <si>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</si>
  <si>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</si>
  <si>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</si>
  <si>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</si>
  <si>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</si>
  <si>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</si>
  <si>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</si>
  <si>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</si>
  <si>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</si>
  <si>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</si>
  <si>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</si>
  <si>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</si>
  <si>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</si>
  <si>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</si>
  <si>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</si>
  <si>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</si>
  <si>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</si>
  <si>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</si>
  <si>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</si>
  <si>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</si>
  <si>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</si>
  <si>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</si>
  <si>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</si>
  <si>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</si>
  <si>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</si>
  <si>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</si>
  <si>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</si>
  <si>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</si>
  <si>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</si>
  <si>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</si>
  <si>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</si>
  <si>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</si>
  <si>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</si>
  <si>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</si>
  <si>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</si>
  <si>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</si>
  <si>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</si>
  <si>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</si>
  <si>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</si>
  <si>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</si>
  <si>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</si>
  <si>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</si>
  <si>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</si>
  <si>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</si>
  <si>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</si>
  <si>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</si>
  <si>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</si>
  <si>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</si>
  <si>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</si>
  <si>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</si>
  <si>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</si>
  <si>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</si>
  <si>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</si>
  <si>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</si>
  <si>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</si>
  <si>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</si>
  <si>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</si>
  <si>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</si>
  <si>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</si>
  <si>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</si>
  <si>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</si>
  <si>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</si>
  <si>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</si>
  <si>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</si>
  <si>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</si>
  <si>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</si>
  <si>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</si>
  <si>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</si>
  <si>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</si>
  <si>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</si>
  <si>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</si>
  <si>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</si>
  <si>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</si>
  <si>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</si>
  <si>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</si>
  <si>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</si>
  <si>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</si>
  <si>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</si>
  <si>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</si>
  <si>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</si>
  <si>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</si>
  <si>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</si>
  <si>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</si>
  <si>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</si>
  <si>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</si>
  <si>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</si>
  <si>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</si>
  <si>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</si>
  <si>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</si>
  <si>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</si>
  <si>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</si>
  <si>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</si>
  <si>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</si>
  <si>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</si>
  <si>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</si>
  <si>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</si>
  <si>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</si>
  <si>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</si>
  <si>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</si>
  <si>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</si>
  <si>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</si>
  <si>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</si>
  <si>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</si>
  <si>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</si>
  <si>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</si>
  <si>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</si>
  <si>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</si>
  <si>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</si>
  <si>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</si>
  <si>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</si>
  <si>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</si>
  <si>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</si>
  <si>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</si>
  <si>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</si>
  <si>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</si>
  <si>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</si>
  <si>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</si>
  <si>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</si>
  <si>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</si>
  <si>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</si>
  <si>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</si>
  <si>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</si>
  <si>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</si>
  <si>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</si>
  <si>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</si>
  <si>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</si>
  <si>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</si>
  <si>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</si>
  <si>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</si>
  <si>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</si>
  <si>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</si>
  <si>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</si>
  <si>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</si>
  <si>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</si>
  <si>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</si>
  <si>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</si>
  <si>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</si>
  <si>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</si>
  <si>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</si>
  <si>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</si>
  <si>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</si>
  <si>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</si>
  <si>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</si>
  <si>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</si>
  <si>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</si>
  <si>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</si>
  <si>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</si>
  <si>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</si>
  <si>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</si>
  <si>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</si>
  <si>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</si>
  <si>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</si>
  <si>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</si>
  <si>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</si>
  <si>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</si>
  <si>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</si>
  <si>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</si>
  <si>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</si>
  <si>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</si>
  <si>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</si>
  <si>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</si>
  <si>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</si>
  <si>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</si>
  <si>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</si>
  <si>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</si>
  <si>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</si>
  <si>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</si>
  <si>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</si>
  <si>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</si>
  <si>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</si>
  <si>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</si>
  <si>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</si>
  <si>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</si>
  <si>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</si>
  <si>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</si>
  <si>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</si>
  <si>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</si>
  <si>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</si>
  <si>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</si>
  <si>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</si>
  <si>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</si>
  <si>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</si>
  <si>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</si>
  <si>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</si>
  <si>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</si>
  <si>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</si>
  <si>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</si>
  <si>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</si>
  <si>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</si>
  <si>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</si>
  <si>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</si>
  <si>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</si>
  <si>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</si>
  <si>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</si>
  <si>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</si>
  <si>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</si>
  <si>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</si>
  <si>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</si>
  <si>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</si>
  <si>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</si>
  <si>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</si>
  <si>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</si>
  <si>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</si>
  <si>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</si>
  <si>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</si>
  <si>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</si>
  <si>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</si>
  <si>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</si>
  <si>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</si>
  <si>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</si>
  <si>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</si>
  <si>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</si>
  <si>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</si>
  <si>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</si>
  <si>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</si>
  <si>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</si>
  <si>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</si>
  <si>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</si>
  <si>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</si>
  <si>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</si>
  <si>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</si>
  <si>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</si>
  <si>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</si>
  <si>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</si>
  <si>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</si>
  <si>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</si>
  <si>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</si>
  <si>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</si>
  <si>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</si>
  <si>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</si>
  <si>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</si>
  <si>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</si>
  <si>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</si>
  <si>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</si>
  <si>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</si>
  <si>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</si>
  <si>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</si>
  <si>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</si>
  <si>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</si>
  <si>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</si>
  <si>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</si>
  <si>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</si>
  <si>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</si>
  <si>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</si>
  <si>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</si>
  <si>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</si>
  <si>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</si>
  <si>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</si>
  <si>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</si>
  <si>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</si>
  <si>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</si>
  <si>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</si>
  <si>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</si>
  <si>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</si>
  <si>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</si>
  <si>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</si>
  <si>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</si>
  <si>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</si>
  <si>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</si>
  <si>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</si>
  <si>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</si>
  <si>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</si>
  <si>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</si>
  <si>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</si>
  <si>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</si>
  <si>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</si>
  <si>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</si>
  <si>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</si>
  <si>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</si>
  <si>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</si>
  <si>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</si>
  <si>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</si>
  <si>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</si>
  <si>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</si>
  <si>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</si>
  <si>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</si>
  <si>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</si>
  <si>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</si>
  <si>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</si>
  <si>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</si>
  <si>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</si>
  <si>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</si>
  <si>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</si>
  <si>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</si>
  <si>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</si>
  <si>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</si>
  <si>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</si>
  <si>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</si>
  <si>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</si>
  <si>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</si>
  <si>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</si>
  <si>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</si>
  <si>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</si>
  <si>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</si>
  <si>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</si>
  <si>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</si>
  <si>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</si>
  <si>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</si>
  <si>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</si>
  <si>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</si>
  <si>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</si>
  <si>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</si>
  <si>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</si>
  <si>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</si>
  <si>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</si>
  <si>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</si>
  <si>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</si>
  <si>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</si>
  <si>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</si>
  <si>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</si>
  <si>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</si>
  <si>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</si>
  <si>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</si>
  <si>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</si>
  <si>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</si>
  <si>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</si>
  <si>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</si>
  <si>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</si>
  <si>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</si>
  <si>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</si>
  <si>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</si>
  <si>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</si>
  <si>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</si>
  <si>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</si>
  <si>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</si>
  <si>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</si>
  <si>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</si>
  <si>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</si>
  <si>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</si>
  <si>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</si>
  <si>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</si>
  <si>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</si>
  <si>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</si>
  <si>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</si>
  <si>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</si>
  <si>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</si>
  <si>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</si>
  <si>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</si>
  <si>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</si>
  <si>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</si>
  <si>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</si>
  <si>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</si>
  <si>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</si>
  <si>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</si>
  <si>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</si>
  <si>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</si>
  <si>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</si>
  <si>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</si>
  <si>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</si>
  <si>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</si>
  <si>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</si>
  <si>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</si>
  <si>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</si>
  <si>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</si>
  <si>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</si>
  <si>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</si>
  <si>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</si>
  <si>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</si>
  <si>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</si>
  <si>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</si>
  <si>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</si>
  <si>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</si>
  <si>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</si>
  <si>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</si>
  <si>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</si>
  <si>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</si>
  <si>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</si>
  <si>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</si>
  <si>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</si>
  <si>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</si>
  <si>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</si>
  <si>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</si>
  <si>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</si>
  <si>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</si>
  <si>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</si>
  <si>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</si>
  <si>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</si>
  <si>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</si>
  <si>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</si>
  <si>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</si>
  <si>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</si>
  <si>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</si>
  <si>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</si>
  <si>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</si>
  <si>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</si>
  <si>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</si>
  <si>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</si>
  <si>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</si>
  <si>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</si>
  <si>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</si>
  <si>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</si>
  <si>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</si>
  <si>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</si>
  <si>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</si>
  <si>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</si>
  <si>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</si>
  <si>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</si>
  <si>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</si>
  <si>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</si>
  <si>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</si>
  <si>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</si>
  <si>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</si>
  <si>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</si>
  <si>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</si>
  <si>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</si>
  <si>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</si>
  <si>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</si>
  <si>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</si>
  <si>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</si>
  <si>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</si>
  <si>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</si>
  <si>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</si>
  <si>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</si>
  <si>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</si>
  <si>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</si>
  <si>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</si>
  <si>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</si>
  <si>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</si>
  <si>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</si>
  <si>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</si>
  <si>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</si>
  <si>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</si>
  <si>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</si>
  <si>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</si>
  <si>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</si>
  <si>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</si>
  <si>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</si>
  <si>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</si>
  <si>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</si>
  <si>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</si>
  <si>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</si>
  <si>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</si>
  <si>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</si>
  <si>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</si>
  <si>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</si>
  <si>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</si>
  <si>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</si>
  <si>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</si>
  <si>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</si>
  <si>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</si>
  <si>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</si>
  <si>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</si>
  <si>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</si>
  <si>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</si>
  <si>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</si>
  <si>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</si>
  <si>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</si>
  <si>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</si>
  <si>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</si>
  <si>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</si>
  <si>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</si>
  <si>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</si>
  <si>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</si>
  <si>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</si>
  <si>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</si>
  <si>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</si>
  <si>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</si>
  <si>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</si>
  <si>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</si>
  <si>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</si>
  <si>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</si>
  <si>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</si>
  <si>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</si>
  <si>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</si>
  <si>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</si>
  <si>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</si>
  <si>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</si>
  <si>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</si>
  <si>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</si>
  <si>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</si>
  <si>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</si>
  <si>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</si>
  <si>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</si>
  <si>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</si>
  <si>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</si>
  <si>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</si>
  <si>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</si>
  <si>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</si>
  <si>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</si>
  <si>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</si>
  <si>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</si>
  <si>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</si>
  <si>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</si>
  <si>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</si>
  <si>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</si>
  <si>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</si>
  <si>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</si>
  <si>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</si>
  <si>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</si>
  <si>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</si>
  <si>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</si>
  <si>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</si>
  <si>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</si>
  <si>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</si>
  <si>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</si>
  <si>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</si>
  <si>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</si>
  <si>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</si>
  <si>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</si>
  <si>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</si>
  <si>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</si>
  <si>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</si>
  <si>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</si>
  <si>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</si>
  <si>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</si>
  <si>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</si>
  <si>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</si>
  <si>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</si>
  <si>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</si>
  <si>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</si>
  <si>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</si>
  <si>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</si>
  <si>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</si>
  <si>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</si>
  <si>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</si>
  <si>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</si>
  <si>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</si>
  <si>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</si>
  <si>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</si>
  <si>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</si>
  <si>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</si>
  <si>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</si>
  <si>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</si>
  <si>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</si>
  <si>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</si>
  <si>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</si>
  <si>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</si>
  <si>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</si>
  <si>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</si>
  <si>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</si>
  <si>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</si>
  <si>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</si>
  <si>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</si>
  <si>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</si>
  <si>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</si>
  <si>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</si>
  <si>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</si>
  <si>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</si>
  <si>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</si>
  <si>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</si>
  <si>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</si>
  <si>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</si>
  <si>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</si>
  <si>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</si>
  <si>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</si>
  <si>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</si>
  <si>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</si>
  <si>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</si>
  <si>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</si>
  <si>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</si>
  <si>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</si>
  <si>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</si>
  <si>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</si>
  <si>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</si>
  <si>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</si>
  <si>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</si>
  <si>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</si>
  <si>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</si>
  <si>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</si>
  <si>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</si>
  <si>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</si>
  <si>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</si>
  <si>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</si>
  <si>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</si>
  <si>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</si>
  <si>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</si>
  <si>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</si>
  <si>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</si>
  <si>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</si>
  <si>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</si>
  <si>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</si>
  <si>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</si>
  <si>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</si>
  <si>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</si>
  <si>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</si>
  <si>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</si>
  <si>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</si>
  <si>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</si>
  <si>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</si>
  <si>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</si>
  <si>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</si>
  <si>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</si>
  <si>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</si>
  <si>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</si>
  <si>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</si>
  <si>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</si>
  <si>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</si>
  <si>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</si>
  <si>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</si>
  <si>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</si>
  <si>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</si>
  <si>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</si>
  <si>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</si>
  <si>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</si>
  <si>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</si>
  <si>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</si>
  <si>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</si>
  <si>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</si>
  <si>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</si>
  <si>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</si>
  <si>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</si>
  <si>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</si>
  <si>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</si>
  <si>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</si>
  <si>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</si>
  <si>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</si>
  <si>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</si>
  <si>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</si>
  <si>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</si>
  <si>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</si>
  <si>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</si>
  <si>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</si>
  <si>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</si>
  <si>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</si>
  <si>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</si>
  <si>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</si>
  <si>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</si>
  <si>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</si>
  <si>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</si>
  <si>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</si>
  <si>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</si>
  <si>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</si>
  <si>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</si>
  <si>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</si>
  <si>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</si>
  <si>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</si>
  <si>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</si>
  <si>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</si>
  <si>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</si>
  <si>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</si>
  <si>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</si>
  <si>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</si>
  <si>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</si>
  <si>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</si>
  <si>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</si>
  <si>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</si>
  <si>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</si>
  <si>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</si>
  <si>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</si>
  <si>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</si>
  <si>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</si>
  <si>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</si>
  <si>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</si>
  <si>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</si>
  <si>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</si>
  <si>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</si>
  <si>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</si>
  <si>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</si>
  <si>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</si>
  <si>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</si>
  <si>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</si>
  <si>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</si>
  <si>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</si>
  <si>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</si>
  <si>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</si>
  <si>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</si>
  <si>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</si>
  <si>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</si>
  <si>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</si>
  <si>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</si>
  <si>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</si>
  <si>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</si>
  <si>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</si>
  <si>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</si>
  <si>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</si>
  <si>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</si>
  <si>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</si>
  <si>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</si>
  <si>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</si>
  <si>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</si>
  <si>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</si>
  <si>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</si>
  <si>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</si>
  <si>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</si>
  <si>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</si>
  <si>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</si>
  <si>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</si>
  <si>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</si>
  <si>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</si>
  <si>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</si>
  <si>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</si>
  <si>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</si>
  <si>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</si>
  <si>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</si>
  <si>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</si>
  <si>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</si>
  <si>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</si>
  <si>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</si>
  <si>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</si>
  <si>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</si>
  <si>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</si>
  <si>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</si>
  <si>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</si>
  <si>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</si>
  <si>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</si>
  <si>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</si>
  <si>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</si>
  <si>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</si>
  <si>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</si>
  <si>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</si>
  <si>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</si>
  <si>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</si>
  <si>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</si>
  <si>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</si>
  <si>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</si>
  <si>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</si>
  <si>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</si>
  <si>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</si>
  <si>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</si>
  <si>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</si>
  <si>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</si>
  <si>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</si>
  <si>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</si>
  <si>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</si>
  <si>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</si>
  <si>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</si>
  <si>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</si>
  <si>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</si>
  <si>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</si>
  <si>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</si>
  <si>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</si>
  <si>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</si>
  <si>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</si>
  <si>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</si>
  <si>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</si>
  <si>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</si>
  <si>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</si>
  <si>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</si>
  <si>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</si>
  <si>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</si>
  <si>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</si>
  <si>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</si>
  <si>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</si>
  <si>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</si>
  <si>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</si>
  <si>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</si>
  <si>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</si>
  <si>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</si>
  <si>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</si>
  <si>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</si>
  <si>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</si>
  <si>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</si>
  <si>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</si>
  <si>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</si>
  <si>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</si>
  <si>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</si>
  <si>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</si>
  <si>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</si>
  <si>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</si>
  <si>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</si>
  <si>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</si>
  <si>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</si>
  <si>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</si>
  <si>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</si>
  <si>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</si>
  <si>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</si>
  <si>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</si>
  <si>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</si>
  <si>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</si>
  <si>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</si>
  <si>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</si>
  <si>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</si>
  <si>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</si>
  <si>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</si>
  <si>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</si>
  <si>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</si>
  <si>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</si>
  <si>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</si>
  <si>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</si>
  <si>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</si>
  <si>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</si>
  <si>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</si>
  <si>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</si>
  <si>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</si>
  <si>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</si>
  <si>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</si>
  <si>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</si>
  <si>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</si>
  <si>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</si>
  <si>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</si>
  <si>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</si>
  <si>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</si>
  <si>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</si>
  <si>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</si>
  <si>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</si>
  <si>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</si>
  <si>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</si>
  <si>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</si>
  <si>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</si>
  <si>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</si>
  <si>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</si>
  <si>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</si>
  <si>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</si>
  <si>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</si>
  <si>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</si>
  <si>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</si>
  <si>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</si>
  <si>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</si>
  <si>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</si>
  <si>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</si>
  <si>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</si>
  <si>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</si>
  <si>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</si>
  <si>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</si>
  <si>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</si>
  <si>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</si>
  <si>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</si>
  <si>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</si>
  <si>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</si>
  <si>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</si>
  <si>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</si>
  <si>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</si>
  <si>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</si>
  <si>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</si>
  <si>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</si>
  <si>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</si>
  <si>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</si>
  <si>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</si>
  <si>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</si>
  <si>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</si>
  <si>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</si>
  <si>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</si>
  <si>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</si>
  <si>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</si>
  <si>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</si>
  <si>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</si>
  <si>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</si>
  <si>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</si>
  <si>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</si>
  <si>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</si>
  <si>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</si>
  <si>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</si>
  <si>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</si>
  <si>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</si>
  <si>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</si>
  <si>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</si>
  <si>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</si>
  <si>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</si>
  <si>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</si>
  <si>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</si>
  <si>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</si>
  <si>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</si>
  <si>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</si>
  <si>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</si>
  <si>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</si>
  <si>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</si>
  <si>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</si>
  <si>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</si>
  <si>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</si>
  <si>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</si>
  <si>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</si>
  <si>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</si>
  <si>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</si>
  <si>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</si>
  <si>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</si>
  <si>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</si>
  <si>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</si>
  <si>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</si>
  <si>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</si>
  <si>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</si>
  <si>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</si>
  <si>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</si>
  <si>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</si>
  <si>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</si>
  <si>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</si>
  <si>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</si>
  <si>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</si>
  <si>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</si>
  <si>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</si>
  <si>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</si>
  <si>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</si>
  <si>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</si>
  <si>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</si>
  <si>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</si>
  <si>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</si>
  <si>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</si>
  <si>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</si>
  <si>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</si>
  <si>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</si>
  <si>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</si>
  <si>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</si>
  <si>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</si>
  <si>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</si>
  <si>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</si>
  <si>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</si>
  <si>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</si>
  <si>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</si>
  <si>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</si>
  <si>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</si>
  <si>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</si>
  <si>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</si>
  <si>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</si>
  <si>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</si>
  <si>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</si>
  <si>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</si>
  <si>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</si>
  <si>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</si>
  <si>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</si>
  <si>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</si>
  <si>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</si>
  <si>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</si>
  <si>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</si>
  <si>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</si>
  <si>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</si>
  <si>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</si>
  <si>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</si>
  <si>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</si>
  <si>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</si>
  <si>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</si>
  <si>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</si>
  <si>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</si>
  <si>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</si>
  <si>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</si>
  <si>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</si>
  <si>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</si>
  <si>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</si>
  <si>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</si>
  <si>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</si>
  <si>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</si>
  <si>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</si>
  <si>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</si>
  <si>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</si>
  <si>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</si>
  <si>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</si>
  <si>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</si>
  <si>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</si>
  <si>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</si>
  <si>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</si>
  <si>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</si>
  <si>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</si>
  <si>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</si>
  <si>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</si>
  <si>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</si>
  <si>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</si>
  <si>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</si>
  <si>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</si>
  <si>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</si>
  <si>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</si>
  <si>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</si>
  <si>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</si>
  <si>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</si>
  <si>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</si>
  <si>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</si>
  <si>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</si>
  <si>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</si>
  <si>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</si>
  <si>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</si>
  <si>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</si>
  <si>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</si>
  <si>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</si>
  <si>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</si>
  <si>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</si>
  <si>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</si>
  <si>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</si>
  <si>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</si>
  <si>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</si>
  <si>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</si>
  <si>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</si>
  <si>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</si>
  <si>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</si>
  <si>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</si>
  <si>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</si>
  <si>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</si>
  <si>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</si>
  <si>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</si>
  <si>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</si>
  <si>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</si>
  <si>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</si>
  <si>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</si>
  <si>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</si>
  <si>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</si>
  <si>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</si>
  <si>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</si>
  <si>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</si>
  <si>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</si>
  <si>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</si>
  <si>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</si>
  <si>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</si>
  <si>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</si>
  <si>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</si>
  <si>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</si>
  <si>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</si>
  <si>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</si>
  <si>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</si>
  <si>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</si>
  <si>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</si>
  <si>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</si>
  <si>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</si>
  <si>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</si>
  <si>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</si>
  <si>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</si>
  <si>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</si>
  <si>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</si>
  <si>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</si>
  <si>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</si>
  <si>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</si>
  <si>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</si>
  <si>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</si>
  <si>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</si>
  <si>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</si>
  <si>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</si>
  <si>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</si>
  <si>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</si>
  <si>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</si>
  <si>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</si>
  <si>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</si>
  <si>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</si>
  <si>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</si>
  <si>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</si>
  <si>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</si>
  <si>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</si>
  <si>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</si>
  <si>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</si>
  <si>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</si>
  <si>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</si>
  <si>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</si>
  <si>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</si>
  <si>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</si>
  <si>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</si>
  <si>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</si>
  <si>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</si>
  <si>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</si>
  <si>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</si>
  <si>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</si>
  <si>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</si>
  <si>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</si>
  <si>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</si>
  <si>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</si>
  <si>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</si>
  <si>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</si>
  <si>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</si>
  <si>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</si>
  <si>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</si>
  <si>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</si>
  <si>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</si>
  <si>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</si>
  <si>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</si>
  <si>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</si>
  <si>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</si>
  <si>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</si>
  <si>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</si>
  <si>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</si>
  <si>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</si>
  <si>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</si>
  <si>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</si>
  <si>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</si>
  <si>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</si>
  <si>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</si>
  <si>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</si>
  <si>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</si>
  <si>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</si>
  <si>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</si>
  <si>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</si>
  <si>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</si>
  <si>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</si>
  <si>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</si>
  <si>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</si>
  <si>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</si>
  <si>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</si>
  <si>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</si>
  <si>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</si>
  <si>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</si>
  <si>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</si>
  <si>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</si>
  <si>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</si>
  <si>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</si>
  <si>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</si>
  <si>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</si>
  <si>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</si>
  <si>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</si>
  <si>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</si>
  <si>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</si>
  <si>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</si>
  <si>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</si>
  <si>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</si>
  <si>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</si>
  <si>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</si>
  <si>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</si>
  <si>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</si>
  <si>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</si>
  <si>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</si>
  <si>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</si>
  <si>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</si>
  <si>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</si>
  <si>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</si>
  <si>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</si>
  <si>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</si>
  <si>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</si>
  <si>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</si>
  <si>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</si>
  <si>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</si>
  <si>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</si>
  <si>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</si>
  <si>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</si>
  <si>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</si>
  <si>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</si>
  <si>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</si>
  <si>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</si>
  <si>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</si>
  <si>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</si>
  <si>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</si>
  <si>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</si>
  <si>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</si>
  <si>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</si>
  <si>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</si>
  <si>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</si>
  <si>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</si>
  <si>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</si>
  <si>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</si>
  <si>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</si>
  <si>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</si>
  <si>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</si>
  <si>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</si>
  <si>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</si>
  <si>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</si>
  <si>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</si>
  <si>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</si>
  <si>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</si>
  <si>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</si>
  <si>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</si>
  <si>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</si>
  <si>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</si>
  <si>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</si>
  <si>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</si>
  <si>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</si>
  <si>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</si>
  <si>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</si>
  <si>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</si>
  <si>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</si>
  <si>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</si>
  <si>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</si>
  <si>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</si>
  <si>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</si>
  <si>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</si>
  <si>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</si>
  <si>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</si>
  <si>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</si>
  <si>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</si>
  <si>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</si>
  <si>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</si>
  <si>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</si>
  <si>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</si>
  <si>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</si>
  <si>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</si>
  <si>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</si>
  <si>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</si>
  <si>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</si>
  <si>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</si>
  <si>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</si>
  <si>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</si>
  <si>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</si>
  <si>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</si>
  <si>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</si>
  <si>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</si>
  <si>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</si>
  <si>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</si>
  <si>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</si>
  <si>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</si>
  <si>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</si>
  <si>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</si>
  <si>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</si>
  <si>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</si>
  <si>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</si>
  <si>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</si>
  <si>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</si>
  <si>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</si>
  <si>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</si>
  <si>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</si>
  <si>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</si>
  <si>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</si>
  <si>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</si>
  <si>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</si>
  <si>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</si>
  <si>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</si>
  <si>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</si>
  <si>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</si>
  <si>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</si>
  <si>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</si>
  <si>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</si>
  <si>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</si>
  <si>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</si>
  <si>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</si>
  <si>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</si>
  <si>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</si>
  <si>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</si>
  <si>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</si>
  <si>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</si>
  <si>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</si>
  <si>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</si>
  <si>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</si>
  <si>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</si>
  <si>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</si>
  <si>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</si>
  <si>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</si>
  <si>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</si>
  <si>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</si>
  <si>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</si>
  <si>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</si>
  <si>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</si>
  <si>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</si>
  <si>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</si>
  <si>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</si>
  <si>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</si>
  <si>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</si>
  <si>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</si>
  <si>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</si>
  <si>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</si>
  <si>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</si>
  <si>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</si>
  <si>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</si>
  <si>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</si>
  <si>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</si>
  <si>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</si>
  <si>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</si>
  <si>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</si>
  <si>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</si>
  <si>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</si>
  <si>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</si>
  <si>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</si>
  <si>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</si>
  <si>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</si>
  <si>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</si>
  <si>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</si>
  <si>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</si>
  <si>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</si>
  <si>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</si>
  <si>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</si>
  <si>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</si>
  <si>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</si>
  <si>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</si>
  <si>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</si>
  <si>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</si>
  <si>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</si>
  <si>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</si>
  <si>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</si>
  <si>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</si>
  <si>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</si>
  <si>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</si>
  <si>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</si>
  <si>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</si>
  <si>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</si>
  <si>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</si>
  <si>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</si>
  <si>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</si>
  <si>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</si>
  <si>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</si>
  <si>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</si>
  <si>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</si>
  <si>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</si>
  <si>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</si>
  <si>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</si>
  <si>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</si>
  <si>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</si>
  <si>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</si>
  <si>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</si>
  <si>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</si>
  <si>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</si>
  <si>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</si>
  <si>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</si>
  <si>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</si>
  <si>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</si>
  <si>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</si>
  <si>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</si>
  <si>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</si>
  <si>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</si>
  <si>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</si>
  <si>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</si>
  <si>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</si>
  <si>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</si>
  <si>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</si>
  <si>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</si>
  <si>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</si>
  <si>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</si>
  <si>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</si>
  <si>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</si>
  <si>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</si>
  <si>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</si>
  <si>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</si>
  <si>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</si>
  <si>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</si>
  <si>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</si>
  <si>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</si>
  <si>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</si>
  <si>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</si>
  <si>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</si>
  <si>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</si>
  <si>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</si>
  <si>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</si>
  <si>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</si>
  <si>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</si>
  <si>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</si>
  <si>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</si>
  <si>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</si>
  <si>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</si>
  <si>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</si>
  <si>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</si>
  <si>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</si>
  <si>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</si>
  <si>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</si>
  <si>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</si>
  <si>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</si>
  <si>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</si>
  <si>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</si>
  <si>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</si>
  <si>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</si>
  <si>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</si>
  <si>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</si>
  <si>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</si>
  <si>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</si>
  <si>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</si>
  <si>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</si>
  <si>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</si>
  <si>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</si>
  <si>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</si>
  <si>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</si>
  <si>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</si>
  <si>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</si>
  <si>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</si>
  <si>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</si>
  <si>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</si>
  <si>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</si>
  <si>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</si>
  <si>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</si>
  <si>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</si>
  <si>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</si>
  <si>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</si>
  <si>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</si>
  <si>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</si>
  <si>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</si>
  <si>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</si>
  <si>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</si>
  <si>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</si>
  <si>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</si>
  <si>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</si>
  <si>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</si>
  <si>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</si>
  <si>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</si>
  <si>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</si>
  <si>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</si>
  <si>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</si>
  <si>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</si>
  <si>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</si>
  <si>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</si>
  <si>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</si>
  <si>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</si>
  <si>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</si>
  <si>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</si>
  <si>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</si>
  <si>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</si>
  <si>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</si>
  <si>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</si>
  <si>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</si>
  <si>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</si>
  <si>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</si>
  <si>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</si>
  <si>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</si>
  <si>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</si>
  <si>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</si>
  <si>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</si>
  <si>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</si>
  <si>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</si>
  <si>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</si>
  <si>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</si>
  <si>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</si>
  <si>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</si>
  <si>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</si>
  <si>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</si>
  <si>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</si>
  <si>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</si>
  <si>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</si>
  <si>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</si>
  <si>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</si>
  <si>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</si>
  <si>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</si>
  <si>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</si>
  <si>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</si>
  <si>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</si>
  <si>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</si>
  <si>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</si>
  <si>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</si>
  <si>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</si>
  <si>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</si>
  <si>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</si>
  <si>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</si>
  <si>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</si>
  <si>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</si>
  <si>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</si>
  <si>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</si>
  <si>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</si>
  <si>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</si>
  <si>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</si>
  <si>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</si>
  <si>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</si>
  <si>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</si>
  <si>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</si>
  <si>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</si>
  <si>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</si>
  <si>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</si>
  <si>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</si>
  <si>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</si>
  <si>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</si>
  <si>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</si>
  <si>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</si>
  <si>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</si>
  <si>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</si>
  <si>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</si>
  <si>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</si>
  <si>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</si>
  <si>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</si>
  <si>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</si>
  <si>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</si>
  <si>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</si>
  <si>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</si>
  <si>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</si>
  <si>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</si>
  <si>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</si>
  <si>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</si>
  <si>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</si>
  <si>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</si>
  <si>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</si>
  <si>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</si>
  <si>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</si>
  <si>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</si>
  <si>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</si>
  <si>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</si>
  <si>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</si>
  <si>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</si>
  <si>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</si>
  <si>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</si>
  <si>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</si>
  <si>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</si>
  <si>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</si>
  <si>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</si>
  <si>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</si>
  <si>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</si>
  <si>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</si>
  <si>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</si>
  <si>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</si>
  <si>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</si>
  <si>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</si>
  <si>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</si>
  <si>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</si>
  <si>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</si>
  <si>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</si>
  <si>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</si>
  <si>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</si>
  <si>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</si>
  <si>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</si>
  <si>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</si>
  <si>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</si>
  <si>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</si>
  <si>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</si>
  <si>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</si>
  <si>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</si>
  <si>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</si>
  <si>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</si>
  <si>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</si>
  <si>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</si>
  <si>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</si>
  <si>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</si>
  <si>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</si>
  <si>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</si>
  <si>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</si>
  <si>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</si>
  <si>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</si>
  <si>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</si>
  <si>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</si>
  <si>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</si>
  <si>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</si>
  <si>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</si>
  <si>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</si>
  <si>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</si>
  <si>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</si>
  <si>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</si>
  <si>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</si>
  <si>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</si>
  <si>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</si>
  <si>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</si>
  <si>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</si>
  <si>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</si>
  <si>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</si>
  <si>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</si>
  <si>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</si>
  <si>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</si>
  <si>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</si>
  <si>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</si>
  <si>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</si>
  <si>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</si>
  <si>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</si>
  <si>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</si>
  <si>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</si>
  <si>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</si>
  <si>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</si>
  <si>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</si>
  <si>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</si>
  <si>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</si>
  <si>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</si>
  <si>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</si>
  <si>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</si>
  <si>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</si>
  <si>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</si>
  <si>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</si>
  <si>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</si>
  <si>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</si>
  <si>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</si>
  <si>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</si>
  <si>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</si>
  <si>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</si>
  <si>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</si>
  <si>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</si>
  <si>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</si>
  <si>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</si>
  <si>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</si>
  <si>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</si>
  <si>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</si>
  <si>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</si>
  <si>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</si>
  <si>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</si>
  <si>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</si>
  <si>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</si>
  <si>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</si>
  <si>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</si>
  <si>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</si>
  <si>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</si>
  <si>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</si>
  <si>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</si>
  <si>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</si>
  <si>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</si>
  <si>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</si>
  <si>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</si>
  <si>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</si>
  <si>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</si>
  <si>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</si>
  <si>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</si>
  <si>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</si>
  <si>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</si>
  <si>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</si>
  <si>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</si>
  <si>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</si>
  <si>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</si>
  <si>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</si>
  <si>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</si>
  <si>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</si>
  <si>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</si>
  <si>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</si>
  <si>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</si>
  <si>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</si>
  <si>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</si>
  <si>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</si>
  <si>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</si>
  <si>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</si>
  <si>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</si>
  <si>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</si>
  <si>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</si>
  <si>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</si>
  <si>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</si>
  <si>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</si>
  <si>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</si>
  <si>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</si>
  <si>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</si>
  <si>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</si>
  <si>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</si>
  <si>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</si>
  <si>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</si>
  <si>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</si>
  <si>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</si>
  <si>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</si>
  <si>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</si>
  <si>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</si>
  <si>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</si>
  <si>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</si>
  <si>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</si>
  <si>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</si>
  <si>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</si>
  <si>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</si>
  <si>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</si>
  <si>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</si>
  <si>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</si>
  <si>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</si>
  <si>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</si>
  <si>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</si>
  <si>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</si>
  <si>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</si>
  <si>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</si>
  <si>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</si>
  <si>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</si>
  <si>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</si>
  <si>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</si>
  <si>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</si>
  <si>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</si>
  <si>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</si>
  <si>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</si>
  <si>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</si>
  <si>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</si>
  <si>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</si>
  <si>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</si>
  <si>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</si>
  <si>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</si>
  <si>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</si>
  <si>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</si>
  <si>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</si>
  <si>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</si>
  <si>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</si>
  <si>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</si>
  <si>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</si>
  <si>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</si>
  <si>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</si>
  <si>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</si>
  <si>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</si>
  <si>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</si>
  <si>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</si>
  <si>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</si>
  <si>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</si>
  <si>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</si>
  <si>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</si>
  <si>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</si>
  <si>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</si>
  <si>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</si>
  <si>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</si>
  <si>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</si>
  <si>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</si>
  <si>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</si>
  <si>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</si>
  <si>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</si>
  <si>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</si>
  <si>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</si>
  <si>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</si>
  <si>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</si>
  <si>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</si>
  <si>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</si>
  <si>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</si>
  <si>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</si>
  <si>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</si>
  <si>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</si>
  <si>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</si>
  <si>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</si>
  <si>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</si>
  <si>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</si>
  <si>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</si>
  <si>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</si>
  <si>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</si>
  <si>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</si>
  <si>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</si>
  <si>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</si>
  <si>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</si>
  <si>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</si>
  <si>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</si>
  <si>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</si>
  <si>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</si>
  <si>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</si>
  <si>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</si>
  <si>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</si>
  <si>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</si>
  <si>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</si>
  <si>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</si>
  <si>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</si>
  <si>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</si>
  <si>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</si>
  <si>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</si>
  <si>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</si>
  <si>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</si>
  <si>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</si>
  <si>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</si>
  <si>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</si>
  <si>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</si>
  <si>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</si>
  <si>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</si>
  <si>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</si>
  <si>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</si>
  <si>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</si>
  <si>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</si>
  <si>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</si>
  <si>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</si>
  <si>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</si>
  <si>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</si>
  <si>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</si>
  <si>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</si>
  <si>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</si>
  <si>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</si>
  <si>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</si>
  <si>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</si>
  <si>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</si>
  <si>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</si>
  <si>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</si>
  <si>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</si>
  <si>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</si>
  <si>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</si>
  <si>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</si>
  <si>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</si>
  <si>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</si>
  <si>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</si>
  <si>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</si>
  <si>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</si>
  <si>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</si>
  <si>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</si>
  <si>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</si>
  <si>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</si>
  <si>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</si>
  <si>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</si>
  <si>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</si>
  <si>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</si>
  <si>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</si>
  <si>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</si>
  <si>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</si>
  <si>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</si>
  <si>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</si>
  <si>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</si>
  <si>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</si>
  <si>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</si>
  <si>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</si>
  <si>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</si>
  <si>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</si>
  <si>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</si>
  <si>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</si>
  <si>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</si>
  <si>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</si>
  <si>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</si>
  <si>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</si>
  <si>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</si>
  <si>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</si>
  <si>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</si>
  <si>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</si>
  <si>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</si>
  <si>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</si>
  <si>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</si>
  <si>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</si>
  <si>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</si>
  <si>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</si>
  <si>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</si>
  <si>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</si>
  <si>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</si>
  <si>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</si>
  <si>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</si>
  <si>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</si>
  <si>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</si>
  <si>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</si>
  <si>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</si>
  <si>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</si>
  <si>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</si>
  <si>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</si>
  <si>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</si>
  <si>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</si>
  <si>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</si>
  <si>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</si>
  <si>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</si>
  <si>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</si>
  <si>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</si>
  <si>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</si>
  <si>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</si>
  <si>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</si>
  <si>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</si>
  <si>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</si>
  <si>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</si>
  <si>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</si>
  <si>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</si>
  <si>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</si>
  <si>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</si>
  <si>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</si>
  <si>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</si>
  <si>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</si>
  <si>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</si>
  <si>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</si>
  <si>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</si>
  <si>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</si>
  <si>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</si>
  <si>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</si>
  <si>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</si>
  <si>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</si>
  <si>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</si>
  <si>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</si>
  <si>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</si>
  <si>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</si>
  <si>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</si>
  <si>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</si>
  <si>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</si>
  <si>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</si>
  <si>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</si>
  <si>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</si>
  <si>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</si>
  <si>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</si>
  <si>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</si>
  <si>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</si>
  <si>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</si>
  <si>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</si>
  <si>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</si>
  <si>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</si>
  <si>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</si>
  <si>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</si>
  <si>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</si>
  <si>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</si>
  <si>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</si>
  <si>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</si>
  <si>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</si>
  <si>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</si>
  <si>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</si>
  <si>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</si>
  <si>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</si>
  <si>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</si>
  <si>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</si>
  <si>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</si>
  <si>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</si>
  <si>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</si>
  <si>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</si>
  <si>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</si>
  <si>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</si>
  <si>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</si>
  <si>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</si>
  <si>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</si>
  <si>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</si>
  <si>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</si>
  <si>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</si>
  <si>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</si>
  <si>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</si>
  <si>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</si>
  <si>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</si>
  <si>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</si>
  <si>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</si>
  <si>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</si>
  <si>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</si>
  <si>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</si>
  <si>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</si>
  <si>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</si>
  <si>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</si>
  <si>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</si>
  <si>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</si>
  <si>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</si>
  <si>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</si>
  <si>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</si>
  <si>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</si>
  <si>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</si>
  <si>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</si>
  <si>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</si>
  <si>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</si>
  <si>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</si>
  <si>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</si>
  <si>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</si>
  <si>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</si>
  <si>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</si>
  <si>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</si>
  <si>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</si>
  <si>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</si>
  <si>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</si>
  <si>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</si>
  <si>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</si>
  <si>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</si>
  <si>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</si>
  <si>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</si>
  <si>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</si>
  <si>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</si>
  <si>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</si>
  <si>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</si>
  <si>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</si>
  <si>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</si>
  <si>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</si>
  <si>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</si>
  <si>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</si>
  <si>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</si>
  <si>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</si>
  <si>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</si>
  <si>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</si>
  <si>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</si>
  <si>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</si>
  <si>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</si>
  <si>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</si>
  <si>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</si>
  <si>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</si>
  <si>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</si>
  <si>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</si>
  <si>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</si>
  <si>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</si>
  <si>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</si>
  <si>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</si>
  <si>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</si>
  <si>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</si>
  <si>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</si>
  <si>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</si>
  <si>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</si>
  <si>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</si>
  <si>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</si>
  <si>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</si>
  <si>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</si>
  <si>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</si>
  <si>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</si>
  <si>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</si>
  <si>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</si>
  <si>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</si>
  <si>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</si>
  <si>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</si>
  <si>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</si>
  <si>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</si>
  <si>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</si>
  <si>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</si>
  <si>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</si>
  <si>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</si>
  <si>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</si>
  <si>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</si>
  <si>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</si>
  <si>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</si>
  <si>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</si>
  <si>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</si>
  <si>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</si>
  <si>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</si>
  <si>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</si>
  <si>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</si>
  <si>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</si>
  <si>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</si>
  <si>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</si>
  <si>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</si>
  <si>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</si>
  <si>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</si>
  <si>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</si>
  <si>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</si>
  <si>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</si>
  <si>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</si>
  <si>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</si>
  <si>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</si>
  <si>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</si>
  <si>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</si>
  <si>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</si>
  <si>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</si>
  <si>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</si>
  <si>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</si>
  <si>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</si>
  <si>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</si>
  <si>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</si>
  <si>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</si>
  <si>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</si>
  <si>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</si>
  <si>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</si>
  <si>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</si>
  <si>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</si>
  <si>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</si>
  <si>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</si>
  <si>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</si>
  <si>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</si>
  <si>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</si>
  <si>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</si>
  <si>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</si>
  <si>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</si>
  <si>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</si>
  <si>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</si>
  <si>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</si>
  <si>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</si>
  <si>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</si>
  <si>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</si>
  <si>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</si>
  <si>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</si>
  <si>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</si>
  <si>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</si>
  <si>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</si>
  <si>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</si>
  <si>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</si>
  <si>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</si>
  <si>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</si>
  <si>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</si>
  <si>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</si>
  <si>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</si>
  <si>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</si>
  <si>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</si>
  <si>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</si>
  <si>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</si>
  <si>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</si>
  <si>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</si>
  <si>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</si>
  <si>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</si>
  <si>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</si>
  <si>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</si>
  <si>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</si>
  <si>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</si>
  <si>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</si>
  <si>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</si>
  <si>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</si>
  <si>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</si>
  <si>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</si>
  <si>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</si>
  <si>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</si>
  <si>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</si>
  <si>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</si>
  <si>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</si>
  <si>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</si>
  <si>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</si>
  <si>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</si>
  <si>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</si>
  <si>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</si>
  <si>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</si>
  <si>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</si>
  <si>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</si>
  <si>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</si>
  <si>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</si>
  <si>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</si>
  <si>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</si>
  <si>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</si>
  <si>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</si>
  <si>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</si>
  <si>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</si>
  <si>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</si>
  <si>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</si>
  <si>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</si>
  <si>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</si>
  <si>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</si>
  <si>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</si>
  <si>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</si>
  <si>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</si>
  <si>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</si>
  <si>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</si>
  <si>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</si>
  <si>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</si>
  <si>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</si>
  <si>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</si>
  <si>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</si>
  <si>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</si>
  <si>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</si>
  <si>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</si>
  <si>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</si>
  <si>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</si>
  <si>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</si>
  <si>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</si>
  <si>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</si>
  <si>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</si>
  <si>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</si>
  <si>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</si>
  <si>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</si>
  <si>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</si>
  <si>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</si>
  <si>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</si>
  <si>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</si>
  <si>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</si>
  <si>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</si>
  <si>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</si>
  <si>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</si>
  <si>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</si>
  <si>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</si>
  <si>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</si>
  <si>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</si>
  <si>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</si>
  <si>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</si>
  <si>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</si>
  <si>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</si>
  <si>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</si>
  <si>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</si>
  <si>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</si>
  <si>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</si>
  <si>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</si>
  <si>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</si>
  <si>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</si>
  <si>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</si>
  <si>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</si>
  <si>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</si>
  <si>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</si>
  <si>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</si>
  <si>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</si>
  <si>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</si>
  <si>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</si>
  <si>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</si>
  <si>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</si>
  <si>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</si>
  <si>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</si>
  <si>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</si>
  <si>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</si>
  <si>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</si>
  <si>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</si>
  <si>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</si>
  <si>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</si>
  <si>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</si>
  <si>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</si>
  <si>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</si>
  <si>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</si>
  <si>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</si>
  <si>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</si>
  <si>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</si>
  <si>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</si>
  <si>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</si>
  <si>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</si>
  <si>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</si>
  <si>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</si>
  <si>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</si>
  <si>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</si>
  <si>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</si>
  <si>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</si>
  <si>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</si>
  <si>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</si>
  <si>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</si>
  <si>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</si>
  <si>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</si>
  <si>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</si>
  <si>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</si>
  <si>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</si>
  <si>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</si>
  <si>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</si>
  <si>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</si>
  <si>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</si>
  <si>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</si>
  <si>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</si>
  <si>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</si>
  <si>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</si>
  <si>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</si>
  <si>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</si>
  <si>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</si>
  <si>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</si>
  <si>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</si>
  <si>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</si>
  <si>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</si>
  <si>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</si>
  <si>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</si>
  <si>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</si>
  <si>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</si>
  <si>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</si>
  <si>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</si>
  <si>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</si>
  <si>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</si>
  <si>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</si>
  <si>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</si>
  <si>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</si>
  <si>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</si>
  <si>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</si>
  <si>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</si>
  <si>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</si>
  <si>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</si>
  <si>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</si>
  <si>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</si>
  <si>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</si>
  <si>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</si>
  <si>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</si>
  <si>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</si>
  <si>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</si>
  <si>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</si>
  <si>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</si>
  <si>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</si>
  <si>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</si>
  <si>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</si>
  <si>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</si>
  <si>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</si>
  <si>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</si>
  <si>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</si>
  <si>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</si>
  <si>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</si>
  <si>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</si>
  <si>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</si>
  <si>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</si>
  <si>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</si>
  <si>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</si>
  <si>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</si>
  <si>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</si>
  <si>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</si>
  <si>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</si>
  <si>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</si>
  <si>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</si>
  <si>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</si>
  <si>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</si>
  <si>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</si>
  <si>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</si>
  <si>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</si>
  <si>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</si>
  <si>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</si>
  <si>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</si>
  <si>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</si>
  <si>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</si>
  <si>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</si>
  <si>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</si>
  <si>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</si>
  <si>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</si>
  <si>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</si>
  <si>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</si>
  <si>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</si>
  <si>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</si>
  <si>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</si>
  <si>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</si>
  <si>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</si>
  <si>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</si>
  <si>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</si>
  <si>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</si>
  <si>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</si>
  <si>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</si>
  <si>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</si>
  <si>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</si>
  <si>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</si>
  <si>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</si>
  <si>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</si>
  <si>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</si>
  <si>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</si>
  <si>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</si>
  <si>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</si>
  <si>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</si>
  <si>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</si>
  <si>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</si>
  <si>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</si>
  <si>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</si>
  <si>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</si>
  <si>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</si>
  <si>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</si>
  <si>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</si>
  <si>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</si>
  <si>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</si>
  <si>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</si>
  <si>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</si>
  <si>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</si>
  <si>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</si>
  <si>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</si>
  <si>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</si>
  <si>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</si>
  <si>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</si>
  <si>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</si>
  <si>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</si>
  <si>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</si>
  <si>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</si>
  <si>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</si>
  <si>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</si>
  <si>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</si>
  <si>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</si>
  <si>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</si>
  <si>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</si>
  <si>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</si>
  <si>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</si>
  <si>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</si>
  <si>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</si>
  <si>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</si>
  <si>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</si>
  <si>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</si>
  <si>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</si>
  <si>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</si>
  <si>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</si>
  <si>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</si>
  <si>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</si>
  <si>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</si>
  <si>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</si>
  <si>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</si>
  <si>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</si>
  <si>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</si>
  <si>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</si>
  <si>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</si>
  <si>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</si>
  <si>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</si>
  <si>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</si>
  <si>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</si>
  <si>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</si>
  <si>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</si>
  <si>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</si>
  <si>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</si>
  <si>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</si>
  <si>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</si>
  <si>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</si>
  <si>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</si>
  <si>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</si>
  <si>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</si>
  <si>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</si>
  <si>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</si>
  <si>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</si>
  <si>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</si>
  <si>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</si>
  <si>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</si>
  <si>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</si>
  <si>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</si>
  <si>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</si>
  <si>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</si>
  <si>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</si>
  <si>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</si>
  <si>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</si>
  <si>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</si>
  <si>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</si>
  <si>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</si>
  <si>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</si>
  <si>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</si>
  <si>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</si>
  <si>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</si>
  <si>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</si>
  <si>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</si>
  <si>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</si>
  <si>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</si>
  <si>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</si>
  <si>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</si>
  <si>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</si>
  <si>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</si>
  <si>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</si>
  <si>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</si>
  <si>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</si>
  <si>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</si>
  <si>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</si>
  <si>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</si>
  <si>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</si>
  <si>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</si>
  <si>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</si>
  <si>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</si>
  <si>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</si>
  <si>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</si>
  <si>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</si>
  <si>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</si>
  <si>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</si>
  <si>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</si>
  <si>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</si>
  <si>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</si>
  <si>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</si>
  <si>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</si>
  <si>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</si>
  <si>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</si>
  <si>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</si>
  <si>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</si>
  <si>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</si>
  <si>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</si>
  <si>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</si>
  <si>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</si>
  <si>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</si>
  <si>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</si>
  <si>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</si>
  <si>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</si>
  <si>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</si>
  <si>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</si>
  <si>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</si>
  <si>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</si>
  <si>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</si>
  <si>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</si>
  <si>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</si>
  <si>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</si>
  <si>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</si>
  <si>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</si>
  <si>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</si>
  <si>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</si>
  <si>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</si>
  <si>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</si>
  <si>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</si>
  <si>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</si>
  <si>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</si>
  <si>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</si>
  <si>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</si>
  <si>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</si>
  <si>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</si>
  <si>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</si>
  <si>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</si>
  <si>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</si>
  <si>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</si>
  <si>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</si>
  <si>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</si>
  <si>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</si>
  <si>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</si>
  <si>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</si>
  <si>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</si>
  <si>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</si>
  <si>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</si>
  <si>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</si>
  <si>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</si>
  <si>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</si>
  <si>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</si>
  <si>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</si>
  <si>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</si>
  <si>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</si>
  <si>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</si>
  <si>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</si>
  <si>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</si>
  <si>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</si>
  <si>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</si>
  <si>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</si>
  <si>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</si>
  <si>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</si>
  <si>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</si>
  <si>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</si>
  <si>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</si>
  <si>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</si>
  <si>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</si>
  <si>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</si>
  <si>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</si>
  <si>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</si>
  <si>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</si>
  <si>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</si>
  <si>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</si>
  <si>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</si>
  <si>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</si>
  <si>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</si>
  <si>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</si>
  <si>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</si>
  <si>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</si>
  <si>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</si>
  <si>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</si>
  <si>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</si>
  <si>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</si>
  <si>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</si>
  <si>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</si>
  <si>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</si>
  <si>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</si>
  <si>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</si>
  <si>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</si>
  <si>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</si>
  <si>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</si>
  <si>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</si>
  <si>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</si>
  <si>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</si>
  <si>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</si>
  <si>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</si>
  <si>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</si>
  <si>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</si>
  <si>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</si>
  <si>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</si>
  <si>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</si>
  <si>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</si>
  <si>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</si>
  <si>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</si>
  <si>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</si>
  <si>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</si>
  <si>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</si>
  <si>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</si>
  <si>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</si>
  <si>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</si>
  <si>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</si>
  <si>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</si>
  <si>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</si>
  <si>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</si>
  <si>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</si>
  <si>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</si>
  <si>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</si>
  <si>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</si>
  <si>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</si>
  <si>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</si>
  <si>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</si>
  <si>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</si>
  <si>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</si>
  <si>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</si>
  <si>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</si>
  <si>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</si>
  <si>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</si>
  <si>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</si>
  <si>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</si>
  <si>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</si>
  <si>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</si>
  <si>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</si>
  <si>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</si>
  <si>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</si>
  <si>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</si>
  <si>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</si>
  <si>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</si>
  <si>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</si>
  <si>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</si>
  <si>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</si>
  <si>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</si>
  <si>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</si>
  <si>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</si>
  <si>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</si>
  <si>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</si>
  <si>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</si>
  <si>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</si>
  <si>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</si>
  <si>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</si>
  <si>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</si>
  <si>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</si>
  <si>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</si>
  <si>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</si>
  <si>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</si>
  <si>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</si>
  <si>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</si>
  <si>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</si>
  <si>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</si>
  <si>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</si>
  <si>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</si>
  <si>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</si>
  <si>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</si>
  <si>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</si>
  <si>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</si>
  <si>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</si>
  <si>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</si>
  <si>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</si>
  <si>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</si>
  <si>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</si>
  <si>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</si>
  <si>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</si>
  <si>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</si>
  <si>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</si>
  <si>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</si>
  <si>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</si>
  <si>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</si>
  <si>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</si>
  <si>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</si>
  <si>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</si>
  <si>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</si>
  <si>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</si>
  <si>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</si>
  <si>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</si>
  <si>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</si>
  <si>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</si>
  <si>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</si>
  <si>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</si>
  <si>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</si>
  <si>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</si>
  <si>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</si>
  <si>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</si>
  <si>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</si>
  <si>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</si>
  <si>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</si>
  <si>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</si>
  <si>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</si>
  <si>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</si>
  <si>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</si>
  <si>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</si>
  <si>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</si>
  <si>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</si>
  <si>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</si>
  <si>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</si>
  <si>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</si>
  <si>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</si>
  <si>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</si>
  <si>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</si>
  <si>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</si>
  <si>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</si>
  <si>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</si>
  <si>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</si>
  <si>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</si>
  <si>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</si>
  <si>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</si>
  <si>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</si>
  <si>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</si>
  <si>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</si>
  <si>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</si>
  <si>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</si>
  <si>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</si>
  <si>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</si>
  <si>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</si>
  <si>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</si>
  <si>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</si>
  <si>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</si>
  <si>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</si>
  <si>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</si>
  <si>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</si>
  <si>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</si>
  <si>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</si>
  <si>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</si>
  <si>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</si>
  <si>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</si>
  <si>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</si>
  <si>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</si>
  <si>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</si>
  <si>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</si>
  <si>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</si>
  <si>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</si>
  <si>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</si>
  <si>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</si>
  <si>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</si>
  <si>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</si>
  <si>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</si>
  <si>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</si>
  <si>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</si>
  <si>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</si>
  <si>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</si>
  <si>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</si>
  <si>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</si>
  <si>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</si>
  <si>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</si>
  <si>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</si>
  <si>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</si>
  <si>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</si>
  <si>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</si>
  <si>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</si>
  <si>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</si>
  <si>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</si>
  <si>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</si>
  <si>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</si>
  <si>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</si>
  <si>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</si>
  <si>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</si>
  <si>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</si>
  <si>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</si>
  <si>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</si>
  <si>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</si>
  <si>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</si>
  <si>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</si>
  <si>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</si>
  <si>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</si>
  <si>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</si>
  <si>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</si>
  <si>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</si>
  <si>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</si>
  <si>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</si>
  <si>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</si>
  <si>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</si>
  <si>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</si>
  <si>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</si>
  <si>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</si>
  <si>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</si>
  <si>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</si>
  <si>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</si>
  <si>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</si>
  <si>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</si>
  <si>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</si>
  <si>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</si>
  <si>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</si>
  <si>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</si>
  <si>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</si>
  <si>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</si>
  <si>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</si>
  <si>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</si>
  <si>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</si>
  <si>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</si>
  <si>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</si>
  <si>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</si>
  <si>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</si>
  <si>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</si>
  <si>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</si>
  <si>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</si>
  <si>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</si>
  <si>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</si>
  <si>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</si>
  <si>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</si>
  <si>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</si>
  <si>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</si>
  <si>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</si>
  <si>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</si>
  <si>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</si>
  <si>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</si>
  <si>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</si>
  <si>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</si>
  <si>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</si>
  <si>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</si>
  <si>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</si>
  <si>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</si>
  <si>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</si>
  <si>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</si>
  <si>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</si>
  <si>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</si>
  <si>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</si>
  <si>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</si>
  <si>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</si>
  <si>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</si>
  <si>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</si>
  <si>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</si>
  <si>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</si>
  <si>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</si>
  <si>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</si>
  <si>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</si>
  <si>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</si>
  <si>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</si>
  <si>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</si>
  <si>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</si>
  <si>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</si>
  <si>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</si>
  <si>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</si>
  <si>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</si>
  <si>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</si>
  <si>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</si>
  <si>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</si>
  <si>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</si>
  <si>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</si>
  <si>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</si>
  <si>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</si>
  <si>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</si>
  <si>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</si>
  <si>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</si>
  <si>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</si>
  <si>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</si>
  <si>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</si>
  <si>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</si>
  <si>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</si>
  <si>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</si>
  <si>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</si>
  <si>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</si>
  <si>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</si>
  <si>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</si>
  <si>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</si>
  <si>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</si>
  <si>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</si>
  <si>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</si>
  <si>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</si>
  <si>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</si>
  <si>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</si>
  <si>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</si>
  <si>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</si>
  <si>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</si>
  <si>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</si>
  <si>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</si>
  <si>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</si>
  <si>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</si>
  <si>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</si>
  <si>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</si>
  <si>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</si>
  <si>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</si>
  <si>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</si>
  <si>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</si>
  <si>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</si>
  <si>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</si>
  <si>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</si>
  <si>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</si>
  <si>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</si>
  <si>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</si>
  <si>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</si>
  <si>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</si>
  <si>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</si>
  <si>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</si>
  <si>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</si>
  <si>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</si>
  <si>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</si>
  <si>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</si>
  <si>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</si>
  <si>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</si>
  <si>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</si>
  <si>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</si>
  <si>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</si>
  <si>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</si>
  <si>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</si>
  <si>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</si>
  <si>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</si>
  <si>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</si>
  <si>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</si>
  <si>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</si>
  <si>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</si>
  <si>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</si>
  <si>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</si>
  <si>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</si>
  <si>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</si>
  <si>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</si>
  <si>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</si>
  <si>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</si>
  <si>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</si>
  <si>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</si>
  <si>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</si>
  <si>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</si>
  <si>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</si>
  <si>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</si>
  <si>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</si>
  <si>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</si>
  <si>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</si>
  <si>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</si>
  <si>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</si>
  <si>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</si>
  <si>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</si>
  <si>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</si>
  <si>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</si>
  <si>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</si>
  <si>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</si>
  <si>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</si>
  <si>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</si>
  <si>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</si>
  <si>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</si>
  <si>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</si>
  <si>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</si>
  <si>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</si>
  <si>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</si>
  <si>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</si>
  <si>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</si>
  <si>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</si>
  <si>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</si>
  <si>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</si>
  <si>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</si>
  <si>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</si>
  <si>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</si>
  <si>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</si>
  <si>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</si>
  <si>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</si>
  <si>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</si>
  <si>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</si>
  <si>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</si>
  <si>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</si>
  <si>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</si>
  <si>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</si>
  <si>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</si>
  <si>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</si>
  <si>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</si>
  <si>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</si>
  <si>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</si>
  <si>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</si>
  <si>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</si>
  <si>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</si>
  <si>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</si>
  <si>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</si>
  <si>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</si>
  <si>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</si>
  <si>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</si>
  <si>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</si>
  <si>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</si>
  <si>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</si>
  <si>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</si>
  <si>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</si>
  <si>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</si>
  <si>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</si>
  <si>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</si>
  <si>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</si>
  <si>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</si>
  <si>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</si>
  <si>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</si>
  <si>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</si>
  <si>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</si>
  <si>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</si>
  <si>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</si>
  <si>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</si>
  <si>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</si>
  <si>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</si>
  <si>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</si>
  <si>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</si>
  <si>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</si>
  <si>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</si>
  <si>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</si>
  <si>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</si>
  <si>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</si>
  <si>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</si>
  <si>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</si>
  <si>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</si>
  <si>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</si>
  <si>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</si>
  <si>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</si>
  <si>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</si>
  <si>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</si>
  <si>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</si>
  <si>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</si>
  <si>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</si>
  <si>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</si>
  <si>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</si>
  <si>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</si>
  <si>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</si>
  <si>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</si>
  <si>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</si>
  <si>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</si>
  <si>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</si>
  <si>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</si>
  <si>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</si>
  <si>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</si>
  <si>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</si>
  <si>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</si>
  <si>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</si>
  <si>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</si>
  <si>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</si>
  <si>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</si>
  <si>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</si>
  <si>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</si>
  <si>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</si>
  <si>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</si>
  <si>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</si>
  <si>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</si>
  <si>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</si>
  <si>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</si>
  <si>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</si>
  <si>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</si>
  <si>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</si>
  <si>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</si>
  <si>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</si>
  <si>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</si>
  <si>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</si>
  <si>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</si>
  <si>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</si>
  <si>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</si>
  <si>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</si>
  <si>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</si>
  <si>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</si>
  <si>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</si>
  <si>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</si>
  <si>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</si>
  <si>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</si>
  <si>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</si>
  <si>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</si>
  <si>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</si>
  <si>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</si>
  <si>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</si>
  <si>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</si>
  <si>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</si>
  <si>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</si>
  <si>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</si>
  <si>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</si>
  <si>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</si>
  <si>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</si>
  <si>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</si>
  <si>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</si>
  <si>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</si>
  <si>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</si>
  <si>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</si>
  <si>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</si>
  <si>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</si>
  <si>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</si>
  <si>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</si>
  <si>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</si>
  <si>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</si>
  <si>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</si>
  <si>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</si>
  <si>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</si>
  <si>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</si>
  <si>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</si>
  <si>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</si>
  <si>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</si>
  <si>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</si>
  <si>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</si>
  <si>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</si>
  <si>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</si>
  <si>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</si>
  <si>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</si>
  <si>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</si>
  <si>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</si>
  <si>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</si>
  <si>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</si>
  <si>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</si>
  <si>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</si>
  <si>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</si>
  <si>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</si>
  <si>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</si>
  <si>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</si>
  <si>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</si>
  <si>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</si>
  <si>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</si>
  <si>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</si>
  <si>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</si>
  <si>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</si>
  <si>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</si>
  <si>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</si>
  <si>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</si>
  <si>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</si>
  <si>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</si>
  <si>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</si>
  <si>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</si>
  <si>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</si>
  <si>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</si>
  <si>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</si>
  <si>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</si>
  <si>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</si>
  <si>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</si>
  <si>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</si>
  <si>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</si>
  <si>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</si>
  <si>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</si>
  <si>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</si>
  <si>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</si>
  <si>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</si>
  <si>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</si>
  <si>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</si>
  <si>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</si>
  <si>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</si>
  <si>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</si>
  <si>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</si>
  <si>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</si>
  <si>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</si>
  <si>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</si>
  <si>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</si>
  <si>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</si>
  <si>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</si>
  <si>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</si>
  <si>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</si>
  <si>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</si>
  <si>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</si>
  <si>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</si>
  <si>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</si>
  <si>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</si>
  <si>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</si>
  <si>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</si>
  <si>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</si>
  <si>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</si>
  <si>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</si>
  <si>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</si>
  <si>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</si>
  <si>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</si>
  <si>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</si>
  <si>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</si>
  <si>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</si>
  <si>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</si>
  <si>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</si>
  <si>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</si>
  <si>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</si>
  <si>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</si>
  <si>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</si>
  <si>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</si>
  <si>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</si>
  <si>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</si>
  <si>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</si>
  <si>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</si>
  <si>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</si>
  <si>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</si>
  <si>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</si>
  <si>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</si>
  <si>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</si>
  <si>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</si>
  <si>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</si>
  <si>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</si>
  <si>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</si>
  <si>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</si>
  <si>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</si>
  <si>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</si>
  <si>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</si>
  <si>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</si>
  <si>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</si>
  <si>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</si>
  <si>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</si>
  <si>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</si>
  <si>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</si>
  <si>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</si>
  <si>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</si>
  <si>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</si>
  <si>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</si>
  <si>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</si>
  <si>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</si>
  <si>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</si>
  <si>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</si>
  <si>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</si>
  <si>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</si>
  <si>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</si>
  <si>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</si>
  <si>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</si>
  <si>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</si>
  <si>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</si>
  <si>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</si>
  <si>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</si>
  <si>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</si>
  <si>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</si>
  <si>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</si>
  <si>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</si>
  <si>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</si>
  <si>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</si>
  <si>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</si>
  <si>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</si>
  <si>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</si>
  <si>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</si>
  <si>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</si>
  <si>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</si>
  <si>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</si>
  <si>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</si>
  <si>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</si>
  <si>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</si>
  <si>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</si>
  <si>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</si>
  <si>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</si>
  <si>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</si>
  <si>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</si>
  <si>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</si>
  <si>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</si>
  <si>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</si>
  <si>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</si>
  <si>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</si>
  <si>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</si>
  <si>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</si>
  <si>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</si>
  <si>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</si>
  <si>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</si>
  <si>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</si>
  <si>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</si>
  <si>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</si>
  <si>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</si>
  <si>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</si>
  <si>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</si>
  <si>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</si>
  <si>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</si>
  <si>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</si>
  <si>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</si>
  <si>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</si>
  <si>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</si>
  <si>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</si>
  <si>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</si>
  <si>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</si>
  <si>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</si>
  <si>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</si>
  <si>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</si>
  <si>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</si>
  <si>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</si>
  <si>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</si>
  <si>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</si>
  <si>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</si>
  <si>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</si>
  <si>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</si>
  <si>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</si>
  <si>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</si>
  <si>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</si>
  <si>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</si>
  <si>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</si>
  <si>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</si>
  <si>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</si>
  <si>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</si>
  <si>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</si>
  <si>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</si>
  <si>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</si>
  <si>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</si>
  <si>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</si>
  <si>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</si>
  <si>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</si>
  <si>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</si>
  <si>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</si>
  <si>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</si>
  <si>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</si>
  <si>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</si>
  <si>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</si>
  <si>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</si>
  <si>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</si>
  <si>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</si>
  <si>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</si>
  <si>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</si>
  <si>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</si>
  <si>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</si>
  <si>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</si>
  <si>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</si>
  <si>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</si>
  <si>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</si>
  <si>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</si>
  <si>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</si>
  <si>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</si>
  <si>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</si>
  <si>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</si>
  <si>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</si>
  <si>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</si>
  <si>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</si>
  <si>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</si>
  <si>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</si>
  <si>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</si>
  <si>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</si>
  <si>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</si>
  <si>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</si>
  <si>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</si>
  <si>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</si>
  <si>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</si>
  <si>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</si>
  <si>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</si>
  <si>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</si>
  <si>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</si>
  <si>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</si>
  <si>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</si>
  <si>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</si>
  <si>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</si>
  <si>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</si>
  <si>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</si>
  <si>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</si>
  <si>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</si>
  <si>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</si>
  <si>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</si>
  <si>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</si>
  <si>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</si>
  <si>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</si>
  <si>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</si>
  <si>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</si>
  <si>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</si>
  <si>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</si>
  <si>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</si>
  <si>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</si>
  <si>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</si>
  <si>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</si>
  <si>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</si>
  <si>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</si>
  <si>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</si>
  <si>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</si>
  <si>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</si>
  <si>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</si>
  <si>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</si>
  <si>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</si>
  <si>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</si>
  <si>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</si>
  <si>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</si>
  <si>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</si>
  <si>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</si>
  <si>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</si>
  <si>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</si>
  <si>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</si>
  <si>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</si>
  <si>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</si>
  <si>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</si>
  <si>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</si>
  <si>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</si>
  <si>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</si>
  <si>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</si>
  <si>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</si>
  <si>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</si>
  <si>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</si>
  <si>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</si>
  <si>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</si>
  <si>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</si>
  <si>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</si>
  <si>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</si>
  <si>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</si>
  <si>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</si>
  <si>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</si>
  <si>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</si>
  <si>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</si>
  <si>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</si>
  <si>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</si>
  <si>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</si>
  <si>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</si>
  <si>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</si>
  <si>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</si>
  <si>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</si>
  <si>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</si>
  <si>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</si>
  <si>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</si>
  <si>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</si>
  <si>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</si>
  <si>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</si>
  <si>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</si>
  <si>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</si>
  <si>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</si>
  <si>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</si>
  <si>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</si>
  <si>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</si>
  <si>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</si>
  <si>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</si>
  <si>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</si>
  <si>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</si>
  <si>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</si>
  <si>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</si>
  <si>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</si>
  <si>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</si>
  <si>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</si>
  <si>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</si>
  <si>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</si>
  <si>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</si>
  <si>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</si>
  <si>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</si>
  <si>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</si>
  <si>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</si>
  <si>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</si>
  <si>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</si>
  <si>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</si>
  <si>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</si>
  <si>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</si>
  <si>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</si>
  <si>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</si>
  <si>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</si>
  <si>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</si>
  <si>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</si>
  <si>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</si>
  <si>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</si>
  <si>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</si>
  <si>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</si>
  <si>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</si>
  <si>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</si>
  <si>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</si>
  <si>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</si>
  <si>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</si>
  <si>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</si>
  <si>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</si>
  <si>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</si>
  <si>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</si>
  <si>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</si>
  <si>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</si>
  <si>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</si>
  <si>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</si>
  <si>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</si>
  <si>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</si>
  <si>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</si>
  <si>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</si>
  <si>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</si>
  <si>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</si>
  <si>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</si>
  <si>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</si>
  <si>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</si>
  <si>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</si>
  <si>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</si>
  <si>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</si>
  <si>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</si>
  <si>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</si>
  <si>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</si>
  <si>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</si>
  <si>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</si>
  <si>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</si>
  <si>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</si>
  <si>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</si>
  <si>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</si>
  <si>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</si>
  <si>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</si>
  <si>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</si>
  <si>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</si>
  <si>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</si>
  <si>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</si>
  <si>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</si>
  <si>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</si>
  <si>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</si>
  <si>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</si>
  <si>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</si>
  <si>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</si>
  <si>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</si>
  <si>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</si>
  <si>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</si>
  <si>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</si>
  <si>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</si>
  <si>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</si>
  <si>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</si>
  <si>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</si>
  <si>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</si>
  <si>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</si>
  <si>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</si>
  <si>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</si>
  <si>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</si>
  <si>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</si>
  <si>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</si>
  <si>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</si>
  <si>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</si>
  <si>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</si>
  <si>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</si>
  <si>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</si>
  <si>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</si>
  <si>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</si>
  <si>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</si>
  <si>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</si>
  <si>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</si>
  <si>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</si>
  <si>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</si>
  <si>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</si>
  <si>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</si>
  <si>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</si>
  <si>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</si>
  <si>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</si>
  <si>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</si>
  <si>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</si>
  <si>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</si>
  <si>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</si>
  <si>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</si>
  <si>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</si>
  <si>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</si>
  <si>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</si>
  <si>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</si>
  <si>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</si>
  <si>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</si>
  <si>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</si>
  <si>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</si>
  <si>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</si>
  <si>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</si>
  <si>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</si>
  <si>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</si>
  <si>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</si>
  <si>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</si>
  <si>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</si>
  <si>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</si>
  <si>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</si>
  <si>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</si>
  <si>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</si>
  <si>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</si>
  <si>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</si>
  <si>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</si>
  <si>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</si>
  <si>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</si>
  <si>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</si>
  <si>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</si>
  <si>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</si>
  <si>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</si>
  <si>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</si>
  <si>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</si>
  <si>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</si>
  <si>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</si>
  <si>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</si>
  <si>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</si>
  <si>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</si>
  <si>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</si>
  <si>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</si>
  <si>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</si>
  <si>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</si>
  <si>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</si>
  <si>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</si>
  <si>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</si>
  <si>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</si>
  <si>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</si>
  <si>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</si>
  <si>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</si>
  <si>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</si>
  <si>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</si>
  <si>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</si>
  <si>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</si>
  <si>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</si>
  <si>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</si>
  <si>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</si>
  <si>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</si>
  <si>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</si>
  <si>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</si>
  <si>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</si>
  <si>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</si>
  <si>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</si>
  <si>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</si>
  <si>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</si>
  <si>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</si>
  <si>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</si>
  <si>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</si>
  <si>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</si>
  <si>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</si>
  <si>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</si>
  <si>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</si>
  <si>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</si>
  <si>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</si>
  <si>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</si>
  <si>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</si>
  <si>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</si>
  <si>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</si>
  <si>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</si>
  <si>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</si>
  <si>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</si>
  <si>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</si>
  <si>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</si>
  <si>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</si>
  <si>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</si>
  <si>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</si>
  <si>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</si>
  <si>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</si>
  <si>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</si>
  <si>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</si>
  <si>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</si>
  <si>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</si>
  <si>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</si>
  <si>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</si>
  <si>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</si>
  <si>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</si>
  <si>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</si>
  <si>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</si>
  <si>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</si>
  <si>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</si>
  <si>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</si>
  <si>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</si>
  <si>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</si>
  <si>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</si>
  <si>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</si>
  <si>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</si>
  <si>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</si>
  <si>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</si>
  <si>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</si>
  <si>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</si>
  <si>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</si>
  <si>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</si>
  <si>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</si>
  <si>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</si>
  <si>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</si>
  <si>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</si>
  <si>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</si>
  <si>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</si>
  <si>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</si>
  <si>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</si>
  <si>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</si>
  <si>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</si>
  <si>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</si>
  <si>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</si>
  <si>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</si>
  <si>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</si>
  <si>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</si>
  <si>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</si>
  <si>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</si>
  <si>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</si>
  <si>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</si>
  <si>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</si>
  <si>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</si>
  <si>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</si>
  <si>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</si>
  <si>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</si>
  <si>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</si>
  <si>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</si>
  <si>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</si>
  <si>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</si>
  <si>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</si>
  <si>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</si>
  <si>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</si>
  <si>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</si>
  <si>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</si>
  <si>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</si>
  <si>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</si>
  <si>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</si>
  <si>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</si>
  <si>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</si>
  <si>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</si>
  <si>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</si>
  <si>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</si>
  <si>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</si>
  <si>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</si>
  <si>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</si>
  <si>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</si>
  <si>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</si>
  <si>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</si>
  <si>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</si>
  <si>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</si>
  <si>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</si>
  <si>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</si>
  <si>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</si>
  <si>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</si>
  <si>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</si>
  <si>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</si>
  <si>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</si>
  <si>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</si>
  <si>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</si>
  <si>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</si>
  <si>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</si>
  <si>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</si>
  <si>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</si>
  <si>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</si>
  <si>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</si>
  <si>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</si>
  <si>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</si>
  <si>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</si>
  <si>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</si>
  <si>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</si>
  <si>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</si>
  <si>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</si>
  <si>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</si>
  <si>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</si>
  <si>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</si>
  <si>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</si>
  <si>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</si>
  <si>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</si>
  <si>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</si>
  <si>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</si>
  <si>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</si>
  <si>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</si>
  <si>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</si>
  <si>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</si>
  <si>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</si>
  <si>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</si>
  <si>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</si>
  <si>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</si>
  <si>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</si>
  <si>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</si>
  <si>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</si>
  <si>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</si>
  <si>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</si>
  <si>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</si>
  <si>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</si>
  <si>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</si>
  <si>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</si>
  <si>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</si>
  <si>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</si>
  <si>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</si>
  <si>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</si>
  <si>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</si>
  <si>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</si>
  <si>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</si>
  <si>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</si>
  <si>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</si>
  <si>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</si>
  <si>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</si>
  <si>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</si>
  <si>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</si>
  <si>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</si>
  <si>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</si>
  <si>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</si>
  <si>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</si>
  <si>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</si>
  <si>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</si>
  <si>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</si>
  <si>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</si>
  <si>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</si>
  <si>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</si>
  <si>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</si>
  <si>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</si>
  <si>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</si>
  <si>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</si>
  <si>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</si>
  <si>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</si>
  <si>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</si>
  <si>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</si>
  <si>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</si>
  <si>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</si>
  <si>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</si>
  <si>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</si>
  <si>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</si>
  <si>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</si>
  <si>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</si>
  <si>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</si>
  <si>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</si>
  <si>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</si>
  <si>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</si>
  <si>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</si>
  <si>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</si>
  <si>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</si>
  <si>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</si>
  <si>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</si>
  <si>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</si>
  <si>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</si>
  <si>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</si>
  <si>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</si>
  <si>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</si>
  <si>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</si>
  <si>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</si>
  <si>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</si>
  <si>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</si>
  <si>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</si>
  <si>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</si>
  <si>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</si>
  <si>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</si>
  <si>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</si>
  <si>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</si>
  <si>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</si>
  <si>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</si>
  <si>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</si>
  <si>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</si>
  <si>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</si>
  <si>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</si>
  <si>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</si>
  <si>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</si>
  <si>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</si>
  <si>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</si>
  <si>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</si>
  <si>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</si>
  <si>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</si>
  <si>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</si>
  <si>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</si>
  <si>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</si>
  <si>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</si>
  <si>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</si>
  <si>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</si>
  <si>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</si>
  <si>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</si>
  <si>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</si>
  <si>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</si>
  <si>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</si>
  <si>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</si>
  <si>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</si>
  <si>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</si>
  <si>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</si>
  <si>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</si>
  <si>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</si>
  <si>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</si>
  <si>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</si>
  <si>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</si>
  <si>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</si>
  <si>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</si>
  <si>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</si>
  <si>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</si>
  <si>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</si>
  <si>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</si>
  <si>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</si>
  <si>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</si>
  <si>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</si>
  <si>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</si>
  <si>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</si>
  <si>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</si>
  <si>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</si>
  <si>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</si>
  <si>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</si>
  <si>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</si>
  <si>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</si>
  <si>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</si>
  <si>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</si>
  <si>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</si>
  <si>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</si>
  <si>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</si>
  <si>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</si>
  <si>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</si>
  <si>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</si>
  <si>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</si>
  <si>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</si>
  <si>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</si>
  <si>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</si>
  <si>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</si>
  <si>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</si>
  <si>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</si>
  <si>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</si>
  <si>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</si>
  <si>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</si>
  <si>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</si>
  <si>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</si>
  <si>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</si>
  <si>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</si>
  <si>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</si>
  <si>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</si>
  <si>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</si>
  <si>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</si>
  <si>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</si>
  <si>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</si>
  <si>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</si>
  <si>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</si>
  <si>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</si>
  <si>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</si>
  <si>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</si>
  <si>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</si>
  <si>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</si>
  <si>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</si>
  <si>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</si>
  <si>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</si>
  <si>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</si>
  <si>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</si>
  <si>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</si>
  <si>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</si>
  <si>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</si>
  <si>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</si>
  <si>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</si>
  <si>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</si>
  <si>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</si>
  <si>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</si>
  <si>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</si>
  <si>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</si>
  <si>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</si>
  <si>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</si>
  <si>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</si>
  <si>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</si>
  <si>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</si>
  <si>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</si>
  <si>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</si>
  <si>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</si>
  <si>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</si>
  <si>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</si>
  <si>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</si>
  <si>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</si>
  <si>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</si>
  <si>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</si>
  <si>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</si>
  <si>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</si>
  <si>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</si>
  <si>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</si>
  <si>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</si>
  <si>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</si>
  <si>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</si>
  <si>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</si>
  <si>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</si>
  <si>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</si>
  <si>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</si>
  <si>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</si>
  <si>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</si>
  <si>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</si>
  <si>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</si>
  <si>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</si>
  <si>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</si>
  <si>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</si>
  <si>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</si>
  <si>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</si>
  <si>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</si>
  <si>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</si>
  <si>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</si>
  <si>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</si>
  <si>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</si>
  <si>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</si>
  <si>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</si>
  <si>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</si>
  <si>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</si>
  <si>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</si>
  <si>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</si>
  <si>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</si>
  <si>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</si>
  <si>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</si>
  <si>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</si>
  <si>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</si>
  <si>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</si>
  <si>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</si>
  <si>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</si>
  <si>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</si>
  <si>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</si>
  <si>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</si>
  <si>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</si>
  <si>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</si>
  <si>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</si>
  <si>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</si>
  <si>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</si>
  <si>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</si>
  <si>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</si>
  <si>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</si>
  <si>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</si>
  <si>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</si>
  <si>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</si>
  <si>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</si>
  <si>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</si>
  <si>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</si>
  <si>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</si>
  <si>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</si>
  <si>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</si>
  <si>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</si>
  <si>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</si>
  <si>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</si>
  <si>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</si>
  <si>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</si>
  <si>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</si>
  <si>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</si>
  <si>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</si>
  <si>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</si>
  <si>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</si>
  <si>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</si>
  <si>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</si>
  <si>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</si>
  <si>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</si>
  <si>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</si>
  <si>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</si>
  <si>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</si>
  <si>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</si>
  <si>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</si>
  <si>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</si>
  <si>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</si>
  <si>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</si>
  <si>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</si>
  <si>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</si>
  <si>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</si>
  <si>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</si>
  <si>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</si>
  <si>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</si>
  <si>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</si>
  <si>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</si>
  <si>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</si>
  <si>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</si>
  <si>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</si>
  <si>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</si>
  <si>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</si>
  <si>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</si>
  <si>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</si>
  <si>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</si>
  <si>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</si>
  <si>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</si>
  <si>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</si>
  <si>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</si>
  <si>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</si>
  <si>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</si>
  <si>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</si>
  <si>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</si>
  <si>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</si>
  <si>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</si>
  <si>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</si>
  <si>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</si>
  <si>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</si>
  <si>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</si>
  <si>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</si>
  <si>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</si>
  <si>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</si>
  <si>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</si>
  <si>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</si>
  <si>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</si>
  <si>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</si>
  <si>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</si>
  <si>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</si>
  <si>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</si>
  <si>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</si>
  <si>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</si>
  <si>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</si>
  <si>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</si>
  <si>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</si>
  <si>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</si>
  <si>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</si>
  <si>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</si>
  <si>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</si>
  <si>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</si>
  <si>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</si>
  <si>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</si>
  <si>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</si>
  <si>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</si>
  <si>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</si>
  <si>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</si>
  <si>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</si>
  <si>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</si>
  <si>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</si>
  <si>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</si>
  <si>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</si>
  <si>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</si>
  <si>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</si>
  <si>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</si>
  <si>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</si>
  <si>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</si>
  <si>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</si>
  <si>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</si>
  <si>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</si>
  <si>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</si>
  <si>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</si>
  <si>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</si>
  <si>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</si>
  <si>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</si>
  <si>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</si>
  <si>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</si>
  <si>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</si>
  <si>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</si>
  <si>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</si>
  <si>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</si>
  <si>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</si>
  <si>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</si>
  <si>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</si>
  <si>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</si>
  <si>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</si>
  <si>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</si>
  <si>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</si>
  <si>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</si>
  <si>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</si>
  <si>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</si>
  <si>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</si>
  <si>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</si>
  <si>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</si>
  <si>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</si>
  <si>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</si>
  <si>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</si>
  <si>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</si>
  <si>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</si>
  <si>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</si>
  <si>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</si>
  <si>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</si>
  <si>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</si>
  <si>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</si>
  <si>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</si>
  <si>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</si>
  <si>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</si>
  <si>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</si>
  <si>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</si>
  <si>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</si>
  <si>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</si>
  <si>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</si>
  <si>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</si>
  <si>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</si>
  <si>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</si>
  <si>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</si>
  <si>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</si>
  <si>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</si>
  <si>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</si>
  <si>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</si>
  <si>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</si>
  <si>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</si>
  <si>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</si>
  <si>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</si>
  <si>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</si>
  <si>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</si>
  <si>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</si>
  <si>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</si>
  <si>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</si>
  <si>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</si>
  <si>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</si>
  <si>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</si>
  <si>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</si>
  <si>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</si>
  <si>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</si>
  <si>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</si>
  <si>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</si>
  <si>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</si>
  <si>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</si>
  <si>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</si>
  <si>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</si>
  <si>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</si>
  <si>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</si>
  <si>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</si>
  <si>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</si>
  <si>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</si>
  <si>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</si>
  <si>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</si>
  <si>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</si>
  <si>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</si>
  <si>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</si>
  <si>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</si>
  <si>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</si>
  <si>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</si>
  <si>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</si>
  <si>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</si>
  <si>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</si>
  <si>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</si>
  <si>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</si>
  <si>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</si>
  <si>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</si>
  <si>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</si>
  <si>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</si>
  <si>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</si>
  <si>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</si>
  <si>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</si>
  <si>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</si>
  <si>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</si>
  <si>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</si>
  <si>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</si>
  <si>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</si>
  <si>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</si>
  <si>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</si>
  <si>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</si>
  <si>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</si>
  <si>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</si>
  <si>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</si>
  <si>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</si>
  <si>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</si>
  <si>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</si>
  <si>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</si>
  <si>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</si>
  <si>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</si>
  <si>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</si>
  <si>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</si>
  <si>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</si>
  <si>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</si>
  <si>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</si>
  <si>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</si>
  <si>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</si>
  <si>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</si>
  <si>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</si>
  <si>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</si>
  <si>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</si>
  <si>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</si>
  <si>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</si>
  <si>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</si>
  <si>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</si>
  <si>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</si>
  <si>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</si>
  <si>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</si>
  <si>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</si>
  <si>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</si>
  <si>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</si>
  <si>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</si>
  <si>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</si>
  <si>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</si>
  <si>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</si>
  <si>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</si>
  <si>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</si>
  <si>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</si>
  <si>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</si>
  <si>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</si>
  <si>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</si>
  <si>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</si>
  <si>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</si>
  <si>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</si>
  <si>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</si>
  <si>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</si>
  <si>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</si>
  <si>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</si>
  <si>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</si>
  <si>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</si>
  <si>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</si>
  <si>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</si>
  <si>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</si>
  <si>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</si>
  <si>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</si>
  <si>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</si>
  <si>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</si>
  <si>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</si>
  <si>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</si>
  <si>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</si>
  <si>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</si>
  <si>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</si>
  <si>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</si>
  <si>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</si>
  <si>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</si>
  <si>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</si>
  <si>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</si>
  <si>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</si>
  <si>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</si>
  <si>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</si>
  <si>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</si>
  <si>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</si>
  <si>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</si>
  <si>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</si>
  <si>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</si>
  <si>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</si>
  <si>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</si>
  <si>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</si>
  <si>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</si>
  <si>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</si>
  <si>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</si>
  <si>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</si>
  <si>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</si>
  <si>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</si>
  <si>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</si>
  <si>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</si>
  <si>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</si>
  <si>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</si>
  <si>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</si>
  <si>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</si>
  <si>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</si>
  <si>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</si>
  <si>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</si>
  <si>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</si>
  <si>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</si>
  <si>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</si>
  <si>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</si>
  <si>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</si>
  <si>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</si>
  <si>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</si>
  <si>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</si>
  <si>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</si>
  <si>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</si>
  <si>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</si>
  <si>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</si>
  <si>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</si>
  <si>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</si>
  <si>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</si>
  <si>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</si>
  <si>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</si>
  <si>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</si>
  <si>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</si>
  <si>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</si>
  <si>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</si>
  <si>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</si>
  <si>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</si>
  <si>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</si>
  <si>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</si>
  <si>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</si>
  <si>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</si>
  <si>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</si>
  <si>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</si>
  <si>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</si>
  <si>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</si>
  <si>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</si>
  <si>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</si>
  <si>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</si>
  <si>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</si>
  <si>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</si>
  <si>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</si>
  <si>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</si>
  <si>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</si>
  <si>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</si>
  <si>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</si>
  <si>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</si>
  <si>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</si>
  <si>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</si>
  <si>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</si>
  <si>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</si>
  <si>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</si>
  <si>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</si>
  <si>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</si>
  <si>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</si>
  <si>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</si>
  <si>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</si>
  <si>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</si>
  <si>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</si>
  <si>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</si>
  <si>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</si>
  <si>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</si>
  <si>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</si>
  <si>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</si>
  <si>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</si>
  <si>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</si>
  <si>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</si>
  <si>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</si>
  <si>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</si>
  <si>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</si>
  <si>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</si>
  <si>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</si>
  <si>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</si>
  <si>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</si>
  <si>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</si>
  <si>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</si>
  <si>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</si>
  <si>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</si>
  <si>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</si>
  <si>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</si>
  <si>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</si>
  <si>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</si>
  <si>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</si>
  <si>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</si>
  <si>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</si>
  <si>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</si>
  <si>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</si>
  <si>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</si>
  <si>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</si>
  <si>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</si>
  <si>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</si>
  <si>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</si>
  <si>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</si>
  <si>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</si>
  <si>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</si>
  <si>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</si>
  <si>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</si>
  <si>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</si>
  <si>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</si>
  <si>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</si>
  <si>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</si>
  <si>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</si>
  <si>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</si>
  <si>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</si>
  <si>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</si>
  <si>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</si>
  <si>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</si>
  <si>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</si>
  <si>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</si>
  <si>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</si>
  <si>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</si>
  <si>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</si>
  <si>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</si>
  <si>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</si>
  <si>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</si>
  <si>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</si>
  <si>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</si>
  <si>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</si>
  <si>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</si>
  <si>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</si>
  <si>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</si>
  <si>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BMI</t>
  </si>
  <si>
    <t>HBA1C</t>
  </si>
  <si>
    <t>Diabetes Status</t>
  </si>
  <si>
    <t>Heart Issues</t>
  </si>
  <si>
    <t>Any Transplants</t>
  </si>
  <si>
    <t>Cancer history</t>
  </si>
  <si>
    <t>NumberOfMajorSurgeries</t>
  </si>
  <si>
    <t>smoker</t>
  </si>
  <si>
    <t>weight status</t>
  </si>
  <si>
    <t>Diabetes</t>
  </si>
  <si>
    <t>No</t>
  </si>
  <si>
    <t>yes</t>
  </si>
  <si>
    <t>Prediabetes</t>
  </si>
  <si>
    <t>Yes</t>
  </si>
  <si>
    <t>id2444</t>
  </si>
  <si>
    <t>id3444</t>
  </si>
  <si>
    <t>normalweight</t>
  </si>
  <si>
    <t>(ALL)</t>
  </si>
  <si>
    <t>month</t>
  </si>
  <si>
    <t>Count of year</t>
  </si>
  <si>
    <t>City tier</t>
  </si>
  <si>
    <t>Hospital tier</t>
  </si>
  <si>
    <t>?</t>
  </si>
  <si>
    <t>tier - 1</t>
  </si>
  <si>
    <t>tier - 2</t>
  </si>
  <si>
    <t>tier - 3</t>
  </si>
  <si>
    <t>(blank)</t>
  </si>
  <si>
    <t>Grand Total</t>
  </si>
  <si>
    <t>year</t>
  </si>
  <si>
    <t>date</t>
  </si>
  <si>
    <t>children</t>
  </si>
  <si>
    <t>charges</t>
  </si>
  <si>
    <t>State ID</t>
  </si>
  <si>
    <t>Jul</t>
  </si>
  <si>
    <t>R1013</t>
  </si>
  <si>
    <t>Nov</t>
  </si>
  <si>
    <t>Jun</t>
  </si>
  <si>
    <t>Sep</t>
  </si>
  <si>
    <t>R1012</t>
  </si>
  <si>
    <t>Dec</t>
  </si>
  <si>
    <t>tier-1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</si>
  <si>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</si>
  <si>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</si>
  <si>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</si>
  <si>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</si>
  <si>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</si>
  <si>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</si>
  <si>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</si>
  <si>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</si>
  <si>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</si>
  <si>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</si>
  <si>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</si>
  <si>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</si>
  <si>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</si>
  <si>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</si>
  <si>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</si>
  <si>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</si>
  <si>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Normal</t>
  </si>
  <si>
    <t xml:space="preserve">Prediabetes </t>
  </si>
  <si>
    <t>s</t>
  </si>
  <si>
    <t>DateOfBirth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</si>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</sst>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6" formatCode="mmm\,\ yyyy"/>
    <numFmt numFmtId="174" formatCode="&quot;₹&quot;\ #,##0.00;[Red]&quot;₹&quot;\ #,##0.00"/>
    <numFmt numFmtId="176" formatCode="[$-F800]dddd\,\ mmmm\ dd\,\ yyyy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Arial"/>
      <charset val="134"/>
    </font>
    <font>
      <sz val="12"/>
      <color rgb="FF000000"/>
      <name val="Calibri"/>
      <charset val="134"/>
    </font>
    <font>
      <b/>
      <sz val="12"/>
      <color theme="0"/>
      <name val="Calibri"/>
      <charset val="134"/>
    </font>
    <font>
      <sz val="12"/>
      <color theme="1"/>
      <name val="Calibri"/>
      <charset val="134"/>
    </font>
    <font>
      <sz val="12"/>
      <color rgb="FF000000"/>
      <name val="Calibri"/>
      <family val="2"/>
      <scheme val="minor"/>
    </font>
    <font>
      <b/>
      <sz val="12"/>
      <color theme="0"/>
      <name val="Calibri"/>
      <family val="2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rgb="FFFFC000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rgb="FF7030A0"/>
      </patternFill>
    </fill>
    <fill>
      <patternFill patternType="solid">
        <fgColor theme="9"/>
        <bgColor rgb="FF00B0F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wrapText="1"/>
    </xf>
    <xf numFmtId="0" fontId="5" fillId="0" borderId="3" xfId="0" applyFont="1" applyBorder="1" applyAlignment="1">
      <alignment horizontal="left" vertical="top" wrapText="1"/>
    </xf>
    <xf numFmtId="166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" fillId="0" borderId="0" xfId="0" applyFont="1"/>
    <xf numFmtId="0" fontId="1" fillId="0" borderId="0" xfId="0" applyFont="1" applyFill="1" applyBorder="1"/>
    <xf numFmtId="0" fontId="5" fillId="0" borderId="0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center" vertical="center"/>
    </xf>
    <xf numFmtId="174" fontId="9" fillId="5" borderId="1" xfId="0" applyNumberFormat="1" applyFont="1" applyFill="1" applyBorder="1" applyAlignment="1">
      <alignment horizontal="center" vertical="center"/>
    </xf>
    <xf numFmtId="174" fontId="0" fillId="0" borderId="0" xfId="0" applyNumberFormat="1"/>
    <xf numFmtId="176" fontId="1" fillId="0" borderId="0" xfId="0" applyNumberFormat="1" applyFont="1"/>
    <xf numFmtId="176" fontId="10" fillId="3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wrapText="1"/>
    </xf>
    <xf numFmtId="176" fontId="0" fillId="0" borderId="0" xfId="0" applyNumberForma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module end assignment dataset-healthcare-2.xlsx]Pivot-HealthChat!PivotTable1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'Pivot-HealthChat'!$B$4:$B$5</c:f>
              <c:strCache>
                <c:ptCount val="1"/>
                <c:pt idx="0">
                  <c:v>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'Pivot-HealthChat'!$A$6:$A$11</c:f>
              <c:strCache>
                <c:ptCount val="5"/>
                <c:pt idx="0">
                  <c:v>?</c:v>
                </c:pt>
                <c:pt idx="1">
                  <c:v>tier - 1</c:v>
                </c:pt>
                <c:pt idx="2">
                  <c:v>tier - 2</c:v>
                </c:pt>
                <c:pt idx="3">
                  <c:v>tier - 3</c:v>
                </c:pt>
                <c:pt idx="4">
                  <c:v>(blank)</c:v>
                </c:pt>
              </c:strCache>
            </c:strRef>
          </c:cat>
          <c:val>
            <c:numRef>
              <c:f>'Pivot-HealthChat'!$B$6:$B$11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9-4BC4-A224-63A47F989E43}"/>
            </c:ext>
          </c:extLst>
        </c:ser>
        <c:ser>
          <c:idx val="1"/>
          <c:order val="1"/>
          <c:tx>
            <c:strRef>
              <c:f>'Pivot-HealthChat'!$C$4:$C$5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'Pivot-HealthChat'!$A$6:$A$11</c:f>
              <c:strCache>
                <c:ptCount val="5"/>
                <c:pt idx="0">
                  <c:v>?</c:v>
                </c:pt>
                <c:pt idx="1">
                  <c:v>tier - 1</c:v>
                </c:pt>
                <c:pt idx="2">
                  <c:v>tier - 2</c:v>
                </c:pt>
                <c:pt idx="3">
                  <c:v>tier - 3</c:v>
                </c:pt>
                <c:pt idx="4">
                  <c:v>(blank)</c:v>
                </c:pt>
              </c:strCache>
            </c:strRef>
          </c:cat>
          <c:val>
            <c:numRef>
              <c:f>'Pivot-HealthChat'!$C$6:$C$11</c:f>
              <c:numCache>
                <c:formatCode>General</c:formatCode>
                <c:ptCount val="5"/>
                <c:pt idx="1">
                  <c:v>86</c:v>
                </c:pt>
                <c:pt idx="2">
                  <c:v>405</c:v>
                </c:pt>
                <c:pt idx="3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A9-4BC4-A224-63A47F989E43}"/>
            </c:ext>
          </c:extLst>
        </c:ser>
        <c:ser>
          <c:idx val="2"/>
          <c:order val="2"/>
          <c:tx>
            <c:strRef>
              <c:f>'Pivot-HealthChat'!$D$4:$D$5</c:f>
              <c:strCache>
                <c:ptCount val="1"/>
                <c:pt idx="0">
                  <c:v>tier - 2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'Pivot-HealthChat'!$A$6:$A$11</c:f>
              <c:strCache>
                <c:ptCount val="5"/>
                <c:pt idx="0">
                  <c:v>?</c:v>
                </c:pt>
                <c:pt idx="1">
                  <c:v>tier - 1</c:v>
                </c:pt>
                <c:pt idx="2">
                  <c:v>tier - 2</c:v>
                </c:pt>
                <c:pt idx="3">
                  <c:v>tier - 3</c:v>
                </c:pt>
                <c:pt idx="4">
                  <c:v>(blank)</c:v>
                </c:pt>
              </c:strCache>
            </c:strRef>
          </c:cat>
          <c:val>
            <c:numRef>
              <c:f>'Pivot-HealthChat'!$D$6:$D$11</c:f>
              <c:numCache>
                <c:formatCode>General</c:formatCode>
                <c:ptCount val="5"/>
                <c:pt idx="1">
                  <c:v>110</c:v>
                </c:pt>
                <c:pt idx="2">
                  <c:v>480</c:v>
                </c:pt>
                <c:pt idx="3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A9-4BC4-A224-63A47F989E43}"/>
            </c:ext>
          </c:extLst>
        </c:ser>
        <c:ser>
          <c:idx val="3"/>
          <c:order val="3"/>
          <c:tx>
            <c:strRef>
              <c:f>'Pivot-HealthChat'!$E$4:$E$5</c:f>
              <c:strCache>
                <c:ptCount val="1"/>
                <c:pt idx="0">
                  <c:v>tier - 3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'Pivot-HealthChat'!$A$6:$A$11</c:f>
              <c:strCache>
                <c:ptCount val="5"/>
                <c:pt idx="0">
                  <c:v>?</c:v>
                </c:pt>
                <c:pt idx="1">
                  <c:v>tier - 1</c:v>
                </c:pt>
                <c:pt idx="2">
                  <c:v>tier - 2</c:v>
                </c:pt>
                <c:pt idx="3">
                  <c:v>tier - 3</c:v>
                </c:pt>
                <c:pt idx="4">
                  <c:v>(blank)</c:v>
                </c:pt>
              </c:strCache>
            </c:strRef>
          </c:cat>
          <c:val>
            <c:numRef>
              <c:f>'Pivot-HealthChat'!$E$6:$E$11</c:f>
              <c:numCache>
                <c:formatCode>General</c:formatCode>
                <c:ptCount val="5"/>
                <c:pt idx="0">
                  <c:v>1</c:v>
                </c:pt>
                <c:pt idx="1">
                  <c:v>113</c:v>
                </c:pt>
                <c:pt idx="2">
                  <c:v>454</c:v>
                </c:pt>
                <c:pt idx="3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A9-4BC4-A224-63A47F989E43}"/>
            </c:ext>
          </c:extLst>
        </c:ser>
        <c:ser>
          <c:idx val="4"/>
          <c:order val="4"/>
          <c:tx>
            <c:strRef>
              <c:f>'Pivot-HealthChat'!$F$4:$F$5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'Pivot-HealthChat'!$A$6:$A$11</c:f>
              <c:strCache>
                <c:ptCount val="5"/>
                <c:pt idx="0">
                  <c:v>?</c:v>
                </c:pt>
                <c:pt idx="1">
                  <c:v>tier - 1</c:v>
                </c:pt>
                <c:pt idx="2">
                  <c:v>tier - 2</c:v>
                </c:pt>
                <c:pt idx="3">
                  <c:v>tier - 3</c:v>
                </c:pt>
                <c:pt idx="4">
                  <c:v>(blank)</c:v>
                </c:pt>
              </c:strCache>
            </c:strRef>
          </c:cat>
          <c:val>
            <c:numRef>
              <c:f>'Pivot-HealthChat'!$F$6:$F$11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FBA9-4BC4-A224-63A47F989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870845"/>
        <c:axId val="672078593"/>
      </c:barChart>
      <c:catAx>
        <c:axId val="32287084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78593"/>
        <c:crosses val="autoZero"/>
        <c:auto val="1"/>
        <c:lblAlgn val="ctr"/>
        <c:lblOffset val="100"/>
        <c:noMultiLvlLbl val="0"/>
      </c:catAx>
      <c:valAx>
        <c:axId val="6720785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8708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module end assignment dataset-healthcare-2.xlsx]Pivot-HealthChat!PivotTable1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613157894736801"/>
          <c:y val="0.37638888590865699"/>
          <c:w val="0.74150000000000005"/>
          <c:h val="0.55564815112837995"/>
        </c:manualLayout>
      </c:layout>
      <c:lineChart>
        <c:grouping val="standard"/>
        <c:varyColors val="0"/>
        <c:ser>
          <c:idx val="0"/>
          <c:order val="0"/>
          <c:tx>
            <c:strRef>
              <c:f>'Pivot-HealthChat'!$B$4:$B$5</c:f>
              <c:strCache>
                <c:ptCount val="1"/>
                <c:pt idx="0">
                  <c:v>?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'Pivot-HealthChat'!$A$6:$A$11</c:f>
              <c:strCache>
                <c:ptCount val="5"/>
                <c:pt idx="0">
                  <c:v>?</c:v>
                </c:pt>
                <c:pt idx="1">
                  <c:v>tier - 1</c:v>
                </c:pt>
                <c:pt idx="2">
                  <c:v>tier - 2</c:v>
                </c:pt>
                <c:pt idx="3">
                  <c:v>tier - 3</c:v>
                </c:pt>
                <c:pt idx="4">
                  <c:v>(blank)</c:v>
                </c:pt>
              </c:strCache>
            </c:strRef>
          </c:cat>
          <c:val>
            <c:numRef>
              <c:f>'Pivot-HealthChat'!$B$6:$B$11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92-424E-9E04-897304D3A2B5}"/>
            </c:ext>
          </c:extLst>
        </c:ser>
        <c:ser>
          <c:idx val="1"/>
          <c:order val="1"/>
          <c:tx>
            <c:strRef>
              <c:f>'Pivot-HealthChat'!$C$4:$C$5</c:f>
              <c:strCache>
                <c:ptCount val="1"/>
                <c:pt idx="0">
                  <c:v>tier - 1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'Pivot-HealthChat'!$A$6:$A$11</c:f>
              <c:strCache>
                <c:ptCount val="5"/>
                <c:pt idx="0">
                  <c:v>?</c:v>
                </c:pt>
                <c:pt idx="1">
                  <c:v>tier - 1</c:v>
                </c:pt>
                <c:pt idx="2">
                  <c:v>tier - 2</c:v>
                </c:pt>
                <c:pt idx="3">
                  <c:v>tier - 3</c:v>
                </c:pt>
                <c:pt idx="4">
                  <c:v>(blank)</c:v>
                </c:pt>
              </c:strCache>
            </c:strRef>
          </c:cat>
          <c:val>
            <c:numRef>
              <c:f>'Pivot-HealthChat'!$C$6:$C$11</c:f>
              <c:numCache>
                <c:formatCode>General</c:formatCode>
                <c:ptCount val="5"/>
                <c:pt idx="1">
                  <c:v>86</c:v>
                </c:pt>
                <c:pt idx="2">
                  <c:v>405</c:v>
                </c:pt>
                <c:pt idx="3">
                  <c:v>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92-424E-9E04-897304D3A2B5}"/>
            </c:ext>
          </c:extLst>
        </c:ser>
        <c:ser>
          <c:idx val="2"/>
          <c:order val="2"/>
          <c:tx>
            <c:strRef>
              <c:f>'Pivot-HealthChat'!$D$4:$D$5</c:f>
              <c:strCache>
                <c:ptCount val="1"/>
                <c:pt idx="0">
                  <c:v>tier - 2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'Pivot-HealthChat'!$A$6:$A$11</c:f>
              <c:strCache>
                <c:ptCount val="5"/>
                <c:pt idx="0">
                  <c:v>?</c:v>
                </c:pt>
                <c:pt idx="1">
                  <c:v>tier - 1</c:v>
                </c:pt>
                <c:pt idx="2">
                  <c:v>tier - 2</c:v>
                </c:pt>
                <c:pt idx="3">
                  <c:v>tier - 3</c:v>
                </c:pt>
                <c:pt idx="4">
                  <c:v>(blank)</c:v>
                </c:pt>
              </c:strCache>
            </c:strRef>
          </c:cat>
          <c:val>
            <c:numRef>
              <c:f>'Pivot-HealthChat'!$D$6:$D$11</c:f>
              <c:numCache>
                <c:formatCode>General</c:formatCode>
                <c:ptCount val="5"/>
                <c:pt idx="1">
                  <c:v>110</c:v>
                </c:pt>
                <c:pt idx="2">
                  <c:v>480</c:v>
                </c:pt>
                <c:pt idx="3">
                  <c:v>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92-424E-9E04-897304D3A2B5}"/>
            </c:ext>
          </c:extLst>
        </c:ser>
        <c:ser>
          <c:idx val="3"/>
          <c:order val="3"/>
          <c:tx>
            <c:strRef>
              <c:f>'Pivot-HealthChat'!$E$4:$E$5</c:f>
              <c:strCache>
                <c:ptCount val="1"/>
                <c:pt idx="0">
                  <c:v>tier - 3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'Pivot-HealthChat'!$A$6:$A$11</c:f>
              <c:strCache>
                <c:ptCount val="5"/>
                <c:pt idx="0">
                  <c:v>?</c:v>
                </c:pt>
                <c:pt idx="1">
                  <c:v>tier - 1</c:v>
                </c:pt>
                <c:pt idx="2">
                  <c:v>tier - 2</c:v>
                </c:pt>
                <c:pt idx="3">
                  <c:v>tier - 3</c:v>
                </c:pt>
                <c:pt idx="4">
                  <c:v>(blank)</c:v>
                </c:pt>
              </c:strCache>
            </c:strRef>
          </c:cat>
          <c:val>
            <c:numRef>
              <c:f>'Pivot-HealthChat'!$E$6:$E$11</c:f>
              <c:numCache>
                <c:formatCode>General</c:formatCode>
                <c:ptCount val="5"/>
                <c:pt idx="0">
                  <c:v>1</c:v>
                </c:pt>
                <c:pt idx="1">
                  <c:v>113</c:v>
                </c:pt>
                <c:pt idx="2">
                  <c:v>454</c:v>
                </c:pt>
                <c:pt idx="3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92-424E-9E04-897304D3A2B5}"/>
            </c:ext>
          </c:extLst>
        </c:ser>
        <c:ser>
          <c:idx val="4"/>
          <c:order val="4"/>
          <c:tx>
            <c:strRef>
              <c:f>'Pivot-HealthChat'!$F$4:$F$5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'Pivot-HealthChat'!$A$6:$A$11</c:f>
              <c:strCache>
                <c:ptCount val="5"/>
                <c:pt idx="0">
                  <c:v>?</c:v>
                </c:pt>
                <c:pt idx="1">
                  <c:v>tier - 1</c:v>
                </c:pt>
                <c:pt idx="2">
                  <c:v>tier - 2</c:v>
                </c:pt>
                <c:pt idx="3">
                  <c:v>tier - 3</c:v>
                </c:pt>
                <c:pt idx="4">
                  <c:v>(blank)</c:v>
                </c:pt>
              </c:strCache>
            </c:strRef>
          </c:cat>
          <c:val>
            <c:numRef>
              <c:f>'Pivot-HealthChat'!$F$6:$F$11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92-424E-9E04-897304D3A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191491"/>
        <c:axId val="263702887"/>
      </c:lineChart>
      <c:catAx>
        <c:axId val="6481914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702887"/>
        <c:crosses val="autoZero"/>
        <c:auto val="1"/>
        <c:lblAlgn val="ctr"/>
        <c:lblOffset val="100"/>
        <c:noMultiLvlLbl val="0"/>
      </c:catAx>
      <c:valAx>
        <c:axId val="263702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914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520700</xdr:colOff>
      <xdr:row>6</xdr:row>
      <xdr:rowOff>160020</xdr:rowOff>
    </xdr:from>
    <xdr:to>
      <xdr:col>15</xdr:col>
      <xdr:colOff>469900</xdr:colOff>
      <xdr:row>21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33020</xdr:colOff>
      <xdr:row>18</xdr:row>
      <xdr:rowOff>106680</xdr:rowOff>
    </xdr:from>
    <xdr:to>
      <xdr:col>6</xdr:col>
      <xdr:colOff>480060</xdr:colOff>
      <xdr:row>33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kannan" refreshedDate="45986.682326388902" createdVersion="5" refreshedVersion="5" minRefreshableVersion="3" recordCount="2344" xr:uid="{00000000-000A-0000-FFFF-FFFF00000000}">
  <cacheSource type="worksheet">
    <worksheetSource ref="A1:I1048576" sheet="Hospitalisation Details"/>
  </cacheSource>
  <cacheFields count="9">
    <cacheField name="Customer ID" numFmtId="0">
      <sharedItems containsBlank="1" count="2339">
        <s v="Id2335"/>
        <s v="Id2334"/>
        <s v="Id2333"/>
        <s v="Id2332"/>
        <s v="Id2331"/>
        <s v="Id2330"/>
        <s v="Id2329"/>
        <s v="Id2328"/>
        <s v="Id2327"/>
        <s v="Id2326"/>
        <s v="Id2325"/>
        <s v="Id2324"/>
        <s v="Id2323"/>
        <s v="Id2322"/>
        <s v="Id2321"/>
        <s v="Id2320"/>
        <s v="Id2319"/>
        <s v="Id2318"/>
        <s v="Id2317"/>
        <s v="Id2316"/>
        <s v="Id2315"/>
        <s v="Id2314"/>
        <s v="Id2313"/>
        <s v="Id2312"/>
        <s v="Id2311"/>
        <s v="Id2310"/>
        <s v="Id2309"/>
        <s v="Id2308"/>
        <s v="Id2307"/>
        <s v="Id2306"/>
        <s v="Id2305"/>
        <s v="Id2304"/>
        <s v="Id2303"/>
        <s v="Id2302"/>
        <s v="Id2301"/>
        <s v="Id2300"/>
        <s v="Id2299"/>
        <s v="Id2298"/>
        <s v="Id2297"/>
        <s v="Id2296"/>
        <s v="Id2294"/>
        <s v="Id2293"/>
        <s v="Id2292"/>
        <s v="Id2291"/>
        <s v="?"/>
        <s v="Id2290"/>
        <s v="Id2289"/>
        <s v="Id2288"/>
        <s v="Id2287"/>
        <s v="Id2286"/>
        <s v="Id2285"/>
        <s v="Id2284"/>
        <s v="Id2283"/>
        <s v="Id2295"/>
        <s v="Id2282"/>
        <s v="Id2281"/>
        <s v="Id2280"/>
        <s v="Id2279"/>
        <s v="Id2278"/>
        <s v="Id2277"/>
        <s v="Id2276"/>
        <s v="Id2275"/>
        <s v="Id2274"/>
        <s v="Id2273"/>
        <s v="Id2272"/>
        <s v="Id2271"/>
        <s v="Id2270"/>
        <s v="Id2269"/>
        <s v="Id2268"/>
        <s v="Id2267"/>
        <s v="Id2266"/>
        <s v="Id2265"/>
        <s v="Id2264"/>
        <s v="Id2263"/>
        <s v="Id2262"/>
        <s v="Id2261"/>
        <s v="Id2260"/>
        <s v="Id2259"/>
        <s v="Id2258"/>
        <s v="Id2257"/>
        <s v="Id2256"/>
        <s v="Id2255"/>
        <s v="Id2254"/>
        <s v="Id2253"/>
        <s v="Id2252"/>
        <s v="Id2251"/>
        <s v="Id2250"/>
        <s v="Id2249"/>
        <s v="Id2248"/>
        <s v="Id2247"/>
        <s v="Id2246"/>
        <s v="Id2245"/>
        <s v="Id2244"/>
        <s v="Id2243"/>
        <s v="Id2242"/>
        <s v="Id2241"/>
        <s v="Id2240"/>
        <s v="Id2239"/>
        <s v="Id2238"/>
        <s v="Id2237"/>
        <s v="Id2236"/>
        <s v="Id2235"/>
        <s v="Id2234"/>
        <s v="Id2233"/>
        <s v="Id2232"/>
        <s v="Id2231"/>
        <s v="Id2230"/>
        <s v="Id2229"/>
        <s v="Id2228"/>
        <s v="Id2227"/>
        <s v="Id2226"/>
        <s v="Id2225"/>
        <s v="Id2224"/>
        <s v="Id2223"/>
        <s v="Id2222"/>
        <s v="Id2221"/>
        <s v="Id2220"/>
        <s v="Id2219"/>
        <s v="Id2218"/>
        <s v="Id2217"/>
        <s v="Id2216"/>
        <s v="Id2215"/>
        <s v="Id2214"/>
        <s v="Id2213"/>
        <s v="Id2212"/>
        <s v="Id2211"/>
        <s v="Id2210"/>
        <s v="Id2209"/>
        <s v="Id2208"/>
        <s v="Id2207"/>
        <s v="Id2206"/>
        <s v="Id2205"/>
        <s v="Id2204"/>
        <s v="Id2203"/>
        <s v="Id2202"/>
        <s v="Id2201"/>
        <s v="Id2200"/>
        <s v="Id2199"/>
        <s v="Id2198"/>
        <s v="Id2197"/>
        <s v="Id2196"/>
        <s v="Id2195"/>
        <s v="Id2194"/>
        <s v="Id2193"/>
        <s v="Id2192"/>
        <s v="Id2191"/>
        <s v="Id2190"/>
        <s v="Id2189"/>
        <s v="Id2188"/>
        <s v="Id2187"/>
        <s v="Id2186"/>
        <s v="Id2185"/>
        <s v="Id2184"/>
        <s v="Id2183"/>
        <s v="Id2182"/>
        <s v="Id2181"/>
        <s v="Id2180"/>
        <s v="Id2179"/>
        <s v="Id2178"/>
        <s v="Id2177"/>
        <s v="Id2176"/>
        <s v="Id2175"/>
        <s v="Id2174"/>
        <s v="Id2173"/>
        <s v="Id2172"/>
        <s v="Id2171"/>
        <s v="Id2170"/>
        <s v="Id2169"/>
        <s v="Id2168"/>
        <s v="Id2167"/>
        <s v="Id2166"/>
        <s v="Id2165"/>
        <s v="Id2164"/>
        <s v="Id2163"/>
        <s v="Id2162"/>
        <s v="Id2161"/>
        <s v="Id2160"/>
        <s v="Id2159"/>
        <s v="Id2158"/>
        <s v="Id2157"/>
        <s v="Id2156"/>
        <s v="Id2155"/>
        <s v="Id2154"/>
        <s v="Id2153"/>
        <s v="Id2152"/>
        <s v="Id2151"/>
        <s v="Id2150"/>
        <s v="Id2149"/>
        <s v="Id2148"/>
        <s v="Id2147"/>
        <s v="Id2146"/>
        <s v="Id2145"/>
        <s v="Id2144"/>
        <s v="Id2143"/>
        <s v="Id2142"/>
        <s v="Id2141"/>
        <s v="Id2140"/>
        <s v="Id2139"/>
        <s v="Id2138"/>
        <s v="Id2137"/>
        <s v="Id2136"/>
        <s v="Id2135"/>
        <s v="Id2134"/>
        <s v="Id2133"/>
        <s v="Id2132"/>
        <s v="Id2131"/>
        <s v="Id2130"/>
        <s v="Id2129"/>
        <s v="Id2128"/>
        <s v="Id2127"/>
        <s v="Id2126"/>
        <s v="Id2125"/>
        <s v="Id2124"/>
        <s v="Id2123"/>
        <s v="Id2122"/>
        <s v="Id2121"/>
        <s v="Id2120"/>
        <s v="Id2119"/>
        <s v="Id2118"/>
        <s v="Id2117"/>
        <s v="Id2116"/>
        <s v="Id2115"/>
        <s v="Id2114"/>
        <s v="Id2113"/>
        <s v="Id2112"/>
        <s v="Id2111"/>
        <s v="Id2110"/>
        <s v="Id2109"/>
        <s v="Id2108"/>
        <s v="Id2107"/>
        <s v="Id2106"/>
        <s v="Id2105"/>
        <s v="Id2104"/>
        <s v="Id2103"/>
        <s v="Id2102"/>
        <s v="Id2101"/>
        <s v="Id2100"/>
        <s v="Id2099"/>
        <s v="Id2098"/>
        <s v="Id2097"/>
        <s v="Id2096"/>
        <s v="Id2095"/>
        <s v="Id2094"/>
        <s v="Id2093"/>
        <s v="Id2092"/>
        <s v="Id2091"/>
        <s v="Id2090"/>
        <s v="Id2089"/>
        <s v="Id2088"/>
        <s v="Id2087"/>
        <s v="Id2086"/>
        <s v="Id2085"/>
        <s v="Id2084"/>
        <s v="Id2083"/>
        <s v="Id2082"/>
        <s v="Id2081"/>
        <s v="Id2080"/>
        <s v="Id2079"/>
        <s v="Id2078"/>
        <s v="Id2077"/>
        <s v="Id2076"/>
        <s v="Id2075"/>
        <s v="Id2074"/>
        <s v="Id2073"/>
        <s v="Id2072"/>
        <s v="Id2071"/>
        <s v="Id2070"/>
        <s v="Id2069"/>
        <s v="Id2068"/>
        <s v="Id2067"/>
        <s v="Id2066"/>
        <s v="Id2065"/>
        <s v="Id2064"/>
        <s v="Id2063"/>
        <s v="Id2062"/>
        <s v="Id2061"/>
        <s v="Id2060"/>
        <s v="Id2059"/>
        <s v="Id2058"/>
        <s v="Id2057"/>
        <s v="Id2056"/>
        <s v="Id2055"/>
        <s v="Id2054"/>
        <s v="Id2053"/>
        <s v="Id2052"/>
        <s v="Id2051"/>
        <s v="Id2050"/>
        <s v="Id2049"/>
        <s v="Id2048"/>
        <s v="Id2047"/>
        <s v="Id2046"/>
        <s v="Id2045"/>
        <s v="Id2044"/>
        <s v="Id2043"/>
        <s v="Id2042"/>
        <s v="Id2041"/>
        <s v="Id2040"/>
        <s v="Id2039"/>
        <s v="Id2038"/>
        <s v="Id2037"/>
        <s v="Id2036"/>
        <s v="Id2035"/>
        <s v="Id2034"/>
        <s v="Id2033"/>
        <s v="Id2032"/>
        <s v="Id2031"/>
        <s v="Id2030"/>
        <s v="Id2029"/>
        <s v="Id2028"/>
        <s v="Id2027"/>
        <s v="Id2026"/>
        <s v="Id2025"/>
        <s v="Id2024"/>
        <s v="Id2023"/>
        <s v="Id2022"/>
        <s v="Id2021"/>
        <s v="Id2020"/>
        <s v="Id2019"/>
        <s v="Id2018"/>
        <s v="Id2017"/>
        <s v="Id2016"/>
        <s v="Id2015"/>
        <s v="Id2014"/>
        <s v="Id2013"/>
        <s v="Id2012"/>
        <s v="Id2011"/>
        <s v="Id2010"/>
        <s v="Id2009"/>
        <s v="Id2008"/>
        <s v="Id2007"/>
        <s v="Id2006"/>
        <s v="Id2005"/>
        <s v="Id2004"/>
        <s v="Id2003"/>
        <s v="Id2002"/>
        <s v="Id2001"/>
        <s v="Id2000"/>
        <s v="Id1999"/>
        <s v="Id1998"/>
        <s v="Id1997"/>
        <s v="Id1996"/>
        <s v="Id1995"/>
        <s v="Id1994"/>
        <s v="Id1993"/>
        <s v="Id1992"/>
        <s v="Id1991"/>
        <s v="Id1990"/>
        <s v="Id1989"/>
        <s v="Id1988"/>
        <s v="Id1987"/>
        <s v="Id1986"/>
        <s v="Id1985"/>
        <s v="Id1984"/>
        <s v="Id1983"/>
        <s v="Id1982"/>
        <s v="Id1981"/>
        <s v="Id1980"/>
        <s v="Id1979"/>
        <s v="Id1978"/>
        <s v="Id1977"/>
        <s v="Id1976"/>
        <s v="Id1975"/>
        <s v="Id1974"/>
        <s v="Id1973"/>
        <s v="Id1972"/>
        <s v="Id1971"/>
        <s v="Id1970"/>
        <s v="Id1969"/>
        <s v="Id1968"/>
        <s v="Id1967"/>
        <s v="Id1966"/>
        <s v="Id1965"/>
        <s v="Id1964"/>
        <s v="Id1963"/>
        <s v="Id1962"/>
        <s v="Id1961"/>
        <s v="Id1960"/>
        <s v="Id1959"/>
        <s v="Id1958"/>
        <s v="Id1957"/>
        <s v="Id1956"/>
        <s v="Id1955"/>
        <s v="Id1954"/>
        <s v="Id1953"/>
        <s v="Id1952"/>
        <s v="Id1951"/>
        <s v="Id1950"/>
        <s v="Id1949"/>
        <s v="Id1948"/>
        <s v="Id1947"/>
        <s v="Id1946"/>
        <s v="Id1945"/>
        <s v="Id1944"/>
        <s v="Id1943"/>
        <s v="Id1942"/>
        <s v="Id1941"/>
        <s v="Id1940"/>
        <s v="Id1939"/>
        <s v="Id1938"/>
        <s v="Id1937"/>
        <s v="Id1936"/>
        <s v="Id1935"/>
        <s v="Id1934"/>
        <s v="Id1933"/>
        <s v="Id1932"/>
        <s v="Id1931"/>
        <s v="Id1930"/>
        <s v="Id1929"/>
        <s v="Id1928"/>
        <s v="Id1927"/>
        <s v="Id1926"/>
        <s v="Id1925"/>
        <s v="Id1924"/>
        <s v="Id1923"/>
        <s v="Id1922"/>
        <s v="Id1921"/>
        <s v="Id1920"/>
        <s v="Id1919"/>
        <s v="Id1918"/>
        <s v="Id1917"/>
        <s v="Id1916"/>
        <s v="Id1915"/>
        <s v="Id1914"/>
        <s v="Id1913"/>
        <s v="Id1912"/>
        <s v="Id1911"/>
        <s v="Id1910"/>
        <s v="Id1909"/>
        <s v="Id1908"/>
        <s v="Id1907"/>
        <s v="Id1906"/>
        <s v="Id1905"/>
        <s v="Id1904"/>
        <s v="Id1903"/>
        <s v="Id1902"/>
        <s v="Id1901"/>
        <s v="Id1900"/>
        <s v="Id1899"/>
        <s v="Id1898"/>
        <s v="Id1897"/>
        <s v="Id1896"/>
        <s v="Id1895"/>
        <s v="Id1894"/>
        <s v="Id1893"/>
        <s v="Id1892"/>
        <s v="Id1891"/>
        <s v="Id1890"/>
        <s v="Id1889"/>
        <s v="Id1888"/>
        <s v="Id1887"/>
        <s v="Id1886"/>
        <s v="Id1885"/>
        <s v="Id1884"/>
        <s v="Id1883"/>
        <s v="Id1882"/>
        <s v="Id1881"/>
        <s v="Id1880"/>
        <s v="Id1879"/>
        <s v="Id1878"/>
        <s v="Id1877"/>
        <s v="Id1876"/>
        <s v="Id1875"/>
        <s v="Id1874"/>
        <s v="Id1873"/>
        <s v="Id1872"/>
        <s v="Id1871"/>
        <s v="Id1870"/>
        <s v="Id1869"/>
        <s v="Id1868"/>
        <s v="Id1867"/>
        <s v="Id1866"/>
        <s v="Id1865"/>
        <s v="Id1864"/>
        <s v="Id1863"/>
        <s v="Id1862"/>
        <s v="Id1861"/>
        <s v="Id1860"/>
        <s v="Id1859"/>
        <s v="Id1858"/>
        <s v="Id1857"/>
        <s v="Id1856"/>
        <s v="Id1855"/>
        <s v="Id1854"/>
        <s v="Id1853"/>
        <s v="Id1852"/>
        <s v="Id1851"/>
        <s v="Id1850"/>
        <s v="Id1849"/>
        <s v="Id1848"/>
        <s v="Id1847"/>
        <s v="Id1846"/>
        <s v="Id1845"/>
        <s v="Id1844"/>
        <s v="Id1843"/>
        <s v="Id1842"/>
        <s v="Id1841"/>
        <s v="Id1840"/>
        <s v="Id1839"/>
        <s v="Id1838"/>
        <s v="Id1837"/>
        <s v="Id1836"/>
        <s v="Id1835"/>
        <s v="Id1834"/>
        <s v="Id1833"/>
        <s v="Id1832"/>
        <s v="Id1831"/>
        <s v="Id1830"/>
        <s v="Id1829"/>
        <s v="Id1828"/>
        <s v="Id1827"/>
        <s v="Id1826"/>
        <s v="Id1825"/>
        <s v="Id1824"/>
        <s v="Id1823"/>
        <s v="Id1822"/>
        <s v="Id1821"/>
        <s v="Id1820"/>
        <s v="Id1819"/>
        <s v="Id1818"/>
        <s v="Id1817"/>
        <s v="Id1816"/>
        <s v="Id1815"/>
        <s v="Id1814"/>
        <s v="Id1813"/>
        <s v="Id1812"/>
        <s v="Id1811"/>
        <s v="Id1810"/>
        <s v="Id1809"/>
        <s v="Id1808"/>
        <s v="Id1807"/>
        <s v="Id1806"/>
        <s v="Id1805"/>
        <s v="Id1804"/>
        <s v="Id1803"/>
        <s v="Id1802"/>
        <s v="Id1801"/>
        <s v="Id1800"/>
        <s v="Id1799"/>
        <s v="Id1798"/>
        <s v="Id1797"/>
        <s v="Id1796"/>
        <s v="Id1795"/>
        <s v="Id1794"/>
        <s v="Id1793"/>
        <s v="Id1792"/>
        <s v="Id1791"/>
        <s v="Id1790"/>
        <s v="Id1789"/>
        <s v="Id1788"/>
        <s v="Id1787"/>
        <s v="Id1786"/>
        <s v="Id1785"/>
        <s v="Id1784"/>
        <s v="Id1783"/>
        <s v="Id1782"/>
        <s v="Id1781"/>
        <s v="Id1780"/>
        <s v="Id1779"/>
        <s v="Id1778"/>
        <s v="Id1777"/>
        <s v="Id1776"/>
        <s v="Id1775"/>
        <s v="Id1774"/>
        <s v="Id1773"/>
        <s v="Id1772"/>
        <s v="Id1771"/>
        <s v="Id1770"/>
        <s v="Id1769"/>
        <s v="Id1768"/>
        <s v="Id1767"/>
        <s v="Id1766"/>
        <s v="Id1765"/>
        <s v="Id1764"/>
        <s v="Id1763"/>
        <s v="Id1762"/>
        <s v="Id1761"/>
        <s v="Id1760"/>
        <s v="Id1759"/>
        <s v="Id1758"/>
        <s v="Id1757"/>
        <s v="Id1756"/>
        <s v="Id1755"/>
        <s v="Id1754"/>
        <s v="Id1753"/>
        <s v="Id1752"/>
        <s v="Id1751"/>
        <s v="Id1750"/>
        <s v="Id1749"/>
        <s v="Id1748"/>
        <s v="Id1747"/>
        <s v="Id1746"/>
        <s v="Id1745"/>
        <s v="Id1744"/>
        <s v="Id1743"/>
        <s v="Id1742"/>
        <s v="Id1741"/>
        <s v="Id1740"/>
        <s v="Id1739"/>
        <s v="Id1738"/>
        <s v="Id1737"/>
        <s v="Id1736"/>
        <s v="Id1735"/>
        <s v="Id1734"/>
        <s v="Id1733"/>
        <s v="Id1732"/>
        <s v="Id1731"/>
        <s v="Id1730"/>
        <s v="Id1729"/>
        <s v="Id1728"/>
        <s v="Id1727"/>
        <s v="Id1726"/>
        <s v="Id1725"/>
        <s v="Id1724"/>
        <s v="Id1723"/>
        <s v="Id1722"/>
        <s v="Id1721"/>
        <s v="Id1720"/>
        <s v="Id1719"/>
        <s v="Id1718"/>
        <s v="Id1717"/>
        <s v="Id1716"/>
        <s v="Id1715"/>
        <s v="Id1714"/>
        <s v="Id1713"/>
        <s v="Id1712"/>
        <s v="Id1711"/>
        <s v="Id1710"/>
        <s v="Id1709"/>
        <s v="Id1708"/>
        <s v="Id1707"/>
        <s v="Id1706"/>
        <s v="Id1705"/>
        <s v="Id1704"/>
        <s v="Id1703"/>
        <s v="Id1702"/>
        <s v="Id1701"/>
        <s v="Id1700"/>
        <s v="Id1699"/>
        <s v="Id1698"/>
        <s v="Id1697"/>
        <s v="Id1696"/>
        <s v="Id1695"/>
        <s v="Id1694"/>
        <s v="Id1693"/>
        <s v="Id1692"/>
        <s v="Id1691"/>
        <s v="Id1690"/>
        <s v="Id1689"/>
        <s v="Id1688"/>
        <s v="Id1687"/>
        <s v="Id1686"/>
        <s v="Id1685"/>
        <s v="Id1684"/>
        <s v="Id1683"/>
        <s v="Id1682"/>
        <s v="Id1681"/>
        <s v="Id1680"/>
        <s v="Id1679"/>
        <s v="Id1678"/>
        <s v="Id1677"/>
        <s v="Id1676"/>
        <s v="Id1675"/>
        <s v="Id1674"/>
        <s v="Id1673"/>
        <s v="Id1672"/>
        <s v="Id1671"/>
        <s v="Id1670"/>
        <s v="Id1669"/>
        <s v="Id1668"/>
        <s v="Id1667"/>
        <s v="Id1666"/>
        <s v="Id1665"/>
        <s v="Id1664"/>
        <s v="Id1663"/>
        <s v="Id1662"/>
        <s v="Id1661"/>
        <s v="Id1660"/>
        <s v="Id1659"/>
        <s v="Id1658"/>
        <s v="Id1657"/>
        <s v="Id1656"/>
        <s v="Id1655"/>
        <s v="Id1654"/>
        <s v="Id1653"/>
        <s v="Id1652"/>
        <s v="Id1651"/>
        <s v="Id1650"/>
        <s v="Id1649"/>
        <s v="Id1648"/>
        <s v="Id1647"/>
        <s v="Id1646"/>
        <s v="Id1645"/>
        <s v="Id1644"/>
        <s v="Id1643"/>
        <s v="Id1642"/>
        <s v="Id1641"/>
        <s v="Id1640"/>
        <s v="Id1639"/>
        <s v="Id1638"/>
        <s v="Id1637"/>
        <s v="Id1636"/>
        <s v="Id1635"/>
        <s v="Id1634"/>
        <s v="Id1633"/>
        <s v="Id1632"/>
        <s v="Id1631"/>
        <s v="Id1630"/>
        <s v="Id1629"/>
        <s v="Id1628"/>
        <s v="Id1627"/>
        <s v="Id1626"/>
        <s v="Id1625"/>
        <s v="Id1624"/>
        <s v="Id1623"/>
        <s v="Id1622"/>
        <s v="Id1621"/>
        <s v="Id1620"/>
        <s v="Id1619"/>
        <s v="Id1618"/>
        <s v="Id1617"/>
        <s v="Id1616"/>
        <s v="Id1615"/>
        <s v="Id1614"/>
        <s v="Id1613"/>
        <s v="Id1612"/>
        <s v="Id1611"/>
        <s v="Id1610"/>
        <s v="Id1609"/>
        <s v="Id1608"/>
        <s v="Id1607"/>
        <s v="Id1606"/>
        <s v="Id1605"/>
        <s v="Id1604"/>
        <s v="Id1603"/>
        <s v="Id1602"/>
        <s v="Id1601"/>
        <s v="Id1600"/>
        <s v="Id1599"/>
        <s v="Id1598"/>
        <s v="Id1597"/>
        <s v="Id1596"/>
        <s v="Id1595"/>
        <s v="Id1594"/>
        <s v="Id1593"/>
        <s v="Id1592"/>
        <s v="Id1591"/>
        <s v="Id1590"/>
        <s v="Id1589"/>
        <s v="Id1588"/>
        <s v="Id1587"/>
        <s v="Id1586"/>
        <s v="Id1585"/>
        <s v="Id1584"/>
        <s v="Id1583"/>
        <s v="Id1582"/>
        <s v="Id1581"/>
        <s v="Id1580"/>
        <s v="Id1579"/>
        <s v="Id1578"/>
        <s v="Id1577"/>
        <s v="Id1576"/>
        <s v="Id1575"/>
        <s v="Id1574"/>
        <s v="Id1573"/>
        <s v="Id1572"/>
        <s v="Id1571"/>
        <s v="Id1570"/>
        <s v="Id1569"/>
        <s v="Id1568"/>
        <s v="Id1567"/>
        <s v="Id1566"/>
        <s v="Id1565"/>
        <s v="Id1564"/>
        <s v="Id1563"/>
        <s v="Id1562"/>
        <s v="Id1561"/>
        <s v="Id1560"/>
        <s v="Id1559"/>
        <s v="Id1558"/>
        <s v="Id1557"/>
        <s v="Id1556"/>
        <s v="Id1555"/>
        <s v="Id1554"/>
        <s v="Id1553"/>
        <s v="Id1552"/>
        <s v="Id1551"/>
        <s v="Id1550"/>
        <s v="Id1549"/>
        <s v="Id1548"/>
        <s v="Id1547"/>
        <s v="Id1546"/>
        <s v="Id1545"/>
        <s v="Id1544"/>
        <s v="Id1543"/>
        <s v="Id1542"/>
        <s v="Id1541"/>
        <s v="Id1540"/>
        <s v="Id1539"/>
        <s v="Id1538"/>
        <s v="Id1537"/>
        <s v="Id1536"/>
        <s v="Id1535"/>
        <s v="Id1534"/>
        <s v="Id1533"/>
        <s v="Id1532"/>
        <s v="Id1531"/>
        <s v="Id1530"/>
        <s v="Id1529"/>
        <s v="Id1528"/>
        <s v="Id1527"/>
        <s v="Id1526"/>
        <s v="Id1525"/>
        <s v="Id1524"/>
        <s v="Id1523"/>
        <s v="Id1522"/>
        <s v="Id1521"/>
        <s v="Id1520"/>
        <s v="Id1519"/>
        <s v="Id1518"/>
        <s v="Id1517"/>
        <s v="Id1516"/>
        <s v="Id1515"/>
        <s v="Id1514"/>
        <s v="Id1513"/>
        <s v="Id1512"/>
        <s v="Id1511"/>
        <s v="Id1510"/>
        <s v="Id1509"/>
        <s v="Id1508"/>
        <s v="Id1507"/>
        <s v="Id1506"/>
        <s v="Id1505"/>
        <s v="Id1504"/>
        <s v="Id1503"/>
        <s v="Id1502"/>
        <s v="Id1501"/>
        <s v="Id1500"/>
        <s v="Id1499"/>
        <s v="Id1498"/>
        <s v="Id1497"/>
        <s v="Id1496"/>
        <s v="Id1495"/>
        <s v="Id1494"/>
        <s v="Id1493"/>
        <s v="Id1492"/>
        <s v="Id1491"/>
        <s v="Id1490"/>
        <s v="Id1489"/>
        <s v="Id1488"/>
        <s v="Id1487"/>
        <s v="Id1486"/>
        <s v="Id1485"/>
        <s v="Id1484"/>
        <s v="Id1483"/>
        <s v="Id1482"/>
        <s v="Id1481"/>
        <s v="Id1480"/>
        <s v="Id1479"/>
        <s v="Id1478"/>
        <s v="Id1477"/>
        <s v="Id1476"/>
        <s v="Id1475"/>
        <s v="Id1474"/>
        <s v="Id1473"/>
        <s v="Id1472"/>
        <s v="Id1471"/>
        <s v="Id1470"/>
        <s v="Id1469"/>
        <s v="Id1468"/>
        <s v="Id1467"/>
        <s v="Id1466"/>
        <s v="Id1465"/>
        <s v="Id1464"/>
        <s v="Id1463"/>
        <s v="Id1462"/>
        <s v="Id1461"/>
        <s v="Id1460"/>
        <s v="Id1459"/>
        <s v="Id1458"/>
        <s v="Id1457"/>
        <s v="Id1456"/>
        <s v="Id1455"/>
        <s v="Id1454"/>
        <s v="Id1453"/>
        <s v="Id1452"/>
        <s v="Id1451"/>
        <s v="Id1450"/>
        <s v="Id1449"/>
        <s v="Id1448"/>
        <s v="Id1447"/>
        <s v="Id1446"/>
        <s v="Id1445"/>
        <s v="Id1444"/>
        <s v="Id1443"/>
        <s v="Id1442"/>
        <s v="Id1441"/>
        <s v="Id1440"/>
        <s v="Id1439"/>
        <s v="Id1438"/>
        <s v="Id1437"/>
        <s v="Id1436"/>
        <s v="Id1435"/>
        <s v="Id1434"/>
        <s v="Id1433"/>
        <s v="Id1432"/>
        <s v="Id1431"/>
        <s v="Id1430"/>
        <s v="Id1429"/>
        <s v="Id1428"/>
        <s v="Id1427"/>
        <s v="Id1426"/>
        <s v="Id1425"/>
        <s v="Id1424"/>
        <s v="Id1423"/>
        <s v="Id1422"/>
        <s v="Id1421"/>
        <s v="Id1420"/>
        <s v="Id1419"/>
        <s v="Id1418"/>
        <s v="Id1417"/>
        <s v="Id1416"/>
        <s v="Id1415"/>
        <s v="Id1414"/>
        <s v="Id1413"/>
        <s v="Id1412"/>
        <s v="Id1411"/>
        <s v="Id1410"/>
        <s v="Id1409"/>
        <s v="Id1408"/>
        <s v="Id1407"/>
        <s v="Id1406"/>
        <s v="Id1405"/>
        <s v="Id1404"/>
        <s v="Id1403"/>
        <s v="Id1402"/>
        <s v="Id1401"/>
        <s v="Id1400"/>
        <s v="Id1399"/>
        <s v="Id1398"/>
        <s v="Id1397"/>
        <s v="Id1396"/>
        <s v="Id1395"/>
        <s v="Id1394"/>
        <s v="Id1393"/>
        <s v="Id1392"/>
        <s v="Id1391"/>
        <s v="Id1390"/>
        <s v="Id1389"/>
        <s v="Id1388"/>
        <s v="Id1387"/>
        <s v="Id1386"/>
        <s v="Id1385"/>
        <s v="Id1384"/>
        <s v="Id1383"/>
        <s v="Id1382"/>
        <s v="Id1381"/>
        <s v="Id1380"/>
        <s v="Id1379"/>
        <s v="Id1378"/>
        <s v="Id1377"/>
        <s v="Id1376"/>
        <s v="Id1375"/>
        <s v="Id1374"/>
        <s v="Id1373"/>
        <s v="Id1372"/>
        <s v="Id1371"/>
        <s v="Id1370"/>
        <s v="Id1369"/>
        <s v="Id1368"/>
        <s v="Id1367"/>
        <s v="Id1366"/>
        <s v="Id1365"/>
        <s v="Id1364"/>
        <s v="Id1363"/>
        <s v="Id1362"/>
        <s v="Id1361"/>
        <s v="Id1360"/>
        <s v="Id1359"/>
        <s v="Id1358"/>
        <s v="Id1357"/>
        <s v="Id1356"/>
        <s v="Id1355"/>
        <s v="Id1354"/>
        <s v="Id1353"/>
        <s v="Id1352"/>
        <s v="Id1351"/>
        <s v="Id1350"/>
        <s v="Id1349"/>
        <s v="Id1348"/>
        <s v="Id1347"/>
        <s v="Id1346"/>
        <s v="Id1345"/>
        <s v="Id1344"/>
        <s v="Id1343"/>
        <s v="Id1342"/>
        <s v="Id1341"/>
        <s v="Id1340"/>
        <s v="Id1339"/>
        <s v="Id1338"/>
        <s v="Id1337"/>
        <s v="Id1336"/>
        <s v="Id1335"/>
        <s v="Id1334"/>
        <s v="Id1333"/>
        <s v="Id1332"/>
        <s v="Id1331"/>
        <s v="Id1330"/>
        <s v="Id1329"/>
        <s v="Id1328"/>
        <s v="Id1327"/>
        <s v="Id1326"/>
        <s v="Id1325"/>
        <s v="Id1324"/>
        <s v="Id1323"/>
        <s v="Id1322"/>
        <s v="Id1321"/>
        <s v="Id1320"/>
        <s v="Id1319"/>
        <s v="Id1318"/>
        <s v="Id1317"/>
        <s v="Id1316"/>
        <s v="Id1315"/>
        <s v="Id1314"/>
        <s v="Id1313"/>
        <s v="Id1312"/>
        <s v="Id1311"/>
        <s v="Id1310"/>
        <s v="Id1309"/>
        <s v="Id1308"/>
        <s v="Id1307"/>
        <s v="Id1306"/>
        <s v="Id1305"/>
        <s v="Id1304"/>
        <s v="Id1303"/>
        <s v="Id1302"/>
        <s v="Id1301"/>
        <s v="Id1300"/>
        <s v="Id1299"/>
        <s v="Id1298"/>
        <s v="Id1297"/>
        <s v="Id1296"/>
        <s v="Id1295"/>
        <s v="Id1294"/>
        <s v="Id1293"/>
        <s v="Id1292"/>
        <s v="Id1291"/>
        <s v="Id1290"/>
        <s v="Id1289"/>
        <s v="Id1288"/>
        <s v="Id1287"/>
        <s v="Id1286"/>
        <s v="Id1285"/>
        <s v="Id1284"/>
        <s v="Id1283"/>
        <s v="Id1282"/>
        <s v="Id1281"/>
        <s v="Id1280"/>
        <s v="Id1279"/>
        <s v="Id1278"/>
        <s v="Id1277"/>
        <s v="Id1276"/>
        <s v="Id1275"/>
        <s v="Id1274"/>
        <s v="Id1273"/>
        <s v="Id1272"/>
        <s v="Id1271"/>
        <s v="Id1270"/>
        <s v="Id1269"/>
        <s v="Id1268"/>
        <s v="Id1267"/>
        <s v="Id1266"/>
        <s v="Id1265"/>
        <s v="Id1264"/>
        <s v="Id1263"/>
        <s v="Id1262"/>
        <s v="Id1261"/>
        <s v="Id1260"/>
        <s v="Id1259"/>
        <s v="Id1258"/>
        <s v="Id1257"/>
        <s v="Id1256"/>
        <s v="Id1255"/>
        <s v="Id1254"/>
        <s v="Id1253"/>
        <s v="Id1252"/>
        <s v="Id1251"/>
        <s v="Id1250"/>
        <s v="Id1249"/>
        <s v="Id1248"/>
        <s v="Id1247"/>
        <s v="Id1246"/>
        <s v="Id1245"/>
        <s v="Id1244"/>
        <s v="Id1243"/>
        <s v="Id1242"/>
        <s v="Id1241"/>
        <s v="Id1240"/>
        <s v="Id1239"/>
        <s v="Id1238"/>
        <s v="Id1237"/>
        <s v="Id1236"/>
        <s v="Id1235"/>
        <s v="Id1234"/>
        <s v="Id1233"/>
        <s v="Id1232"/>
        <s v="Id1231"/>
        <s v="Id1230"/>
        <s v="Id1229"/>
        <s v="Id1228"/>
        <s v="Id1227"/>
        <s v="Id1226"/>
        <s v="Id1225"/>
        <s v="Id1224"/>
        <s v="Id1223"/>
        <s v="Id1222"/>
        <s v="Id1221"/>
        <s v="Id1220"/>
        <s v="Id1219"/>
        <s v="Id1218"/>
        <s v="Id1217"/>
        <s v="Id1216"/>
        <s v="Id1215"/>
        <s v="Id1214"/>
        <s v="Id1213"/>
        <s v="Id1212"/>
        <s v="Id1211"/>
        <s v="Id1210"/>
        <s v="Id1209"/>
        <s v="Id1208"/>
        <s v="Id1207"/>
        <s v="Id1206"/>
        <s v="Id1205"/>
        <s v="Id1204"/>
        <s v="Id1203"/>
        <s v="Id1202"/>
        <s v="Id1201"/>
        <s v="Id1200"/>
        <s v="Id1199"/>
        <s v="Id1198"/>
        <s v="Id1197"/>
        <s v="Id1196"/>
        <s v="Id1195"/>
        <s v="Id1194"/>
        <s v="Id1193"/>
        <s v="Id1192"/>
        <s v="Id1191"/>
        <s v="Id1190"/>
        <s v="Id1189"/>
        <s v="Id1188"/>
        <s v="Id1187"/>
        <s v="Id1186"/>
        <s v="Id1185"/>
        <s v="Id1184"/>
        <s v="Id1183"/>
        <s v="Id1182"/>
        <s v="Id1181"/>
        <s v="Id1180"/>
        <s v="Id1179"/>
        <s v="Id1178"/>
        <s v="Id1177"/>
        <s v="Id1176"/>
        <s v="Id1175"/>
        <s v="Id1174"/>
        <s v="Id1173"/>
        <s v="Id1172"/>
        <s v="Id1171"/>
        <s v="Id1170"/>
        <s v="Id1169"/>
        <s v="Id1168"/>
        <s v="Id1167"/>
        <s v="Id1166"/>
        <s v="Id1165"/>
        <s v="Id1164"/>
        <s v="Id1163"/>
        <s v="Id1162"/>
        <s v="Id1161"/>
        <s v="Id1160"/>
        <s v="Id1159"/>
        <s v="Id1158"/>
        <s v="Id1157"/>
        <s v="Id1156"/>
        <s v="Id1155"/>
        <s v="Id1154"/>
        <s v="Id1153"/>
        <s v="Id1152"/>
        <s v="Id1151"/>
        <s v="Id1150"/>
        <s v="Id1149"/>
        <s v="Id1148"/>
        <s v="Id1147"/>
        <s v="Id1146"/>
        <s v="Id1145"/>
        <s v="Id1144"/>
        <s v="Id1143"/>
        <s v="Id1142"/>
        <s v="Id1141"/>
        <s v="Id1140"/>
        <s v="Id1139"/>
        <s v="Id1138"/>
        <s v="Id1137"/>
        <s v="Id1136"/>
        <s v="Id1135"/>
        <s v="Id1134"/>
        <s v="Id1133"/>
        <s v="Id1132"/>
        <s v="Id1131"/>
        <s v="Id1130"/>
        <s v="Id1129"/>
        <s v="Id1128"/>
        <s v="Id1127"/>
        <s v="Id1126"/>
        <s v="Id1125"/>
        <s v="Id1124"/>
        <s v="Id1123"/>
        <s v="Id1122"/>
        <s v="Id1121"/>
        <s v="Id1120"/>
        <s v="Id1119"/>
        <s v="Id1118"/>
        <s v="Id1117"/>
        <s v="Id1116"/>
        <s v="Id1115"/>
        <s v="Id1114"/>
        <s v="Id1113"/>
        <s v="Id1112"/>
        <s v="Id1111"/>
        <s v="Id1110"/>
        <s v="Id1109"/>
        <s v="Id1108"/>
        <s v="Id1107"/>
        <s v="Id1106"/>
        <s v="Id1105"/>
        <s v="Id1104"/>
        <s v="Id1103"/>
        <s v="Id1102"/>
        <s v="Id1101"/>
        <s v="Id1100"/>
        <s v="Id1099"/>
        <s v="Id1098"/>
        <s v="Id1097"/>
        <s v="Id1096"/>
        <s v="Id1095"/>
        <s v="Id1094"/>
        <s v="Id1093"/>
        <s v="Id1092"/>
        <s v="Id1091"/>
        <s v="Id1090"/>
        <s v="Id1089"/>
        <s v="Id1088"/>
        <s v="Id1087"/>
        <s v="Id1086"/>
        <s v="Id1085"/>
        <s v="Id1084"/>
        <s v="Id1083"/>
        <s v="Id1082"/>
        <s v="Id1081"/>
        <s v="Id1080"/>
        <s v="Id1079"/>
        <s v="Id1078"/>
        <s v="Id1077"/>
        <s v="Id1076"/>
        <s v="Id1075"/>
        <s v="Id1074"/>
        <s v="Id1073"/>
        <s v="Id1072"/>
        <s v="Id1071"/>
        <s v="Id1070"/>
        <s v="Id1069"/>
        <s v="Id1068"/>
        <s v="Id1067"/>
        <s v="Id1066"/>
        <s v="Id1065"/>
        <s v="Id1064"/>
        <s v="Id1063"/>
        <s v="Id1062"/>
        <s v="Id1061"/>
        <s v="Id1060"/>
        <s v="Id1059"/>
        <s v="Id1058"/>
        <s v="Id1057"/>
        <s v="Id1056"/>
        <s v="Id1055"/>
        <s v="Id1054"/>
        <s v="Id1053"/>
        <s v="Id1052"/>
        <s v="Id1051"/>
        <s v="Id1050"/>
        <s v="Id1049"/>
        <s v="Id1048"/>
        <s v="Id1047"/>
        <s v="Id1046"/>
        <s v="Id1045"/>
        <s v="Id1044"/>
        <s v="Id1043"/>
        <s v="Id1042"/>
        <s v="Id1041"/>
        <s v="Id1040"/>
        <s v="Id1039"/>
        <s v="Id1038"/>
        <s v="Id1037"/>
        <s v="Id1036"/>
        <s v="Id1035"/>
        <s v="Id1034"/>
        <s v="Id1033"/>
        <s v="Id1032"/>
        <s v="Id1031"/>
        <s v="Id1030"/>
        <s v="Id1029"/>
        <s v="Id1028"/>
        <s v="Id1027"/>
        <s v="Id1026"/>
        <s v="Id1025"/>
        <s v="Id1024"/>
        <s v="Id1023"/>
        <s v="Id1022"/>
        <s v="Id1021"/>
        <s v="Id1020"/>
        <s v="Id1019"/>
        <s v="Id1018"/>
        <s v="Id1017"/>
        <s v="Id1016"/>
        <s v="Id1015"/>
        <s v="Id1014"/>
        <s v="Id1013"/>
        <s v="Id1012"/>
        <s v="Id1011"/>
        <s v="Id1010"/>
        <s v="Id1009"/>
        <s v="Id1008"/>
        <s v="Id1007"/>
        <s v="Id1006"/>
        <s v="Id1005"/>
        <s v="Id1004"/>
        <s v="Id1003"/>
        <s v="Id1002"/>
        <s v="Id1001"/>
        <s v="Id1000"/>
        <s v="Id999"/>
        <s v="Id998"/>
        <s v="Id997"/>
        <s v="Id996"/>
        <s v="Id995"/>
        <s v="Id994"/>
        <s v="Id993"/>
        <s v="Id992"/>
        <s v="Id991"/>
        <s v="Id990"/>
        <s v="Id989"/>
        <s v="Id988"/>
        <s v="Id987"/>
        <s v="Id986"/>
        <s v="Id985"/>
        <s v="Id984"/>
        <s v="Id983"/>
        <s v="Id982"/>
        <s v="Id981"/>
        <s v="Id980"/>
        <s v="Id979"/>
        <s v="Id978"/>
        <s v="Id977"/>
        <s v="Id976"/>
        <s v="Id975"/>
        <s v="Id974"/>
        <s v="Id973"/>
        <s v="Id972"/>
        <s v="Id971"/>
        <s v="Id970"/>
        <s v="Id969"/>
        <s v="Id968"/>
        <s v="Id967"/>
        <s v="Id966"/>
        <s v="Id965"/>
        <s v="Id964"/>
        <s v="Id963"/>
        <s v="Id962"/>
        <s v="Id961"/>
        <s v="Id960"/>
        <s v="Id959"/>
        <s v="Id958"/>
        <s v="Id957"/>
        <s v="Id956"/>
        <s v="Id955"/>
        <s v="Id954"/>
        <s v="Id953"/>
        <s v="Id952"/>
        <s v="Id951"/>
        <s v="Id950"/>
        <s v="Id949"/>
        <s v="Id948"/>
        <s v="Id947"/>
        <s v="Id946"/>
        <s v="Id945"/>
        <s v="Id944"/>
        <s v="Id943"/>
        <s v="Id942"/>
        <s v="Id941"/>
        <s v="Id940"/>
        <s v="Id939"/>
        <s v="Id938"/>
        <s v="Id937"/>
        <s v="Id936"/>
        <s v="Id935"/>
        <s v="Id934"/>
        <s v="Id933"/>
        <s v="Id932"/>
        <s v="Id931"/>
        <s v="Id930"/>
        <s v="Id929"/>
        <s v="Id928"/>
        <s v="Id927"/>
        <s v="Id926"/>
        <s v="Id925"/>
        <s v="Id924"/>
        <s v="Id923"/>
        <s v="Id922"/>
        <s v="Id921"/>
        <s v="Id920"/>
        <s v="Id919"/>
        <s v="Id918"/>
        <s v="Id917"/>
        <s v="Id916"/>
        <s v="Id915"/>
        <s v="Id914"/>
        <s v="Id913"/>
        <s v="Id912"/>
        <s v="Id911"/>
        <s v="Id910"/>
        <s v="Id909"/>
        <s v="Id908"/>
        <s v="Id907"/>
        <s v="Id906"/>
        <s v="Id905"/>
        <s v="Id904"/>
        <s v="Id903"/>
        <s v="Id902"/>
        <s v="Id901"/>
        <s v="Id900"/>
        <s v="Id899"/>
        <s v="Id898"/>
        <s v="Id897"/>
        <s v="Id896"/>
        <s v="Id895"/>
        <s v="Id894"/>
        <s v="Id893"/>
        <s v="Id892"/>
        <s v="Id891"/>
        <s v="Id890"/>
        <s v="Id889"/>
        <s v="Id888"/>
        <s v="Id887"/>
        <s v="Id886"/>
        <s v="Id885"/>
        <s v="Id884"/>
        <s v="Id883"/>
        <s v="Id882"/>
        <s v="Id881"/>
        <s v="Id880"/>
        <s v="Id879"/>
        <s v="Id878"/>
        <s v="Id877"/>
        <s v="Id876"/>
        <s v="Id875"/>
        <s v="Id874"/>
        <s v="Id873"/>
        <s v="Id872"/>
        <s v="Id871"/>
        <s v="Id870"/>
        <s v="Id869"/>
        <s v="Id868"/>
        <s v="Id867"/>
        <s v="Id866"/>
        <s v="Id865"/>
        <s v="Id864"/>
        <s v="Id863"/>
        <s v="Id862"/>
        <s v="Id861"/>
        <s v="Id860"/>
        <s v="Id859"/>
        <s v="Id858"/>
        <s v="Id857"/>
        <s v="Id856"/>
        <s v="Id855"/>
        <s v="Id854"/>
        <s v="Id853"/>
        <s v="Id852"/>
        <s v="Id851"/>
        <s v="Id850"/>
        <s v="Id849"/>
        <s v="Id848"/>
        <s v="Id847"/>
        <s v="Id846"/>
        <s v="Id845"/>
        <s v="Id844"/>
        <s v="Id843"/>
        <s v="Id842"/>
        <s v="Id841"/>
        <s v="Id840"/>
        <s v="Id839"/>
        <s v="Id838"/>
        <s v="Id837"/>
        <s v="Id836"/>
        <s v="Id835"/>
        <s v="Id834"/>
        <s v="Id833"/>
        <s v="Id832"/>
        <s v="Id831"/>
        <s v="Id830"/>
        <s v="Id829"/>
        <s v="Id828"/>
        <s v="Id827"/>
        <s v="Id826"/>
        <s v="Id825"/>
        <s v="Id824"/>
        <s v="Id823"/>
        <s v="Id822"/>
        <s v="Id821"/>
        <s v="Id820"/>
        <s v="Id819"/>
        <s v="Id818"/>
        <s v="Id817"/>
        <s v="Id816"/>
        <s v="Id815"/>
        <s v="Id814"/>
        <s v="Id813"/>
        <s v="Id812"/>
        <s v="Id811"/>
        <s v="Id810"/>
        <s v="Id809"/>
        <s v="Id808"/>
        <s v="Id807"/>
        <s v="Id806"/>
        <s v="Id805"/>
        <s v="Id804"/>
        <s v="Id803"/>
        <s v="Id802"/>
        <s v="Id801"/>
        <s v="Id800"/>
        <s v="Id799"/>
        <s v="Id798"/>
        <s v="Id797"/>
        <s v="Id796"/>
        <s v="Id795"/>
        <s v="Id794"/>
        <s v="Id793"/>
        <s v="Id792"/>
        <s v="Id791"/>
        <s v="Id790"/>
        <s v="Id789"/>
        <s v="Id788"/>
        <s v="Id787"/>
        <s v="Id786"/>
        <s v="Id785"/>
        <s v="Id784"/>
        <s v="Id783"/>
        <s v="Id782"/>
        <s v="Id781"/>
        <s v="Id780"/>
        <s v="Id779"/>
        <s v="Id778"/>
        <s v="Id777"/>
        <s v="Id776"/>
        <s v="Id775"/>
        <s v="Id774"/>
        <s v="Id773"/>
        <s v="Id772"/>
        <s v="Id771"/>
        <s v="Id770"/>
        <s v="Id769"/>
        <s v="Id768"/>
        <s v="Id767"/>
        <s v="Id766"/>
        <s v="Id765"/>
        <s v="Id764"/>
        <s v="Id763"/>
        <s v="Id762"/>
        <s v="Id761"/>
        <s v="Id760"/>
        <s v="Id759"/>
        <s v="Id758"/>
        <s v="Id757"/>
        <s v="Id756"/>
        <s v="Id755"/>
        <s v="Id754"/>
        <s v="Id753"/>
        <s v="Id752"/>
        <s v="Id751"/>
        <s v="Id750"/>
        <s v="Id749"/>
        <s v="Id748"/>
        <s v="Id747"/>
        <s v="Id746"/>
        <s v="Id745"/>
        <s v="Id744"/>
        <s v="Id743"/>
        <s v="Id742"/>
        <s v="Id741"/>
        <s v="Id740"/>
        <s v="Id739"/>
        <s v="Id738"/>
        <s v="Id737"/>
        <s v="Id736"/>
        <s v="Id735"/>
        <s v="Id734"/>
        <s v="Id733"/>
        <s v="Id732"/>
        <s v="Id731"/>
        <s v="Id730"/>
        <s v="Id729"/>
        <s v="Id728"/>
        <s v="Id727"/>
        <s v="Id726"/>
        <s v="Id725"/>
        <s v="Id724"/>
        <s v="Id723"/>
        <s v="Id722"/>
        <s v="Id721"/>
        <s v="Id720"/>
        <s v="Id719"/>
        <s v="Id718"/>
        <s v="Id717"/>
        <s v="Id716"/>
        <s v="Id715"/>
        <s v="Id714"/>
        <s v="Id713"/>
        <s v="Id712"/>
        <s v="Id711"/>
        <s v="Id710"/>
        <s v="Id709"/>
        <s v="Id708"/>
        <s v="Id707"/>
        <s v="Id706"/>
        <s v="Id705"/>
        <s v="Id704"/>
        <s v="Id703"/>
        <s v="Id702"/>
        <s v="Id701"/>
        <s v="Id700"/>
        <s v="Id699"/>
        <s v="Id698"/>
        <s v="Id697"/>
        <s v="Id696"/>
        <s v="Id695"/>
        <s v="Id694"/>
        <s v="Id693"/>
        <s v="Id692"/>
        <s v="Id691"/>
        <s v="Id690"/>
        <s v="Id689"/>
        <s v="Id688"/>
        <s v="Id687"/>
        <s v="Id686"/>
        <s v="Id685"/>
        <s v="Id684"/>
        <s v="Id683"/>
        <s v="Id682"/>
        <s v="Id681"/>
        <s v="Id680"/>
        <s v="Id679"/>
        <s v="Id678"/>
        <s v="Id677"/>
        <s v="Id676"/>
        <s v="Id675"/>
        <s v="Id674"/>
        <s v="Id673"/>
        <s v="Id672"/>
        <s v="Id671"/>
        <s v="Id670"/>
        <s v="Id669"/>
        <s v="Id668"/>
        <s v="Id667"/>
        <s v="Id666"/>
        <s v="Id665"/>
        <s v="Id664"/>
        <s v="Id663"/>
        <s v="Id662"/>
        <s v="Id661"/>
        <s v="Id660"/>
        <s v="Id659"/>
        <s v="Id658"/>
        <s v="Id657"/>
        <s v="Id656"/>
        <s v="Id655"/>
        <s v="Id654"/>
        <s v="Id653"/>
        <s v="Id652"/>
        <s v="Id651"/>
        <s v="Id650"/>
        <s v="Id649"/>
        <s v="Id648"/>
        <s v="Id647"/>
        <s v="Id646"/>
        <s v="Id645"/>
        <s v="Id644"/>
        <s v="Id643"/>
        <s v="Id642"/>
        <s v="Id641"/>
        <s v="Id640"/>
        <s v="Id639"/>
        <s v="Id638"/>
        <s v="Id637"/>
        <s v="Id636"/>
        <s v="Id635"/>
        <s v="Id634"/>
        <s v="Id633"/>
        <s v="Id632"/>
        <s v="Id631"/>
        <s v="Id630"/>
        <s v="Id629"/>
        <s v="Id628"/>
        <s v="Id627"/>
        <s v="Id626"/>
        <s v="Id625"/>
        <s v="Id624"/>
        <s v="Id623"/>
        <s v="Id622"/>
        <s v="Id621"/>
        <s v="Id620"/>
        <s v="Id619"/>
        <s v="Id618"/>
        <s v="Id617"/>
        <s v="Id616"/>
        <s v="Id615"/>
        <s v="Id614"/>
        <s v="Id613"/>
        <s v="Id612"/>
        <s v="Id611"/>
        <s v="Id610"/>
        <s v="Id609"/>
        <s v="Id608"/>
        <s v="Id607"/>
        <s v="Id606"/>
        <s v="Id605"/>
        <s v="Id604"/>
        <s v="Id603"/>
        <s v="Id602"/>
        <s v="Id601"/>
        <s v="Id600"/>
        <s v="Id599"/>
        <s v="Id598"/>
        <s v="Id597"/>
        <s v="Id596"/>
        <s v="Id595"/>
        <s v="Id594"/>
        <s v="Id593"/>
        <s v="Id592"/>
        <s v="Id591"/>
        <s v="Id590"/>
        <s v="Id589"/>
        <s v="Id588"/>
        <s v="Id587"/>
        <s v="Id586"/>
        <s v="Id585"/>
        <s v="Id584"/>
        <s v="Id583"/>
        <s v="Id582"/>
        <s v="Id581"/>
        <s v="Id580"/>
        <s v="Id579"/>
        <s v="Id578"/>
        <s v="Id577"/>
        <s v="Id576"/>
        <s v="Id575"/>
        <s v="Id574"/>
        <s v="Id573"/>
        <s v="Id572"/>
        <s v="Id571"/>
        <s v="Id570"/>
        <s v="Id569"/>
        <s v="Id568"/>
        <s v="Id567"/>
        <s v="Id566"/>
        <s v="Id565"/>
        <s v="Id564"/>
        <s v="Id563"/>
        <s v="Id562"/>
        <s v="Id561"/>
        <s v="Id560"/>
        <s v="Id559"/>
        <s v="Id558"/>
        <s v="Id557"/>
        <s v="Id556"/>
        <s v="Id555"/>
        <s v="Id554"/>
        <s v="Id553"/>
        <s v="Id552"/>
        <s v="Id551"/>
        <s v="Id550"/>
        <s v="Id549"/>
        <s v="Id548"/>
        <s v="Id547"/>
        <s v="Id546"/>
        <s v="Id545"/>
        <s v="Id544"/>
        <s v="Id543"/>
        <s v="Id542"/>
        <s v="Id541"/>
        <s v="Id540"/>
        <s v="Id539"/>
        <s v="Id538"/>
        <s v="Id537"/>
        <s v="Id536"/>
        <s v="Id535"/>
        <s v="Id534"/>
        <s v="Id533"/>
        <s v="Id532"/>
        <s v="Id531"/>
        <s v="Id530"/>
        <s v="Id529"/>
        <s v="Id528"/>
        <s v="Id527"/>
        <s v="Id526"/>
        <s v="Id525"/>
        <s v="Id524"/>
        <s v="Id523"/>
        <s v="Id522"/>
        <s v="Id521"/>
        <s v="Id520"/>
        <s v="Id519"/>
        <s v="Id518"/>
        <s v="Id517"/>
        <s v="Id516"/>
        <s v="Id515"/>
        <s v="Id514"/>
        <s v="Id513"/>
        <s v="Id512"/>
        <s v="Id511"/>
        <s v="Id510"/>
        <s v="Id509"/>
        <s v="Id508"/>
        <s v="Id507"/>
        <s v="Id506"/>
        <s v="Id505"/>
        <s v="Id504"/>
        <s v="Id503"/>
        <s v="Id502"/>
        <s v="Id501"/>
        <s v="Id500"/>
        <s v="Id499"/>
        <s v="Id498"/>
        <s v="Id497"/>
        <s v="Id496"/>
        <s v="Id495"/>
        <s v="Id494"/>
        <s v="Id493"/>
        <s v="Id492"/>
        <s v="Id491"/>
        <s v="Id490"/>
        <s v="Id489"/>
        <s v="Id488"/>
        <s v="Id487"/>
        <s v="Id486"/>
        <s v="Id485"/>
        <s v="Id484"/>
        <s v="Id483"/>
        <s v="Id482"/>
        <s v="Id481"/>
        <s v="Id480"/>
        <s v="Id479"/>
        <s v="Id478"/>
        <s v="Id477"/>
        <s v="Id476"/>
        <s v="id2444"/>
        <s v="Id475"/>
        <s v="Id474"/>
        <s v="Id473"/>
        <s v="Id472"/>
        <s v="Id471"/>
        <s v="Id470"/>
        <s v="Id469"/>
        <s v="Id468"/>
        <s v="Id467"/>
        <s v="Id466"/>
        <s v="Id465"/>
        <s v="Id464"/>
        <s v="Id463"/>
        <s v="Id462"/>
        <s v="Id461"/>
        <s v="Id460"/>
        <s v="Id459"/>
        <s v="Id458"/>
        <s v="Id457"/>
        <s v="Id456"/>
        <s v="Id455"/>
        <s v="Id454"/>
        <s v="Id453"/>
        <s v="Id452"/>
        <s v="Id451"/>
        <s v="Id450"/>
        <s v="Id449"/>
        <s v="Id448"/>
        <s v="Id447"/>
        <s v="Id446"/>
        <s v="Id445"/>
        <s v="Id444"/>
        <s v="Id443"/>
        <s v="Id442"/>
        <s v="Id441"/>
        <s v="Id440"/>
        <s v="Id439"/>
        <s v="Id438"/>
        <s v="Id437"/>
        <s v="Id436"/>
        <s v="Id435"/>
        <s v="Id434"/>
        <s v="Id433"/>
        <s v="Id432"/>
        <s v="Id431"/>
        <s v="Id430"/>
        <s v="Id429"/>
        <s v="Id428"/>
        <s v="Id427"/>
        <s v="Id426"/>
        <s v="Id425"/>
        <s v="Id424"/>
        <s v="Id423"/>
        <s v="Id422"/>
        <s v="Id421"/>
        <s v="Id420"/>
        <s v="Id419"/>
        <s v="Id418"/>
        <s v="Id417"/>
        <s v="Id416"/>
        <s v="Id415"/>
        <s v="Id414"/>
        <s v="Id413"/>
        <s v="Id412"/>
        <s v="Id411"/>
        <s v="Id410"/>
        <s v="Id409"/>
        <s v="Id408"/>
        <s v="Id407"/>
        <s v="Id406"/>
        <s v="Id405"/>
        <s v="Id404"/>
        <s v="Id403"/>
        <s v="Id402"/>
        <s v="Id401"/>
        <s v="Id400"/>
        <s v="Id399"/>
        <s v="Id398"/>
        <s v="Id397"/>
        <s v="Id396"/>
        <s v="Id395"/>
        <s v="Id394"/>
        <s v="Id393"/>
        <s v="Id392"/>
        <s v="Id391"/>
        <s v="Id390"/>
        <s v="Id389"/>
        <s v="Id388"/>
        <s v="Id387"/>
        <s v="Id386"/>
        <s v="Id385"/>
        <s v="Id384"/>
        <s v="Id383"/>
        <s v="Id382"/>
        <s v="Id381"/>
        <s v="Id380"/>
        <s v="Id379"/>
        <s v="Id378"/>
        <s v="Id377"/>
        <s v="Id376"/>
        <s v="Id375"/>
        <s v="Id374"/>
        <s v="Id373"/>
        <s v="Id372"/>
        <s v="Id371"/>
        <s v="Id370"/>
        <s v="Id369"/>
        <s v="Id368"/>
        <s v="Id367"/>
        <s v="Id366"/>
        <s v="Id365"/>
        <s v="Id364"/>
        <s v="Id363"/>
        <s v="Id362"/>
        <s v="Id361"/>
        <s v="Id360"/>
        <s v="Id359"/>
        <s v="Id358"/>
        <s v="Id357"/>
        <s v="Id356"/>
        <s v="Id355"/>
        <s v="Id354"/>
        <s v="Id353"/>
        <s v="Id352"/>
        <s v="Id351"/>
        <s v="Id350"/>
        <s v="Id349"/>
        <s v="Id348"/>
        <s v="Id347"/>
        <s v="Id346"/>
        <s v="Id345"/>
        <s v="Id344"/>
        <s v="Id343"/>
        <s v="Id342"/>
        <s v="Id341"/>
        <s v="Id340"/>
        <s v="Id339"/>
        <s v="Id338"/>
        <s v="Id337"/>
        <s v="Id336"/>
        <s v="Id335"/>
        <s v="Id334"/>
        <s v="Id333"/>
        <s v="Id332"/>
        <s v="Id331"/>
        <s v="Id330"/>
        <s v="Id329"/>
        <s v="Id328"/>
        <s v="Id327"/>
        <s v="Id326"/>
        <s v="Id325"/>
        <s v="Id324"/>
        <s v="Id323"/>
        <s v="Id322"/>
        <s v="Id321"/>
        <s v="Id320"/>
        <s v="Id319"/>
        <s v="Id318"/>
        <s v="Id317"/>
        <s v="Id316"/>
        <s v="Id315"/>
        <s v="Id314"/>
        <s v="Id313"/>
        <s v="Id312"/>
        <s v="Id311"/>
        <s v="Id310"/>
        <s v="Id309"/>
        <s v="Id308"/>
        <s v="Id307"/>
        <s v="Id306"/>
        <s v="Id305"/>
        <s v="Id304"/>
        <s v="Id303"/>
        <s v="Id302"/>
        <s v="Id301"/>
        <s v="Id300"/>
        <s v="Id299"/>
        <s v="Id298"/>
        <s v="Id297"/>
        <s v="Id296"/>
        <s v="Id295"/>
        <s v="Id294"/>
        <s v="Id293"/>
        <s v="Id292"/>
        <s v="Id291"/>
        <s v="Id290"/>
        <s v="Id289"/>
        <s v="Id288"/>
        <s v="Id287"/>
        <s v="Id286"/>
        <s v="Id285"/>
        <s v="Id284"/>
        <s v="Id283"/>
        <s v="Id282"/>
        <s v="Id281"/>
        <s v="Id280"/>
        <s v="Id279"/>
        <s v="Id278"/>
        <s v="Id277"/>
        <s v="Id276"/>
        <s v="Id275"/>
        <s v="Id274"/>
        <s v="Id273"/>
        <s v="Id272"/>
        <s v="Id271"/>
        <s v="Id270"/>
        <s v="Id269"/>
        <s v="Id268"/>
        <s v="Id267"/>
        <s v="Id266"/>
        <s v="Id265"/>
        <s v="Id264"/>
        <s v="Id263"/>
        <s v="Id262"/>
        <s v="Id261"/>
        <s v="Id260"/>
        <s v="Id259"/>
        <s v="Id258"/>
        <s v="Id257"/>
        <s v="Id256"/>
        <s v="Id255"/>
        <s v="Id254"/>
        <s v="Id253"/>
        <s v="Id252"/>
        <s v="Id251"/>
        <s v="Id250"/>
        <s v="Id249"/>
        <s v="Id248"/>
        <s v="Id247"/>
        <s v="Id246"/>
        <s v="Id245"/>
        <s v="Id244"/>
        <s v="Id243"/>
        <s v="Id242"/>
        <s v="id3444"/>
        <s v="Id241"/>
        <s v="Id240"/>
        <s v="Id239"/>
        <s v="Id238"/>
        <s v="Id237"/>
        <s v="Id236"/>
        <s v="Id235"/>
        <s v="Id234"/>
        <s v="Id233"/>
        <s v="Id232"/>
        <s v="Id231"/>
        <s v="Id230"/>
        <s v="Id229"/>
        <s v="Id228"/>
        <s v="Id227"/>
        <s v="Id226"/>
        <s v="Id225"/>
        <s v="Id224"/>
        <s v="Id223"/>
        <s v="Id222"/>
        <s v="Id221"/>
        <s v="Id220"/>
        <s v="Id219"/>
        <s v="Id218"/>
        <s v="Id217"/>
        <s v="Id216"/>
        <s v="Id215"/>
        <s v="Id214"/>
        <s v="Id213"/>
        <s v="Id212"/>
        <s v="Id211"/>
        <s v="Id210"/>
        <s v="Id209"/>
        <s v="Id208"/>
        <s v="Id207"/>
        <s v="Id206"/>
        <s v="Id205"/>
        <s v="Id204"/>
        <s v="Id203"/>
        <s v="Id202"/>
        <s v="Id201"/>
        <s v="Id200"/>
        <s v="Id199"/>
        <s v="Id198"/>
        <s v="Id197"/>
        <s v="Id196"/>
        <s v="Id195"/>
        <s v="Id194"/>
        <s v="Id193"/>
        <s v="Id192"/>
        <s v="Id191"/>
        <s v="Id190"/>
        <s v="Id189"/>
        <s v="Id188"/>
        <s v="Id187"/>
        <s v="Id186"/>
        <s v="Id185"/>
        <s v="Id184"/>
        <s v="Id183"/>
        <s v="Id182"/>
        <s v="Id181"/>
        <s v="Id180"/>
        <s v="Id179"/>
        <s v="Id178"/>
        <s v="Id177"/>
        <s v="Id176"/>
        <s v="Id175"/>
        <s v="Id174"/>
        <s v="Id173"/>
        <s v="Id172"/>
        <s v="Id171"/>
        <s v="Id170"/>
        <s v="Id169"/>
        <s v="Id168"/>
        <s v="Id167"/>
        <s v="Id166"/>
        <s v="Id165"/>
        <s v="Id164"/>
        <s v="Id163"/>
        <s v="Id162"/>
        <s v="Id161"/>
        <s v="Id160"/>
        <s v="Id159"/>
        <s v="Id158"/>
        <s v="Id157"/>
        <s v="Id156"/>
        <s v="Id155"/>
        <s v="Id154"/>
        <s v="Id153"/>
        <s v="Id152"/>
        <s v="Id151"/>
        <s v="Id150"/>
        <s v="Id149"/>
        <s v="Id148"/>
        <s v="Id147"/>
        <s v="Id146"/>
        <s v="Id145"/>
        <s v="Id144"/>
        <s v="Id143"/>
        <s v="Id142"/>
        <s v="Id141"/>
        <s v="Id140"/>
        <s v="Id139"/>
        <s v="Id138"/>
        <s v="Id137"/>
        <s v="Id136"/>
        <s v="Id135"/>
        <s v="Id134"/>
        <s v="Id133"/>
        <s v="Id132"/>
        <s v="Id131"/>
        <s v="Id130"/>
        <s v="Id129"/>
        <s v="Id128"/>
        <s v="Id127"/>
        <s v="Id126"/>
        <s v="Id125"/>
        <s v="Id124"/>
        <s v="Id123"/>
        <s v="Id122"/>
        <s v="Id121"/>
        <s v="Id120"/>
        <s v="Id119"/>
        <s v="Id118"/>
        <s v="Id117"/>
        <s v="Id116"/>
        <s v="Id115"/>
        <s v="Id114"/>
        <s v="Id113"/>
        <s v="Id112"/>
        <s v="Id111"/>
        <s v="Id110"/>
        <s v="Id109"/>
        <s v="Id108"/>
        <s v="Id107"/>
        <s v="Id106"/>
        <s v="Id105"/>
        <s v="Id104"/>
        <s v="Id103"/>
        <s v="Id102"/>
        <s v="Id101"/>
        <s v="Id100"/>
        <s v="Id99"/>
        <s v="Id98"/>
        <s v="Id97"/>
        <s v="Id96"/>
        <s v="Id95"/>
        <s v="Id94"/>
        <s v="Id93"/>
        <s v="Id92"/>
        <s v="Id91"/>
        <s v="Id90"/>
        <s v="Id89"/>
        <s v="Id88"/>
        <s v="Id87"/>
        <s v="Id86"/>
        <s v="Id85"/>
        <s v="Id84"/>
        <s v="Id83"/>
        <s v="Id82"/>
        <s v="Id81"/>
        <s v="Id80"/>
        <s v="Id79"/>
        <s v="Id78"/>
        <s v="Id77"/>
        <s v="Id76"/>
        <s v="Id75"/>
        <s v="Id74"/>
        <s v="Id73"/>
        <s v="Id72"/>
        <s v="Id71"/>
        <s v="Id70"/>
        <s v="Id69"/>
        <s v="Id68"/>
        <s v="Id67"/>
        <s v="Id66"/>
        <s v="Id65"/>
        <s v="Id64"/>
        <s v="Id63"/>
        <s v="Id62"/>
        <s v="Id61"/>
        <s v="Id60"/>
        <s v="Id59"/>
        <s v="Id58"/>
        <s v="Id57"/>
        <s v="Id56"/>
        <s v="Id55"/>
        <s v="Id54"/>
        <s v="Id53"/>
        <s v="Id52"/>
        <s v="Id51"/>
        <s v="Id50"/>
        <s v="Id49"/>
        <s v="Id48"/>
        <s v="Id47"/>
        <s v="Id46"/>
        <s v="Id45"/>
        <s v="Id44"/>
        <s v="Id43"/>
        <s v="Id42"/>
        <s v="Id41"/>
        <s v="Id40"/>
        <s v="Id39"/>
        <s v="Id38"/>
        <s v="Id37"/>
        <s v="Id36"/>
        <s v="Id35"/>
        <s v="Id34"/>
        <s v="Id33"/>
        <s v="Id32"/>
        <s v="Id31"/>
        <s v="Id30"/>
        <s v="Id29"/>
        <s v="Id28"/>
        <s v="Id27"/>
        <s v="Id26"/>
        <s v="Id25"/>
        <s v="Id24"/>
        <s v="Id23"/>
        <s v="Id22"/>
        <s v="Id21"/>
        <s v="Id20"/>
        <s v="Id19"/>
        <s v="Id18"/>
        <s v="Id17"/>
        <s v="Id16"/>
        <s v="Id15"/>
        <s v="Id14"/>
        <s v="Id13"/>
        <s v="Id12"/>
        <s v="Id11"/>
        <s v="Id10"/>
        <s v="Id9"/>
        <s v="Id8"/>
        <s v="Id7"/>
        <s v="Id6"/>
        <s v="Id5"/>
        <s v="Id4"/>
        <s v="Id3"/>
        <s v="Id2"/>
        <s v="Id1"/>
        <m/>
      </sharedItems>
    </cacheField>
    <cacheField name="year" numFmtId="0">
      <sharedItems containsBlank="1" containsMixedTypes="1" containsNumber="1" containsInteger="1" count="49">
        <n v="1992"/>
        <n v="1993"/>
        <n v="1998"/>
        <n v="2001"/>
        <n v="1995"/>
        <n v="2002"/>
        <n v="1997"/>
        <n v="1999"/>
        <n v="1996"/>
        <n v="2004"/>
        <n v="2000"/>
        <n v="1994"/>
        <n v="2003"/>
        <n v="1989"/>
        <n v="1991"/>
        <n v="1988"/>
        <n v="1990"/>
        <n v="1987"/>
        <n v="1986"/>
        <n v="1981"/>
        <n v="1985"/>
        <n v="1984"/>
        <n v="1983"/>
        <n v="1982"/>
        <n v="1980"/>
        <n v="1979"/>
        <n v="1977"/>
        <n v="1978"/>
        <n v="1974"/>
        <n v="1973"/>
        <n v="1972"/>
        <n v="1975"/>
        <n v="1971"/>
        <n v="1970"/>
        <n v="1969"/>
        <n v="1976"/>
        <n v="1968"/>
        <n v="1966"/>
        <n v="1965"/>
        <n v="1967"/>
        <n v="1962"/>
        <n v="1963"/>
        <n v="1964"/>
        <s v="?"/>
        <n v="1961"/>
        <n v="1960"/>
        <n v="1959"/>
        <n v="1958"/>
        <m/>
      </sharedItems>
    </cacheField>
    <cacheField name="month" numFmtId="0">
      <sharedItems containsBlank="1" count="9">
        <s v="Jul"/>
        <s v="Nov"/>
        <s v="Jun"/>
        <s v="Sep"/>
        <s v="Dec"/>
        <s v="?"/>
        <s v="Aug"/>
        <s v="Oct"/>
        <m/>
      </sharedItems>
    </cacheField>
    <cacheField name="date" numFmtId="0">
      <sharedItems containsString="0" containsBlank="1" containsNumber="1" containsInteger="1" minValue="1" maxValue="30" count="31">
        <n v="9"/>
        <n v="30"/>
        <n v="13"/>
        <n v="27"/>
        <n v="20"/>
        <n v="1"/>
        <n v="4"/>
        <n v="29"/>
        <n v="12"/>
        <n v="26"/>
        <n v="14"/>
        <n v="19"/>
        <n v="22"/>
        <n v="28"/>
        <n v="18"/>
        <n v="7"/>
        <n v="5"/>
        <n v="17"/>
        <n v="24"/>
        <n v="6"/>
        <n v="11"/>
        <n v="15"/>
        <n v="25"/>
        <n v="10"/>
        <n v="2"/>
        <n v="16"/>
        <n v="8"/>
        <n v="21"/>
        <n v="3"/>
        <n v="23"/>
        <m/>
      </sharedItems>
    </cacheField>
    <cacheField name="children" numFmtId="0">
      <sharedItems containsString="0" containsBlank="1" containsNumber="1" containsInteger="1" minValue="0" maxValue="5" count="7">
        <n v="0"/>
        <n v="1"/>
        <n v="3"/>
        <n v="2"/>
        <n v="4"/>
        <n v="5"/>
        <m/>
      </sharedItems>
    </cacheField>
    <cacheField name="charges" numFmtId="0">
      <sharedItems containsString="0" containsBlank="1" containsNumber="1" minValue="563.84" maxValue="63770.43" count="2334">
        <n v="563.84"/>
        <n v="570.62"/>
        <n v="600"/>
        <n v="604.54"/>
        <n v="637.26"/>
        <n v="646.14"/>
        <n v="650"/>
        <n v="668"/>
        <n v="670"/>
        <n v="687.54"/>
        <n v="700"/>
        <n v="722.99"/>
        <n v="750"/>
        <n v="760"/>
        <n v="770"/>
        <n v="770.38"/>
        <n v="773.54"/>
        <n v="830.52"/>
        <n v="865.41"/>
        <n v="896.21"/>
        <n v="915.07"/>
        <n v="928.59"/>
        <n v="964.71"/>
        <n v="1006.65"/>
        <n v="1012"/>
        <n v="1019"/>
        <n v="1033.74"/>
        <n v="1044"/>
        <n v="1047"/>
        <n v="1049"/>
        <n v="1056"/>
        <n v="1068"/>
        <n v="1070"/>
        <n v="1071"/>
        <n v="1082"/>
        <n v="1086"/>
        <n v="1121.8699999999999"/>
        <n v="1131.51"/>
        <n v="1135"/>
        <n v="1135.94"/>
        <n v="1136.4000000000001"/>
        <n v="1137"/>
        <n v="1137.01"/>
        <n v="1137.47"/>
        <n v="1141"/>
        <n v="1141.45"/>
        <n v="1142"/>
        <n v="1146.8"/>
        <n v="1149"/>
        <n v="1149.4000000000001"/>
        <n v="1132"/>
        <n v="1158.32"/>
        <n v="1163.46"/>
        <n v="1165"/>
        <n v="1167"/>
        <n v="1178"/>
        <n v="1178.07"/>
        <n v="1191"/>
        <n v="1200"/>
        <n v="1200.55"/>
        <n v="1210"/>
        <n v="1220"/>
        <n v="1224"/>
        <n v="1228"/>
        <n v="1234"/>
        <n v="1237"/>
        <n v="1240"/>
        <n v="1241"/>
        <n v="1241.57"/>
        <n v="1242.26"/>
        <n v="1242.82"/>
        <n v="1252.4100000000001"/>
        <n v="1253"/>
        <n v="1253.94"/>
        <n v="1256.3"/>
        <n v="1261.44"/>
        <n v="1261.8599999999999"/>
        <n v="1263.25"/>
        <n v="1267"/>
        <n v="1276"/>
        <n v="1283"/>
        <n v="1285"/>
        <n v="1286"/>
        <n v="1290.93"/>
        <n v="1293"/>
        <n v="1304"/>
        <n v="1315"/>
        <n v="1329.17"/>
        <n v="1332.61"/>
        <n v="1338"/>
        <n v="1341.16"/>
        <n v="1359"/>
        <n v="1382"/>
        <n v="1389"/>
        <n v="1390"/>
        <n v="1391.53"/>
        <n v="1400.44"/>
        <n v="1402"/>
        <n v="1417"/>
        <n v="1421"/>
        <n v="1422"/>
        <n v="1438"/>
        <n v="1445"/>
        <n v="1467"/>
        <n v="1477"/>
        <n v="1481"/>
        <n v="1493"/>
        <n v="1497"/>
        <n v="1515.34"/>
        <n v="1526.31"/>
        <n v="1532.47"/>
        <n v="1534.3"/>
        <n v="1566.88"/>
        <n v="1607.51"/>
        <n v="1615.77"/>
        <n v="1617.16"/>
        <n v="1621.34"/>
        <n v="1621.88"/>
        <n v="1622.19"/>
        <n v="1625.43"/>
        <n v="1627.28"/>
        <n v="1628.47"/>
        <n v="1629.83"/>
        <n v="1631.67"/>
        <n v="1631.82"/>
        <n v="1632.04"/>
        <n v="1632.56"/>
        <n v="1633.04"/>
        <n v="1633.96"/>
        <n v="1634.57"/>
        <n v="1635.73"/>
        <n v="1639.56"/>
        <n v="1646.43"/>
        <n v="1665"/>
        <n v="1674.63"/>
        <n v="1682.6"/>
        <n v="1694.8"/>
        <n v="1702.46"/>
        <n v="1704.57"/>
        <n v="1704.7"/>
        <n v="1705.62"/>
        <n v="1708"/>
        <n v="1708.93"/>
        <n v="1711.03"/>
        <n v="1712.23"/>
        <n v="1719.44"/>
        <n v="1720.35"/>
        <n v="1725.55"/>
        <n v="1727.54"/>
        <n v="1727.79"/>
        <n v="1728.9"/>
        <n v="1731.68"/>
        <n v="1737.38"/>
        <n v="1743.21"/>
        <n v="1744.47"/>
        <n v="1748.77"/>
        <n v="1756.6"/>
        <n v="1759.34"/>
        <n v="1769.53"/>
        <n v="1815.88"/>
        <n v="1822.54"/>
        <n v="1824.29"/>
        <n v="1826.84"/>
        <n v="1832.09"/>
        <n v="1837.24"/>
        <n v="1837.28"/>
        <n v="1842.52"/>
        <n v="1850.55"/>
        <n v="1863.45"/>
        <n v="1865.98"/>
        <n v="1875.34"/>
        <n v="1877.93"/>
        <n v="1880.07"/>
        <n v="1880.49"/>
        <n v="1906.36"/>
        <n v="1908.9"/>
        <n v="1909.53"/>
        <n v="1917.32"/>
        <n v="1964.78"/>
        <n v="1967.02"/>
        <n v="1969.61"/>
        <n v="1972.95"/>
        <n v="1977.82"/>
        <n v="1980.07"/>
        <n v="1981.58"/>
        <n v="1984.45"/>
        <n v="1986.93"/>
        <n v="2007.95"/>
        <n v="2020.18"/>
        <n v="2020.55"/>
        <n v="2026.97"/>
        <n v="2045.69"/>
        <n v="2055.3200000000002"/>
        <n v="2094.1"/>
        <n v="2102.2600000000002"/>
        <n v="2103.08"/>
        <n v="2104.11"/>
        <n v="2106.2600000000002"/>
        <n v="2117.34"/>
        <n v="2118.61"/>
        <n v="2128.4299999999998"/>
        <n v="2130.6799999999998"/>
        <n v="2134.9"/>
        <n v="2136.88"/>
        <n v="2137.65"/>
        <n v="2138.0700000000002"/>
        <n v="2144.85"/>
        <n v="2150.4699999999998"/>
        <n v="2154.36"/>
        <n v="2155.6799999999998"/>
        <n v="2156.75"/>
        <n v="2166.73"/>
        <n v="2170.08"/>
        <n v="2193.1999999999998"/>
        <n v="2196.4699999999998"/>
        <n v="2198.19"/>
        <n v="2200.83"/>
        <n v="2201.1"/>
        <n v="2203.4699999999998"/>
        <n v="2203.7399999999998"/>
        <n v="2205.98"/>
        <n v="2207.6999999999998"/>
        <n v="2211.13"/>
        <n v="2213.21"/>
        <n v="2217.4699999999998"/>
        <n v="2217.6"/>
        <n v="2219.4499999999998"/>
        <n v="2221.56"/>
        <n v="2250.84"/>
        <n v="2254.8000000000002"/>
        <n v="2257.48"/>
        <n v="2261.5700000000002"/>
        <n v="2277.7199999999998"/>
        <n v="2295.2399999999998"/>
        <n v="2302.3000000000002"/>
        <n v="2304"/>
        <n v="2322.62"/>
        <n v="2331.52"/>
        <n v="2352.9699999999998"/>
        <n v="2362.23"/>
        <n v="2373.3000000000002"/>
        <n v="2395.17"/>
        <n v="2396.1"/>
        <n v="2404.73"/>
        <n v="2416.96"/>
        <n v="2438.06"/>
        <n v="2457.21"/>
        <n v="2457.5"/>
        <n v="2459.7199999999998"/>
        <n v="2464.62"/>
        <n v="2473.33"/>
        <n v="2480.98"/>
        <n v="2483.7399999999998"/>
        <n v="2494.02"/>
        <n v="2497.04"/>
        <n v="2498.41"/>
        <n v="2500.9299999999998"/>
        <n v="2510.79"/>
        <n v="2523.17"/>
        <n v="2527.8200000000002"/>
        <n v="2534.39"/>
        <n v="2540.39"/>
        <n v="2545.6799999999998"/>
        <n v="2566.4699999999998"/>
        <n v="2585.04"/>
        <n v="2585.27"/>
        <n v="2585.85"/>
        <n v="2597.7800000000002"/>
        <n v="2632.99"/>
        <n v="2639.04"/>
        <n v="2643.27"/>
        <n v="2680.95"/>
        <n v="2684.69"/>
        <n v="2689.5"/>
        <n v="2690.11"/>
        <n v="2699.57"/>
        <n v="2709.11"/>
        <n v="2709.24"/>
        <n v="2710.83"/>
        <n v="2719.28"/>
        <n v="2721.32"/>
        <n v="2726.06"/>
        <n v="2727.4"/>
        <n v="2730.11"/>
        <n v="2731.91"/>
        <n v="2741.95"/>
        <n v="2755.02"/>
        <n v="2758.99"/>
        <n v="2773.46"/>
        <n v="2775.19"/>
        <n v="2789.06"/>
        <n v="2801.26"/>
        <n v="2803.7"/>
        <n v="2819.51"/>
        <n v="2842.76"/>
        <n v="2850.68"/>
        <n v="2855.44"/>
        <n v="2866.09"/>
        <n v="2867.12"/>
        <n v="2897.32"/>
        <n v="2897.46"/>
        <n v="2899.49"/>
        <n v="2902.91"/>
        <n v="2904.09"/>
        <n v="2913.57"/>
        <n v="2927.06"/>
        <n v="2943.41"/>
        <n v="2974.13"/>
        <n v="2979.52"/>
        <n v="2985.67"/>
        <n v="3012.22"/>
        <n v="3018.04"/>
        <n v="3021.81"/>
        <n v="3044.21"/>
        <n v="3046.06"/>
        <n v="3051.73"/>
        <n v="3056.39"/>
        <n v="3062.51"/>
        <n v="3065.49"/>
        <n v="3070.81"/>
        <n v="3077.1"/>
        <n v="3088.06"/>
        <n v="3128.35"/>
        <n v="3161.45"/>
        <n v="3162.02"/>
        <n v="3167.46"/>
        <n v="3171.61"/>
        <n v="3172.02"/>
        <n v="3176.29"/>
        <n v="3176.82"/>
        <n v="3179.96"/>
        <n v="3180.51"/>
        <n v="3201.25"/>
        <n v="3206.49"/>
        <n v="3208.79"/>
        <n v="3213.62"/>
        <n v="3227.12"/>
        <n v="3238.44"/>
        <n v="3260.2"/>
        <n v="3268.85"/>
        <n v="3277.16"/>
        <n v="3279.87"/>
        <n v="3280.22"/>
        <n v="3292.53"/>
        <n v="3300.7"/>
        <n v="3308.46"/>
        <n v="3309.79"/>
        <n v="3342.79"/>
        <n v="3353.28"/>
        <n v="3353.47"/>
        <n v="3366.67"/>
        <n v="3378.91"/>
        <n v="3385.4"/>
        <n v="3392.37"/>
        <n v="3392.98"/>
        <n v="3393.36"/>
        <n v="3410.32"/>
        <n v="3434.38"/>
        <n v="3436.5"/>
        <n v="3443.06"/>
        <n v="3453.77"/>
        <n v="3463.51"/>
        <n v="3471.41"/>
        <n v="3481.87"/>
        <n v="3484.33"/>
        <n v="3490.55"/>
        <n v="3500.61"/>
        <n v="3537.7"/>
        <n v="3538.9"/>
        <n v="3540.12"/>
        <n v="3554.2"/>
        <n v="3556.92"/>
        <n v="3558.62"/>
        <n v="3561.89"/>
        <n v="3562.87"/>
        <n v="3569.96"/>
        <n v="3578"/>
        <n v="3579.83"/>
        <n v="3589.14"/>
        <n v="3591.48"/>
        <n v="3594.17"/>
        <n v="3597.6"/>
        <n v="3603.6"/>
        <n v="3606.43"/>
        <n v="3622.13"/>
        <n v="3645.09"/>
        <n v="3653.29"/>
        <n v="3659.35"/>
        <n v="3678.86"/>
        <n v="3688.35"/>
        <n v="3688.38"/>
        <n v="3693.43"/>
        <n v="3699.54"/>
        <n v="3704.35"/>
        <n v="3722.23"/>
        <n v="3731.6"/>
        <n v="3732.63"/>
        <n v="3736.46"/>
        <n v="3748.56"/>
        <n v="3756.62"/>
        <n v="3757.84"/>
        <n v="3761.29"/>
        <n v="3766.88"/>
        <n v="3773.23"/>
        <n v="3785.77"/>
        <n v="3793.55"/>
        <n v="3796.36"/>
        <n v="3797.2"/>
        <n v="3847.67"/>
        <n v="3857.76"/>
        <n v="3858.51"/>
        <n v="3861.21"/>
        <n v="3866.86"/>
        <n v="3875.73"/>
        <n v="3877.3"/>
        <n v="3889.2"/>
        <n v="3898.35"/>
        <n v="3902.07"/>
        <n v="3906.13"/>
        <n v="3910.44"/>
        <n v="3925.76"/>
        <n v="3931.51"/>
        <n v="3935.18"/>
        <n v="3943.6"/>
        <n v="3947.41"/>
        <n v="3955.98"/>
        <n v="3956.07"/>
        <n v="3972.92"/>
        <n v="3981.98"/>
        <n v="3987.93"/>
        <n v="3989.84"/>
        <n v="3994.18"/>
        <n v="4002.36"/>
        <n v="4005.42"/>
        <n v="4032.24"/>
        <n v="4038.41"/>
        <n v="4039.9"/>
        <n v="4040.56"/>
        <n v="4047.94"/>
        <n v="4058.12"/>
        <n v="4058.71"/>
        <n v="4070.42"/>
        <n v="4070.51"/>
        <n v="4074.45"/>
        <n v="4076.5"/>
        <n v="4133.6400000000003"/>
        <n v="4134.08"/>
        <n v="4137.5200000000004"/>
        <n v="4149.74"/>
        <n v="4151.03"/>
        <n v="4154.97"/>
        <n v="4163.21"/>
        <n v="4185.1000000000004"/>
        <n v="4188.7299999999996"/>
        <n v="4189.1099999999997"/>
        <n v="4234.93"/>
        <n v="4237.13"/>
        <n v="4239.8900000000003"/>
        <n v="4243.59"/>
        <n v="4250.24"/>
        <n v="4260.74"/>
        <n v="4265.01"/>
        <n v="4266.17"/>
        <n v="4278.55"/>
        <n v="4296.2700000000004"/>
        <n v="4320.41"/>
        <n v="4337.74"/>
        <n v="4340.4399999999996"/>
        <n v="4347.0200000000004"/>
        <n v="4349.46"/>
        <n v="4350.51"/>
        <n v="4357.04"/>
        <n v="4391.6499999999996"/>
        <n v="4392.7"/>
        <n v="4397.3100000000004"/>
        <n v="4399.7299999999996"/>
        <n v="4402.2299999999996"/>
        <n v="4415.16"/>
        <n v="4420.95"/>
        <n v="4428.8900000000003"/>
        <n v="4433.3900000000003"/>
        <n v="4433.92"/>
        <n v="4435.09"/>
        <n v="4438.26"/>
        <n v="4441.21"/>
        <n v="4449.46"/>
        <n v="4454.3999999999996"/>
        <n v="4462.72"/>
        <n v="4463.21"/>
        <n v="4466.62"/>
        <n v="4468.25"/>
        <n v="4488.58"/>
        <n v="4500.34"/>
        <n v="4504.66"/>
        <n v="4511.41"/>
        <n v="4515.71"/>
        <n v="4518.3999999999996"/>
        <n v="4518.7700000000004"/>
        <n v="4518.83"/>
        <n v="4527.18"/>
        <n v="4529.4799999999996"/>
        <n v="4536.26"/>
        <n v="4544.2299999999996"/>
        <n v="4561.1899999999996"/>
        <n v="4562.84"/>
        <n v="4564.1899999999996"/>
        <n v="4571.41"/>
        <n v="4608.03"/>
        <n v="4618.08"/>
        <n v="4646.76"/>
        <n v="4661.29"/>
        <n v="4667.6099999999997"/>
        <n v="4670.6400000000003"/>
        <n v="4673.3900000000003"/>
        <n v="4674.2"/>
        <n v="4678.8"/>
        <n v="4686.3900000000003"/>
        <n v="4687.8"/>
        <n v="4699.47"/>
        <n v="4712.12"/>
        <n v="4718.2"/>
        <n v="4719.5200000000004"/>
        <n v="4719.74"/>
        <n v="4728.71"/>
        <n v="4734.6400000000003"/>
        <n v="4738.2700000000004"/>
        <n v="4740.78"/>
        <n v="4746.34"/>
        <n v="4747.05"/>
        <n v="4751.07"/>
        <n v="4753.6400000000003"/>
        <n v="4762.33"/>
        <n v="4766.0200000000004"/>
        <n v="4779.6000000000004"/>
        <n v="4787.42"/>
        <n v="4795.66"/>
        <n v="4812.34"/>
        <n v="4827.1000000000004"/>
        <n v="4827.8999999999996"/>
        <n v="4830.63"/>
        <n v="4835.43"/>
        <n v="4837.58"/>
        <n v="4839.18"/>
        <n v="4840.95"/>
        <n v="4843.79"/>
        <n v="4844.67"/>
        <n v="4846.53"/>
        <n v="4846.92"/>
        <n v="4859.8900000000003"/>
        <n v="4877.9799999999996"/>
        <n v="4883.87"/>
        <n v="4889.04"/>
        <n v="4890"/>
        <n v="4894.3900000000003"/>
        <n v="4894.75"/>
        <n v="4906.41"/>
        <n v="4911.8900000000003"/>
        <n v="4915.0600000000004"/>
        <n v="4922.92"/>
        <n v="4931.6499999999996"/>
        <n v="4934.71"/>
        <n v="4942.0600000000004"/>
        <n v="4949.76"/>
        <n v="4985.22"/>
        <n v="4992.38"/>
        <n v="4999.04"/>
        <n v="5002.78"/>
        <n v="5003.7700000000004"/>
        <n v="5003.8500000000004"/>
        <n v="5012.47"/>
        <n v="5028.1499999999996"/>
        <n v="5031.2700000000004"/>
        <n v="5034.1000000000004"/>
        <n v="5038.57"/>
        <n v="5043.13"/>
        <n v="5045.1499999999996"/>
        <n v="5054.05"/>
        <n v="5059.5600000000004"/>
        <n v="5077.1899999999996"/>
        <n v="5080.1000000000004"/>
        <n v="5087.92"/>
        <n v="5116.5"/>
        <n v="5124.1899999999996"/>
        <n v="5125.22"/>
        <n v="5136.75"/>
        <n v="5138.26"/>
        <n v="5144.18"/>
        <n v="5148.55"/>
        <n v="5152.13"/>
        <n v="5166.96"/>
        <n v="5177.12"/>
        <n v="5195.58"/>
        <n v="5198.6899999999996"/>
        <n v="5207.97"/>
        <n v="5209.58"/>
        <n v="5213.22"/>
        <n v="5216.4799999999996"/>
        <n v="5227.99"/>
        <n v="5240.7700000000004"/>
        <n v="5245.23"/>
        <n v="5246.05"/>
        <n v="5253.52"/>
        <n v="5257.51"/>
        <n v="5261.47"/>
        <n v="5266.37"/>
        <n v="5267.82"/>
        <n v="5272.18"/>
        <n v="5275.86"/>
        <n v="5291.71"/>
        <n v="5293.67"/>
        <n v="5306.7"/>
        <n v="5312.17"/>
        <n v="5322.24"/>
        <n v="5325.65"/>
        <n v="5327.4"/>
        <n v="5344.81"/>
        <n v="5354.07"/>
        <n v="5364.66"/>
        <n v="5373.36"/>
        <n v="5375.04"/>
        <n v="5377.46"/>
        <n v="5383.54"/>
        <n v="5385.34"/>
        <n v="5396.44"/>
        <n v="5397.62"/>
        <n v="5400.98"/>
        <n v="5402.89"/>
        <n v="5411.99"/>
        <n v="5415.66"/>
        <n v="5425.02"/>
        <n v="5428.73"/>
        <n v="5428.98"/>
        <n v="5438.75"/>
        <n v="5458.05"/>
        <n v="5466.88"/>
        <n v="5469.01"/>
        <n v="5472.45"/>
        <n v="5478.04"/>
        <n v="5484.47"/>
        <n v="5488.26"/>
        <n v="5503.36"/>
        <n v="5539.4"/>
        <n v="5540.35"/>
        <n v="5552.61"/>
        <n v="5576.35"/>
        <n v="5582.95"/>
        <n v="5584.31"/>
        <n v="5587.59"/>
        <n v="5594.85"/>
        <n v="5612.83"/>
        <n v="5615.37"/>
        <n v="5630.46"/>
        <n v="5649.72"/>
        <n v="5650.14"/>
        <n v="5662.23"/>
        <n v="5679.13"/>
        <n v="5690.79"/>
        <n v="5693.43"/>
        <n v="5698.74"/>
        <n v="5699.84"/>
        <n v="5708.87"/>
        <n v="5709.16"/>
        <n v="5720.38"/>
        <n v="5729.01"/>
        <n v="5741.67"/>
        <n v="5748.13"/>
        <n v="5757.41"/>
        <n v="5778.71"/>
        <n v="5807.06"/>
        <n v="5812.9"/>
        <n v="5816.58"/>
        <n v="5832.6"/>
        <n v="5836.52"/>
        <n v="5843.99"/>
        <n v="5846.92"/>
        <n v="5847.24"/>
        <n v="5855.9"/>
        <n v="5877.02"/>
        <n v="5910.94"/>
        <n v="5920.1"/>
        <n v="5926.85"/>
        <n v="5926.93"/>
        <n v="5927.65"/>
        <n v="5934.38"/>
        <n v="5957.35"/>
        <n v="5960.91"/>
        <n v="5966.89"/>
        <n v="5969.72"/>
        <n v="5972.38"/>
        <n v="5974.38"/>
        <n v="5976.83"/>
        <n v="5979.66"/>
        <n v="5979.73"/>
        <n v="5979.99"/>
        <n v="5989.52"/>
        <n v="5990.17"/>
        <n v="5993.62"/>
        <n v="6059.17"/>
        <n v="6061.8"/>
        <n v="6064.37"/>
        <n v="6067.13"/>
        <n v="6074.37"/>
        <n v="6079.67"/>
        <n v="6082.41"/>
        <n v="6098.38"/>
        <n v="6111.95"/>
        <n v="6112.35"/>
        <n v="6113.23"/>
        <n v="6117.49"/>
        <n v="6123.57"/>
        <n v="6128.8"/>
        <n v="6138.5"/>
        <n v="6138.58"/>
        <n v="6139.14"/>
        <n v="6147.12"/>
        <n v="6152.05"/>
        <n v="6159.57"/>
        <n v="6170.96"/>
        <n v="6183.32"/>
        <n v="6183.46"/>
        <n v="6184.3"/>
        <n v="6185.32"/>
        <n v="6186.13"/>
        <n v="6196.45"/>
        <n v="6198.75"/>
        <n v="6203.9"/>
        <n v="6207.26"/>
        <n v="6208.5"/>
        <n v="6219.93"/>
        <n v="6236.95"/>
        <n v="6238.3"/>
        <n v="6250.44"/>
        <n v="6253.85"/>
        <n v="6254.13"/>
        <n v="6255.38"/>
        <n v="6261.2"/>
        <n v="6269.33"/>
        <n v="6272.48"/>
        <n v="6276.3"/>
        <n v="6282.24"/>
        <n v="6289.75"/>
        <n v="6293.63"/>
        <n v="6302.23"/>
        <n v="6305.61"/>
        <n v="6311.11"/>
        <n v="6311.95"/>
        <n v="6313.76"/>
        <n v="6334.34"/>
        <n v="6335.64"/>
        <n v="6338.08"/>
        <n v="6356.27"/>
        <n v="6358.78"/>
        <n v="6360.99"/>
        <n v="6361.47"/>
        <n v="6367.31"/>
        <n v="6373.56"/>
        <n v="6374.16"/>
        <n v="6389.38"/>
        <n v="6389.53"/>
        <n v="6393.6"/>
        <n v="6402.29"/>
        <n v="6406.41"/>
        <n v="6407.05"/>
        <n v="6412.34"/>
        <n v="6414.18"/>
        <n v="6417.28"/>
        <n v="6423.48"/>
        <n v="6435.62"/>
        <n v="6455.86"/>
        <n v="6457.84"/>
        <n v="6473.15"/>
        <n v="6474.01"/>
        <n v="6481.67"/>
        <n v="6496.89"/>
        <n v="6500.24"/>
        <n v="6512.24"/>
        <n v="6529.21"/>
        <n v="6532.04"/>
        <n v="6536.68"/>
        <n v="6546.16"/>
        <n v="6548.2"/>
        <n v="6551.75"/>
        <n v="6552.01"/>
        <n v="6555.07"/>
        <n v="6571.02"/>
        <n v="6571.54"/>
        <n v="6593.51"/>
        <n v="6600.21"/>
        <n v="6600.36"/>
        <n v="6610.11"/>
        <n v="6630.31"/>
        <n v="6638.16"/>
        <n v="6639.3"/>
        <n v="6640.54"/>
        <n v="6651.26"/>
        <n v="6652.53"/>
        <n v="6653.79"/>
        <n v="6664.32"/>
        <n v="6664.69"/>
        <n v="6666.24"/>
        <n v="6686.43"/>
        <n v="6700.56"/>
        <n v="6706.47"/>
        <n v="6710.19"/>
        <n v="6721.37"/>
        <n v="6737.98"/>
        <n v="6738.84"/>
        <n v="6746.74"/>
        <n v="6748.59"/>
        <n v="6749.63"/>
        <n v="6750.27"/>
        <n v="6753.04"/>
        <n v="6770.19"/>
        <n v="6775.96"/>
        <n v="6781.35"/>
        <n v="6781.52"/>
        <n v="6796.86"/>
        <n v="6799.46"/>
        <n v="6809.46"/>
        <n v="6827.69"/>
        <n v="6837.37"/>
        <n v="6842.28"/>
        <n v="6843.17"/>
        <n v="6849.03"/>
        <n v="6858.48"/>
        <n v="6863.49"/>
        <n v="6868.39"/>
        <n v="6875.96"/>
        <n v="6876.53"/>
        <n v="6877.98"/>
        <n v="6895.19"/>
        <n v="6933.24"/>
        <n v="6938.11"/>
        <n v="6940.91"/>
        <n v="6940.94"/>
        <n v="6948.7"/>
        <n v="6951.12"/>
        <n v="6965.21"/>
        <n v="6985.51"/>
        <n v="6986.7"/>
        <n v="6989.95"/>
        <n v="7003.1"/>
        <n v="7033.08"/>
        <n v="7042.11"/>
        <n v="7045.5"/>
        <n v="7046.72"/>
        <n v="7050.02"/>
        <n v="7050.64"/>
        <n v="7054.41"/>
        <n v="7077.19"/>
        <n v="7096.98"/>
        <n v="7106.81"/>
        <n v="7125.25"/>
        <n v="7128.64"/>
        <n v="7133.9"/>
        <n v="7144.4"/>
        <n v="7144.86"/>
        <n v="7147.11"/>
        <n v="7147.47"/>
        <n v="7151.09"/>
        <n v="7152.67"/>
        <n v="7153.55"/>
        <n v="7160.09"/>
        <n v="7160.33"/>
        <n v="7162.01"/>
        <n v="7173.36"/>
        <n v="7175.51"/>
        <n v="7179.52"/>
        <n v="7196.87"/>
        <n v="7201.7"/>
        <n v="7209.49"/>
        <n v="7220.25"/>
        <n v="7222.79"/>
        <n v="7228.22"/>
        <n v="7243.81"/>
        <n v="7248.71"/>
        <n v="7256.72"/>
        <n v="7261.74"/>
        <n v="7265.58"/>
        <n v="7265.7"/>
        <n v="7273.02"/>
        <n v="7281.51"/>
        <n v="7302.46"/>
        <n v="7304.65"/>
        <n v="7318.21"/>
        <n v="7318.22"/>
        <n v="7322.86"/>
        <n v="7323.73"/>
        <n v="7325.05"/>
        <n v="7325.47"/>
        <n v="7337.75"/>
        <n v="7339.93"/>
        <n v="7345.08"/>
        <n v="7345.73"/>
        <n v="7348.14"/>
        <n v="7349.12"/>
        <n v="7357.49"/>
        <n v="7358.18"/>
        <n v="7362.31"/>
        <n v="7371.77"/>
        <n v="7388.85"/>
        <n v="7403.98"/>
        <n v="7418.52"/>
        <n v="7419.48"/>
        <n v="7421.19"/>
        <n v="7441.05"/>
        <n v="7441.5"/>
        <n v="7443.64"/>
        <n v="7445.92"/>
        <n v="7448.4"/>
        <n v="7450.36"/>
        <n v="7463.51"/>
        <n v="7487.38"/>
        <n v="7494.63"/>
        <n v="7504.3"/>
        <n v="7512.27"/>
        <n v="7518.03"/>
        <n v="7526.71"/>
        <n v="7531.7"/>
        <n v="7537.16"/>
        <n v="7538.52"/>
        <n v="7567.13"/>
        <n v="7585.62"/>
        <n v="7607.03"/>
        <n v="7609.6"/>
        <n v="7623.13"/>
        <n v="7623.52"/>
        <n v="7624.63"/>
        <n v="7626.99"/>
        <n v="7633.72"/>
        <n v="7636.92"/>
        <n v="7639.42"/>
        <n v="7640.31"/>
        <n v="7642.05"/>
        <n v="7650.77"/>
        <n v="7650.8"/>
        <n v="7652.26"/>
        <n v="7657.69"/>
        <n v="7662.47"/>
        <n v="7670.75"/>
        <n v="7676.4"/>
        <n v="7680.92"/>
        <n v="7681.17"/>
        <n v="7682.67"/>
        <n v="7684.62"/>
        <n v="7726.85"/>
        <n v="7727.25"/>
        <n v="7729.65"/>
        <n v="7731.43"/>
        <n v="7731.86"/>
        <n v="7736.39"/>
        <n v="7740.34"/>
        <n v="7742.11"/>
        <n v="7749.16"/>
        <n v="7763.06"/>
        <n v="7789.64"/>
        <n v="7794.68"/>
        <n v="7803.77"/>
        <n v="7804.16"/>
        <n v="7812.67"/>
        <n v="7824.37"/>
        <n v="7844.8"/>
        <n v="7851.85"/>
        <n v="7896.41"/>
        <n v="7935.29"/>
        <n v="7948.22"/>
        <n v="7953.72"/>
        <n v="7954.52"/>
        <n v="7958.13"/>
        <n v="7966.81"/>
        <n v="7980.34"/>
        <n v="7985.82"/>
        <n v="7986.48"/>
        <n v="8004.96"/>
        <n v="8014.62"/>
        <n v="8017.06"/>
        <n v="8021.11"/>
        <n v="8023.14"/>
        <n v="8026.67"/>
        <n v="8027.97"/>
        <n v="8035.64"/>
        <n v="8059.06"/>
        <n v="8059.68"/>
        <n v="8062.31"/>
        <n v="8062.76"/>
        <n v="8067.83"/>
        <n v="8068.19"/>
        <n v="8071.57"/>
        <n v="8077.41"/>
        <n v="8081.26"/>
        <n v="8081.74"/>
        <n v="8083.92"/>
        <n v="8091.3"/>
        <n v="8112.59"/>
        <n v="8116.27"/>
        <n v="8116.68"/>
        <n v="8124.41"/>
        <n v="8125.78"/>
        <n v="8157.92"/>
        <n v="8162.72"/>
        <n v="8177.9"/>
        <n v="8179.51"/>
        <n v="8182.89"/>
        <n v="8188.12"/>
        <n v="8211.1"/>
        <n v="8219.2000000000007"/>
        <n v="8232.64"/>
        <n v="8233.1"/>
        <n v="8240.59"/>
        <n v="8252.2800000000007"/>
        <n v="8268"/>
        <n v="8269.0400000000009"/>
        <n v="8271.4599999999991"/>
        <n v="8277.52"/>
        <n v="8280.6200000000008"/>
        <n v="8283.68"/>
        <n v="8302.5400000000009"/>
        <n v="8310.84"/>
        <n v="8314.65"/>
        <n v="8334.4599999999991"/>
        <n v="8334.59"/>
        <n v="8342.91"/>
        <n v="8347.16"/>
        <n v="8355.5400000000009"/>
        <n v="8396.6200000000008"/>
        <n v="8400.01"/>
        <n v="8410.0499999999993"/>
        <n v="8413.4599999999991"/>
        <n v="8428.07"/>
        <n v="8440.0499999999993"/>
        <n v="8442.67"/>
        <n v="8444.4699999999993"/>
        <n v="8448.66"/>
        <n v="8450.82"/>
        <n v="8457.82"/>
        <n v="8466.35"/>
        <n v="8471.65"/>
        <n v="8515.76"/>
        <n v="8516.83"/>
        <n v="8520.0300000000007"/>
        <n v="8522"/>
        <n v="8527.5300000000007"/>
        <n v="8534.67"/>
        <n v="8538.2900000000009"/>
        <n v="8539.67"/>
        <n v="8547.69"/>
        <n v="8551.35"/>
        <n v="8556.91"/>
        <n v="8567.25"/>
        <n v="8569.86"/>
        <n v="8572.0400000000009"/>
        <n v="8573.2999999999993"/>
        <n v="8582.2999999999993"/>
        <n v="8596.83"/>
        <n v="8601.33"/>
        <n v="8603.82"/>
        <n v="8604.48"/>
        <n v="8605.36"/>
        <n v="8606.2199999999993"/>
        <n v="8615.2999999999993"/>
        <n v="8627.5400000000009"/>
        <n v="8665.09"/>
        <n v="8665.14"/>
        <n v="8671.19"/>
        <n v="8688.86"/>
        <n v="8701.84"/>
        <n v="8703.4599999999991"/>
        <n v="8733.23"/>
        <n v="8747.68"/>
        <n v="8760.1200000000008"/>
        <n v="8765.25"/>
        <n v="8782.4699999999993"/>
        <n v="8798.59"/>
        <n v="8800.49"/>
        <n v="8821.8799999999992"/>
        <n v="8823.2800000000007"/>
        <n v="8823.99"/>
        <n v="8824.27"/>
        <n v="8825.09"/>
        <n v="8827.2099999999991"/>
        <n v="8835.26"/>
        <n v="8871.15"/>
        <n v="8890.59"/>
        <n v="8891.14"/>
        <n v="8906.14"/>
        <n v="8908.4699999999993"/>
        <n v="8930.93"/>
        <n v="8932.08"/>
        <n v="8944.1200000000008"/>
        <n v="8954.99"/>
        <n v="8964.06"/>
        <n v="8965.7999999999993"/>
        <n v="8968.33"/>
        <n v="8978.19"/>
        <n v="8988.16"/>
        <n v="8998.43"/>
        <n v="9010.2000000000007"/>
        <n v="9048.0300000000007"/>
        <n v="9058.73"/>
        <n v="9095.07"/>
        <n v="9095.94"/>
        <n v="9101.7999999999993"/>
        <n v="9140.9500000000007"/>
        <n v="9144.57"/>
        <n v="9147.5"/>
        <n v="9159.51"/>
        <n v="9171.75"/>
        <n v="9174.14"/>
        <n v="9182.17"/>
        <n v="9193.84"/>
        <n v="9210.06"/>
        <n v="9222.4"/>
        <n v="9225.26"/>
        <n v="9247.94"/>
        <n v="9249.5"/>
        <n v="9264.7999999999993"/>
        <n v="9282.48"/>
        <n v="9283.56"/>
        <n v="9285.8700000000008"/>
        <n v="9288.0300000000007"/>
        <n v="9290.14"/>
        <n v="9301.89"/>
        <n v="9304.7000000000007"/>
        <n v="9310.81"/>
        <n v="9315.41"/>
        <n v="9320.26"/>
        <n v="9338.61"/>
        <n v="9344.2000000000007"/>
        <n v="9361.33"/>
        <n v="9377.4500000000007"/>
        <n v="9377.9"/>
        <n v="9380.75"/>
        <n v="9386.16"/>
        <n v="9391.35"/>
        <n v="9411.01"/>
        <n v="9414.92"/>
        <n v="9432.93"/>
        <n v="9447.25"/>
        <n v="9447.3799999999992"/>
        <n v="9448.42"/>
        <n v="9453.92"/>
        <n v="9487.64"/>
        <n v="9500.57"/>
        <n v="9504.31"/>
        <n v="9507.68"/>
        <n v="9528.9"/>
        <n v="9538.65"/>
        <n v="9540.17"/>
        <n v="9541.7000000000007"/>
        <n v="9549.57"/>
        <n v="9563.0300000000007"/>
        <n v="9566.99"/>
        <n v="9582.5400000000009"/>
        <n v="9583.89"/>
        <n v="9584.0400000000009"/>
        <n v="9597.6299999999992"/>
        <n v="9617.66"/>
        <n v="9619.18"/>
        <n v="9620.33"/>
        <n v="9625.92"/>
        <n v="9628.7900000000009"/>
        <n v="9630.2999999999993"/>
        <n v="9630.4"/>
        <n v="9630.91"/>
        <n v="9634.5400000000009"/>
        <n v="9644.25"/>
        <n v="9653.81"/>
        <n v="9664.34"/>
        <n v="9684.2900000000009"/>
        <n v="9698.42"/>
        <n v="9704.67"/>
        <n v="9710.7099999999991"/>
        <n v="9715.84"/>
        <n v="9722.77"/>
        <n v="9724.5300000000007"/>
        <n v="9748.91"/>
        <n v="9753.49"/>
        <n v="9764.08"/>
        <n v="9778.35"/>
        <n v="9787.32"/>
        <n v="9788.8700000000008"/>
        <n v="9800.89"/>
        <n v="9819.25"/>
        <n v="9836.2099999999991"/>
        <n v="9844.4500000000007"/>
        <n v="9850.43"/>
        <n v="9855.1299999999992"/>
        <n v="9861.0300000000007"/>
        <n v="9863.4699999999993"/>
        <n v="9866.2999999999993"/>
        <n v="9869.81"/>
        <n v="9870.59"/>
        <n v="9872.7000000000007"/>
        <n v="9875.68"/>
        <n v="9877.61"/>
        <n v="9880.07"/>
        <n v="9890.23"/>
        <n v="9894.69"/>
        <n v="9907.83"/>
        <n v="9910.36"/>
        <n v="9930.64"/>
        <n v="9931.9599999999991"/>
        <n v="9933.44"/>
        <n v="9957.7199999999993"/>
        <n v="9964.06"/>
        <n v="9991.0400000000009"/>
        <n v="10011.44"/>
        <n v="10027.15"/>
        <n v="10043.25"/>
        <n v="10065.41"/>
        <n v="10072.06"/>
        <n v="10085.85"/>
        <n v="10096.969999999999"/>
        <n v="10106.129999999999"/>
        <n v="10107.219999999999"/>
        <n v="10115.01"/>
        <n v="10118.42"/>
        <n v="10139.84"/>
        <n v="10141.14"/>
        <n v="10146.129999999999"/>
        <n v="10156.780000000001"/>
        <n v="10160.870000000001"/>
        <n v="10191.82"/>
        <n v="10197.77"/>
        <n v="10214.64"/>
        <n v="10226.280000000001"/>
        <n v="10231.5"/>
        <n v="10259.129999999999"/>
        <n v="10264.44"/>
        <n v="10269.459999999999"/>
        <n v="10274.33"/>
        <n v="10276.99"/>
        <n v="10308.040000000001"/>
        <n v="10310.780000000001"/>
        <n v="10315.91"/>
        <n v="10322.9"/>
        <n v="10325.209999999999"/>
        <n v="10329.06"/>
        <n v="10338.93"/>
        <n v="10345.93"/>
        <n v="10352.48"/>
        <n v="10355.64"/>
        <n v="10356.67"/>
        <n v="10370.91"/>
        <n v="10381.48"/>
        <n v="10403.27"/>
        <n v="10407.09"/>
        <n v="10407.98"/>
        <n v="10419.59"/>
        <n v="10419.65"/>
        <n v="10422.92"/>
        <n v="10435.07"/>
        <n v="10436.1"/>
        <n v="10450.549999999999"/>
        <n v="10455.1"/>
        <n v="10455.14"/>
        <n v="10459.19"/>
        <n v="10461.98"/>
        <n v="10464.83"/>
        <n v="10486.55"/>
        <n v="10493.95"/>
        <n v="10495.6"/>
        <n v="10546.48"/>
        <n v="10560.49"/>
        <n v="10564.88"/>
        <n v="10577.09"/>
        <n v="10579.71"/>
        <n v="10594.23"/>
        <n v="10594.5"/>
        <n v="10600.55"/>
        <n v="10601.41"/>
        <n v="10601.63"/>
        <n v="10602.39"/>
        <n v="10608.67"/>
        <n v="10617.04"/>
        <n v="10620.26"/>
        <n v="10627.81"/>
        <n v="10665.44"/>
        <n v="10676.83"/>
        <n v="10690.11"/>
        <n v="10698.38"/>
        <n v="10702.64"/>
        <n v="10704.47"/>
        <n v="10713.64"/>
        <n v="10719.57"/>
        <n v="10736.87"/>
        <n v="10749.02"/>
        <n v="10769.75"/>
        <n v="10791.96"/>
        <n v="10795.94"/>
        <n v="10796.35"/>
        <n v="10797.34"/>
        <n v="10806.84"/>
        <n v="10807.49"/>
        <n v="10825.25"/>
        <n v="10848.13"/>
        <n v="10886.66"/>
        <n v="10923.93"/>
        <n v="10928.85"/>
        <n v="10942.13"/>
        <n v="10959.33"/>
        <n v="10959.69"/>
        <n v="10965.45"/>
        <n v="10976.25"/>
        <n v="10977.21"/>
        <n v="10982.5"/>
        <n v="10991.58"/>
        <n v="11013.71"/>
        <n v="11015.17"/>
        <n v="11018.05"/>
        <n v="11028.56"/>
        <n v="11033.66"/>
        <n v="11037.51"/>
        <n v="11037.85"/>
        <n v="11046.02"/>
        <n v="11068.7"/>
        <n v="11068.77"/>
        <n v="11070.54"/>
        <n v="11073.18"/>
        <n v="11082.58"/>
        <n v="11085.59"/>
        <n v="11090.72"/>
        <n v="11093.62"/>
        <n v="11103.33"/>
        <n v="11150.78"/>
        <n v="11163.57"/>
        <n v="11165.42"/>
        <n v="11186.2"/>
        <n v="11187.66"/>
        <n v="11217.35"/>
        <n v="11244.38"/>
        <n v="11250.43"/>
        <n v="11253.42"/>
        <n v="11255.29"/>
        <n v="11264.54"/>
        <n v="11265.71"/>
        <n v="11272.33"/>
        <n v="11286.54"/>
        <n v="11289.11"/>
        <n v="11294.57"/>
        <n v="11299.34"/>
        <n v="11305.93"/>
        <n v="11312.33"/>
        <n v="11318.57"/>
        <n v="11319.12"/>
        <n v="11321.49"/>
        <n v="11326.71"/>
        <n v="11344.32"/>
        <n v="11345.52"/>
        <n v="11353.23"/>
        <n v="11356.66"/>
        <n v="11362.76"/>
        <n v="11363.28"/>
        <n v="11365.95"/>
        <n v="11369.39"/>
        <n v="11378.57"/>
        <n v="11381.33"/>
        <n v="11388.27"/>
        <n v="11394.07"/>
        <n v="11396.9"/>
        <n v="11411.69"/>
        <n v="11412.02"/>
        <n v="11419.49"/>
        <n v="11435.74"/>
        <n v="11436.74"/>
        <n v="11454.02"/>
        <n v="11455.28"/>
        <n v="11478.14"/>
        <n v="11482.63"/>
        <n v="11488.32"/>
        <n v="11492.46"/>
        <n v="11497.69"/>
        <n v="11511.61"/>
        <n v="11512.41"/>
        <n v="11520.1"/>
        <n v="11524.25"/>
        <n v="11530.12"/>
        <n v="11534.87"/>
        <n v="11538.42"/>
        <n v="11540.25"/>
        <n v="11552.9"/>
        <n v="11554.22"/>
        <n v="11566.3"/>
        <n v="11576.13"/>
        <n v="11602.75"/>
        <n v="11625.11"/>
        <n v="11657.72"/>
        <n v="11657.81"/>
        <n v="11658.12"/>
        <n v="11658.38"/>
        <n v="11674.13"/>
        <n v="11696.52"/>
        <n v="11712.97"/>
        <n v="11729.68"/>
        <n v="11730.82"/>
        <n v="11735.88"/>
        <n v="11737.85"/>
        <n v="11741.73"/>
        <n v="11743.3"/>
        <n v="11743.93"/>
        <n v="11752.68"/>
        <n v="11763"/>
        <n v="11773.06"/>
        <n v="11830.61"/>
        <n v="11833.78"/>
        <n v="11837.16"/>
        <n v="11840.78"/>
        <n v="11842.44"/>
        <n v="11842.62"/>
        <n v="11848.14"/>
        <n v="11856.41"/>
        <n v="11858.56"/>
        <n v="11879.1"/>
        <n v="11881.36"/>
        <n v="11881.97"/>
        <n v="11884.05"/>
        <n v="11918.2"/>
        <n v="11931.13"/>
        <n v="11938.26"/>
        <n v="11941.83"/>
        <n v="11944.59"/>
        <n v="11945.13"/>
        <n v="11946.63"/>
        <n v="11987.17"/>
        <n v="11987.68"/>
        <n v="11994.89"/>
        <n v="12001.29"/>
        <n v="12029.29"/>
        <n v="12032.33"/>
        <n v="12035.18"/>
        <n v="12044.34"/>
        <n v="12048.13"/>
        <n v="12091.34"/>
        <n v="12094.48"/>
        <n v="12096.65"/>
        <n v="12105.32"/>
        <n v="12124.99"/>
        <n v="12129.61"/>
        <n v="12130.8"/>
        <n v="12137.6"/>
        <n v="12142.58"/>
        <n v="12146.97"/>
        <n v="12148.2"/>
        <n v="12198.64"/>
        <n v="12218.7"/>
        <n v="12222.9"/>
        <n v="12224.35"/>
        <n v="12231.61"/>
        <n v="12233.83"/>
        <n v="12235.84"/>
        <n v="12237.73"/>
        <n v="12244.53"/>
        <n v="12245.17"/>
        <n v="12254.44"/>
        <n v="12255.04"/>
        <n v="12265.51"/>
        <n v="12268.63"/>
        <n v="12269.69"/>
        <n v="12282.03"/>
        <n v="12282.38"/>
        <n v="12299.59"/>
        <n v="12323.94"/>
        <n v="12333.83"/>
        <n v="12347.17"/>
        <n v="12363.55"/>
        <n v="12369.89"/>
        <n v="12404.88"/>
        <n v="12407.3"/>
        <n v="12408.29"/>
        <n v="12430.95"/>
        <n v="12452.25"/>
        <n v="12475.35"/>
        <n v="12479.71"/>
        <n v="12485.8"/>
        <n v="12495.29"/>
        <n v="12499.88"/>
        <n v="12523.6"/>
        <n v="12557.61"/>
        <n v="12574.05"/>
        <n v="12579.92"/>
        <n v="12592.53"/>
        <n v="12600.46"/>
        <n v="12609.89"/>
        <n v="12622.18"/>
        <n v="12624.74"/>
        <n v="12629.17"/>
        <n v="12629.9"/>
        <n v="12638.2"/>
        <n v="12640.24"/>
        <n v="12643.38"/>
        <n v="12644.59"/>
        <n v="12646.21"/>
        <n v="12648.7"/>
        <n v="12697.48"/>
        <n v="12699.56"/>
        <n v="12700.63"/>
        <n v="12713"/>
        <n v="12718.21"/>
        <n v="12731"/>
        <n v="12741.17"/>
        <n v="12770.27"/>
        <n v="12776.05"/>
        <n v="12788.03"/>
        <n v="12788.18"/>
        <n v="12797.21"/>
        <n v="12815.44"/>
        <n v="12823.25"/>
        <n v="12829.46"/>
        <n v="12847.24"/>
        <n v="12852.37"/>
        <n v="12856.84"/>
        <n v="12870.31"/>
        <n v="12890.06"/>
        <n v="12913.99"/>
        <n v="12925.89"/>
        <n v="12928.79"/>
        <n v="12949.16"/>
        <n v="12950.07"/>
        <n v="12957.12"/>
        <n v="12979.36"/>
        <n v="12981.35"/>
        <n v="12982.87"/>
        <n v="12994.12"/>
        <n v="13002.91"/>
        <n v="13004.95"/>
        <n v="13008.07"/>
        <n v="13010.86"/>
        <n v="13012.21"/>
        <n v="13019.16"/>
        <n v="13023.93"/>
        <n v="13041.92"/>
        <n v="13044.41"/>
        <n v="13047.33"/>
        <n v="13051.22"/>
        <n v="13063.88"/>
        <n v="13101.74"/>
        <n v="13110.79"/>
        <n v="13112.6"/>
        <n v="13113.51"/>
        <n v="13116.84"/>
        <n v="13126.68"/>
        <n v="13129.6"/>
        <n v="13143.34"/>
        <n v="13143.86"/>
        <n v="13204.29"/>
        <n v="13214.43"/>
        <n v="13217.09"/>
        <n v="13224.06"/>
        <n v="13224.69"/>
        <n v="13228.85"/>
        <n v="13292.52"/>
        <n v="13333.71"/>
        <n v="13352.1"/>
        <n v="13360.94"/>
        <n v="13375.76"/>
        <n v="13377.41"/>
        <n v="13383.67"/>
        <n v="13390.56"/>
        <n v="13393.76"/>
        <n v="13405.39"/>
        <n v="13412.97"/>
        <n v="13415.04"/>
        <n v="13417.05"/>
        <n v="13429.04"/>
        <n v="13430.27"/>
        <n v="13440.7"/>
        <n v="13451.12"/>
        <n v="13457.96"/>
        <n v="13462.52"/>
        <n v="13465.8"/>
        <n v="13470.8"/>
        <n v="13470.86"/>
        <n v="13472.19"/>
        <n v="13480.83"/>
        <n v="13511.28"/>
        <n v="13555"/>
        <n v="13566.04"/>
        <n v="13588.17"/>
        <n v="13607.37"/>
        <n v="13616.36"/>
        <n v="13622.01"/>
        <n v="13635.64"/>
        <n v="13638.06"/>
        <n v="13677.68"/>
        <n v="13685.51"/>
        <n v="13714.55"/>
        <n v="13725.47"/>
        <n v="13726.21"/>
        <n v="13746.74"/>
        <n v="13747.87"/>
        <n v="13770.1"/>
        <n v="13801.61"/>
        <n v="13819.49"/>
        <n v="13822.8"/>
        <n v="13831.12"/>
        <n v="13844.51"/>
        <n v="13844.8"/>
        <n v="13874.89"/>
        <n v="13880.95"/>
        <n v="13886.4"/>
        <n v="13887.2"/>
        <n v="13887.97"/>
        <n v="13919.82"/>
        <n v="13937.67"/>
        <n v="13974.46"/>
        <n v="13979.45"/>
        <n v="13981.85"/>
        <n v="14001.13"/>
        <n v="14001.29"/>
        <n v="14007.22"/>
        <n v="14043.48"/>
        <n v="14081.93"/>
        <n v="14098.07"/>
        <n v="14119.62"/>
        <n v="14133.04"/>
        <n v="14152.46"/>
        <n v="14193.55"/>
        <n v="14209.4"/>
        <n v="14210.54"/>
        <n v="14235.07"/>
        <n v="14254.61"/>
        <n v="14256.19"/>
        <n v="14256.79"/>
        <n v="14258.33"/>
        <n v="14283.46"/>
        <n v="14285.9"/>
        <n v="14313.85"/>
        <n v="14319.03"/>
        <n v="14337.91"/>
        <n v="14349.85"/>
        <n v="14355.43"/>
        <n v="14358.36"/>
        <n v="14382.71"/>
        <n v="14394.4"/>
        <n v="14394.56"/>
        <n v="14410.93"/>
        <n v="14418.28"/>
        <n v="14426.07"/>
        <n v="14426.66"/>
        <n v="14427.63"/>
        <n v="14449.85"/>
        <n v="14451.84"/>
        <n v="14455.64"/>
        <n v="14470.01"/>
        <n v="14474.68"/>
        <n v="14478.33"/>
        <n v="14507.46"/>
        <n v="14547.26"/>
        <n v="14571.89"/>
        <n v="14574.64"/>
        <n v="14590.63"/>
        <n v="14600.62"/>
        <n v="14612.33"/>
        <n v="14630.52"/>
        <n v="14640.35"/>
        <n v="14657.2"/>
        <n v="14665.75"/>
        <n v="14692.67"/>
        <n v="14696.77"/>
        <n v="14711.74"/>
        <n v="14738.43"/>
        <n v="14750.42"/>
        <n v="14819"/>
        <n v="14839.34"/>
        <n v="14843.96"/>
        <n v="14847.63"/>
        <n v="14901.52"/>
        <n v="14908.27"/>
        <n v="14926.97"/>
        <n v="14945.34"/>
        <n v="14988.43"/>
        <n v="15006.58"/>
        <n v="15019.76"/>
        <n v="15025.76"/>
        <n v="15026.3"/>
        <n v="15038.51"/>
        <n v="15052.68"/>
        <n v="15090.35"/>
        <n v="15103.69"/>
        <n v="15123.19"/>
        <n v="15150.44"/>
        <n v="15161.25"/>
        <n v="15161.53"/>
        <n v="15170.07"/>
        <n v="15174.81"/>
        <n v="15207.92"/>
        <n v="15230.32"/>
        <n v="15260.52"/>
        <n v="15322.77"/>
        <n v="15359.1"/>
        <n v="15361.5"/>
        <n v="15363.77"/>
        <n v="15368.22"/>
        <n v="15377.77"/>
        <n v="15440.2"/>
        <n v="15450.48"/>
        <n v="15518.18"/>
        <n v="15532.16"/>
        <n v="15555.19"/>
        <n v="15556.67"/>
        <n v="15608.58"/>
        <n v="15612.19"/>
        <n v="15646.28"/>
        <n v="15670.3"/>
        <n v="15698.86"/>
        <n v="15746.62"/>
        <n v="15817.99"/>
        <n v="15820.7"/>
        <n v="15828.82"/>
        <n v="15840.81"/>
        <n v="15922.29"/>
        <n v="15965.29"/>
        <n v="15966.19"/>
        <n v="16059.06"/>
        <n v="16062.89"/>
        <n v="16069.08"/>
        <n v="16085.13"/>
        <n v="16097.94"/>
        <n v="16115.3"/>
        <n v="16122.65"/>
        <n v="16138.76"/>
        <n v="16152.04"/>
        <n v="16190.97"/>
        <n v="16199.1"/>
        <n v="16205.88"/>
        <n v="16232.85"/>
        <n v="16267.32"/>
        <n v="16297.85"/>
        <n v="16311.05"/>
        <n v="16351.42"/>
        <n v="16420.490000000002"/>
        <n v="16450.89"/>
        <n v="16455.71"/>
        <n v="16577.78"/>
        <n v="16586.5"/>
        <n v="16587.96"/>
        <n v="16600.16"/>
        <n v="16602.18"/>
        <n v="16631.61"/>
        <n v="16657.72"/>
        <n v="16770.990000000002"/>
        <n v="16776.3"/>
        <n v="16779.400000000001"/>
        <n v="16796.41"/>
        <n v="16841.32"/>
        <n v="16884.919999999998"/>
        <n v="16903.5"/>
        <n v="16921.09"/>
        <n v="16990.55"/>
        <n v="17016.009999999998"/>
        <n v="17043.34"/>
        <n v="17081.080000000002"/>
        <n v="17085.27"/>
        <n v="17128.43"/>
        <n v="17172.27"/>
        <n v="17174.52"/>
        <n v="17178.68"/>
        <n v="17179.52"/>
        <n v="17253.43"/>
        <n v="17337.580000000002"/>
        <n v="17352.68"/>
        <n v="17361.77"/>
        <n v="17468.98"/>
        <n v="17479.53"/>
        <n v="17496.310000000001"/>
        <n v="17505.650000000001"/>
        <n v="17507.47"/>
        <n v="17556.88"/>
        <n v="17560.38"/>
        <n v="17584.72"/>
        <n v="17626.240000000002"/>
        <n v="17663.14"/>
        <n v="17748.509999999998"/>
        <n v="17777.73"/>
        <n v="17779.939999999999"/>
        <n v="17832.599999999999"/>
        <n v="17862.919999999998"/>
        <n v="17878.900000000001"/>
        <n v="17882.669999999998"/>
        <n v="17904.53"/>
        <n v="17929.3"/>
        <n v="17942.11"/>
        <n v="18031.16"/>
        <n v="18031.189999999999"/>
        <n v="18033.97"/>
        <n v="18157.88"/>
        <n v="18208.34"/>
        <n v="18218.16"/>
        <n v="18223.45"/>
        <n v="18246.5"/>
        <n v="18259.22"/>
        <n v="18310.740000000002"/>
        <n v="18328.240000000002"/>
        <n v="18443.11"/>
        <n v="18608.259999999998"/>
        <n v="18648.419999999998"/>
        <n v="18682.740000000002"/>
        <n v="18694.689999999999"/>
        <n v="18765.88"/>
        <n v="18767.740000000002"/>
        <n v="18804.75"/>
        <n v="18806.150000000001"/>
        <n v="18815.53"/>
        <n v="18838.7"/>
        <n v="18883.330000000002"/>
        <n v="18903.490000000002"/>
        <n v="18932.810000000001"/>
        <n v="18954.560000000001"/>
        <n v="18955.22"/>
        <n v="18963.169999999998"/>
        <n v="18972.5"/>
        <n v="19023.259999999998"/>
        <n v="19040.88"/>
        <n v="19107.78"/>
        <n v="19144.580000000002"/>
        <n v="19199.939999999999"/>
        <n v="19214.71"/>
        <n v="19259.96"/>
        <n v="19321.060000000001"/>
        <n v="19350.37"/>
        <n v="19362"/>
        <n v="19442.349999999999"/>
        <n v="19444.27"/>
        <n v="19496.72"/>
        <n v="19515.54"/>
        <n v="19521.97"/>
        <n v="19539.240000000002"/>
        <n v="19551.34"/>
        <n v="19594.810000000001"/>
        <n v="19673.34"/>
        <n v="19719.689999999999"/>
        <n v="19749.38"/>
        <n v="19798.05"/>
        <n v="19933.46"/>
        <n v="19964.75"/>
        <n v="19995.29"/>
        <n v="20009.63"/>
        <n v="20149.32"/>
        <n v="20167.34"/>
        <n v="20177.669999999998"/>
        <n v="20234.849999999999"/>
        <n v="20253.84"/>
        <n v="20277.810000000001"/>
        <n v="20296.86"/>
        <n v="20354.5"/>
        <n v="20420.599999999999"/>
        <n v="20446.849999999999"/>
        <n v="20463"/>
        <n v="20568.32"/>
        <n v="20630.28"/>
        <n v="20709.02"/>
        <n v="20745.990000000002"/>
        <n v="20773.63"/>
        <n v="20781.490000000002"/>
        <n v="20878.78"/>
        <n v="20893.060000000001"/>
        <n v="20984.09"/>
        <n v="21082.16"/>
        <n v="21098.55"/>
        <n v="21195.82"/>
        <n v="21223.68"/>
        <n v="21232.18"/>
        <n v="21259.38"/>
        <n v="21344.85"/>
        <n v="21348.71"/>
        <n v="21472.48"/>
        <n v="21595.38"/>
        <n v="21659.93"/>
        <n v="21661.16"/>
        <n v="21677.279999999999"/>
        <n v="21771.34"/>
        <n v="21774.32"/>
        <n v="21797"/>
        <n v="21880.82"/>
        <n v="21882.400000000001"/>
        <n v="21978.68"/>
        <n v="21984.47"/>
        <n v="22097.62"/>
        <n v="22144.03"/>
        <n v="22192.44"/>
        <n v="22218.11"/>
        <n v="22331.57"/>
        <n v="22395.74"/>
        <n v="22412.65"/>
        <n v="22462.04"/>
        <n v="22478.6"/>
        <n v="22493.66"/>
        <n v="23045.57"/>
        <n v="23065.42"/>
        <n v="23082.959999999999"/>
        <n v="23241.47"/>
        <n v="23244.79"/>
        <n v="23288.93"/>
        <n v="23306.55"/>
        <n v="23401.31"/>
        <n v="23563.02"/>
        <n v="23568.27"/>
        <n v="23807.24"/>
        <n v="23887.66"/>
        <n v="23967.38"/>
        <n v="24059.68"/>
        <n v="24106.91"/>
        <n v="24180.93"/>
        <n v="24227.34"/>
        <n v="24294.02"/>
        <n v="24387.74"/>
        <n v="24393.62"/>
        <n v="24476.48"/>
        <n v="24513.09"/>
        <n v="24520.26"/>
        <n v="24535.7"/>
        <n v="24603.05"/>
        <n v="24667.42"/>
        <n v="24671.66"/>
        <n v="24795.040000000001"/>
        <n v="24817.25"/>
        <n v="24863.25"/>
        <n v="24869.84"/>
        <n v="24873.38"/>
        <n v="24915.05"/>
        <n v="24915.22"/>
        <n v="25075.97"/>
        <n v="25081.77"/>
        <n v="25127.22"/>
        <n v="25309.49"/>
        <n v="25333.33"/>
        <n v="25382.3"/>
        <n v="25517.11"/>
        <n v="25648.98"/>
        <n v="25656.58"/>
        <n v="25678.78"/>
        <n v="25992.82"/>
        <n v="26018.95"/>
        <n v="26026.97"/>
        <n v="26109.33"/>
        <n v="26125.67"/>
        <n v="26140.36"/>
        <n v="26236.58"/>
        <n v="26316.59"/>
        <n v="26392.26"/>
        <n v="26467.1"/>
        <n v="26479.4"/>
        <n v="26607.89"/>
        <n v="26912.560000000001"/>
        <n v="26926.51"/>
        <n v="26927.69"/>
        <n v="26936.98"/>
        <n v="27000.98"/>
        <n v="27037.91"/>
        <n v="27080.639999999999"/>
        <n v="27092.38"/>
        <n v="27117.99"/>
        <n v="27218.44"/>
        <n v="27236.959999999999"/>
        <n v="27322.73"/>
        <n v="27346.04"/>
        <n v="27375.9"/>
        <n v="27432.73"/>
        <n v="27495.59"/>
        <n v="27533.91"/>
        <n v="27534.53"/>
        <n v="27598.93"/>
        <n v="27614.71"/>
        <n v="27619.360000000001"/>
        <n v="27625.17"/>
        <n v="27696.11"/>
        <n v="27724.29"/>
        <n v="27808.73"/>
        <n v="27849.94"/>
        <n v="27925.86"/>
        <n v="27931.11"/>
        <n v="27941.29"/>
        <n v="27980.77"/>
        <n v="28006.94"/>
        <n v="28101.33"/>
        <n v="28245.34"/>
        <n v="28287.9"/>
        <n v="28302.33"/>
        <n v="28340.19"/>
        <n v="28468.92"/>
        <n v="28476.73"/>
        <n v="28542.86"/>
        <n v="28716.14"/>
        <n v="28868.66"/>
        <n v="28923.14"/>
        <n v="28950.47"/>
        <n v="28998.68"/>
        <n v="29007.82"/>
        <n v="29114.21"/>
        <n v="29114.77"/>
        <n v="29141.360000000001"/>
        <n v="29160.39"/>
        <n v="29186.48"/>
        <n v="29227.599999999999"/>
        <n v="29330.98"/>
        <n v="29352.560000000001"/>
        <n v="29443.59"/>
        <n v="29523.17"/>
        <n v="29583.8"/>
        <n v="29622.69"/>
        <n v="29757.69"/>
        <n v="29760.6"/>
        <n v="29816.639999999999"/>
        <n v="29818.76"/>
        <n v="29852.48"/>
        <n v="29899.25"/>
        <n v="29929.56"/>
        <n v="29933.75"/>
        <n v="29969.67"/>
        <n v="30026.87"/>
        <n v="30063.58"/>
        <n v="30095.97"/>
        <n v="30134.75"/>
        <n v="30166.62"/>
        <n v="30184.94"/>
        <n v="30260"/>
        <n v="30284.639999999999"/>
        <n v="30328.27"/>
        <n v="30366.93"/>
        <n v="30409.53"/>
        <n v="30422.03"/>
        <n v="30457.37"/>
        <n v="30530.5"/>
        <n v="30625.65"/>
        <n v="30697.71"/>
        <n v="30724.44"/>
        <n v="30763.01"/>
        <n v="30942.19"/>
        <n v="31196.61"/>
        <n v="31234.560000000001"/>
        <n v="31322.53"/>
        <n v="31328.27"/>
        <n v="31368.81"/>
        <n v="31591.82"/>
        <n v="31620"/>
        <n v="31736.7"/>
        <n v="31743.919999999998"/>
        <n v="31897.1"/>
        <n v="31980.89"/>
        <n v="32086.21"/>
        <n v="32108.66"/>
        <n v="32192.76"/>
        <n v="32222.81"/>
        <n v="32259.96"/>
        <n v="32288.49"/>
        <n v="32428.63"/>
        <n v="32430.22"/>
        <n v="32462.35"/>
        <n v="32485.46"/>
        <n v="32548.34"/>
        <n v="32672.11"/>
        <n v="32686.080000000002"/>
        <n v="32716.2"/>
        <n v="32734.19"/>
        <n v="32760.48"/>
        <n v="32765.33"/>
        <n v="32787.46"/>
        <n v="32827.51"/>
        <n v="32906.69"/>
        <n v="32947.629999999997"/>
        <n v="33017.46"/>
        <n v="33025.32"/>
        <n v="33057.230000000003"/>
        <n v="33074.94"/>
        <n v="33090.660000000003"/>
        <n v="33121"/>
        <n v="33292.83"/>
        <n v="33307.550000000003"/>
        <n v="33344.449999999997"/>
        <n v="33450.99"/>
        <n v="33471.97"/>
        <n v="33475.82"/>
        <n v="33527.1"/>
        <n v="33611.71"/>
        <n v="33707.550000000003"/>
        <n v="33732.69"/>
        <n v="33750.29"/>
        <n v="33753.32"/>
        <n v="33829.39"/>
        <n v="33900.65"/>
        <n v="33907.550000000003"/>
        <n v="33975.47"/>
        <n v="34053.360000000001"/>
        <n v="34084.68"/>
        <n v="34166.269999999997"/>
        <n v="34205.07"/>
        <n v="34210.33"/>
        <n v="34218.019999999997"/>
        <n v="34254.050000000003"/>
        <n v="34289.43"/>
        <n v="34293.120000000003"/>
        <n v="34303.17"/>
        <n v="34307.22"/>
        <n v="34402.22"/>
        <n v="34439.86"/>
        <n v="34456.269999999997"/>
        <n v="34472.839999999997"/>
        <n v="34543.39"/>
        <n v="34617.839999999997"/>
        <n v="34672.15"/>
        <n v="34779.620000000003"/>
        <n v="34806.47"/>
        <n v="34828.65"/>
        <n v="34838.870000000003"/>
        <n v="34940.61"/>
        <n v="34975.68"/>
        <n v="34976.42"/>
        <n v="34979.86"/>
        <n v="35000.730000000003"/>
        <n v="35050.620000000003"/>
        <n v="35069.370000000003"/>
        <n v="35147.53"/>
        <n v="35160.129999999997"/>
        <n v="35302.089999999997"/>
        <n v="35315.96"/>
        <n v="35345.730000000003"/>
        <n v="35491.64"/>
        <n v="35517.19"/>
        <n v="35547.47"/>
        <n v="35547.72"/>
        <n v="35573.26"/>
        <n v="35583.17"/>
        <n v="35585.58"/>
        <n v="35595.589999999997"/>
        <n v="35701.9"/>
        <n v="35711.39"/>
        <n v="35733.96"/>
        <n v="35883.269999999997"/>
        <n v="35952.65"/>
        <n v="36021.01"/>
        <n v="36074.339999999997"/>
        <n v="36085.22"/>
        <n v="36090.49"/>
        <n v="36124.57"/>
        <n v="36149.480000000003"/>
        <n v="36182.870000000003"/>
        <n v="36189.1"/>
        <n v="36197.699999999997"/>
        <n v="36219.410000000003"/>
        <n v="36307.800000000003"/>
        <n v="36314.050000000003"/>
        <n v="36332.449999999997"/>
        <n v="36350.71"/>
        <n v="36397.58"/>
        <n v="36445.550000000003"/>
        <n v="36541.550000000003"/>
        <n v="36572.800000000003"/>
        <n v="36580.28"/>
        <n v="36786.370000000003"/>
        <n v="36795.29"/>
        <n v="36837.47"/>
        <n v="36889.99"/>
        <n v="36898.730000000003"/>
        <n v="36910.61"/>
        <n v="36911.99"/>
        <n v="36922.61"/>
        <n v="36935.64"/>
        <n v="36950.26"/>
        <n v="36976.449999999997"/>
        <n v="37040.879999999997"/>
        <n v="37076.370000000003"/>
        <n v="37079.370000000003"/>
        <n v="37133.9"/>
        <n v="37165.160000000003"/>
        <n v="37251.22"/>
        <n v="37270.15"/>
        <n v="37272.339999999997"/>
        <n v="37277.269999999997"/>
        <n v="37425.94"/>
        <n v="37465.339999999997"/>
        <n v="37484.449999999997"/>
        <n v="37607.53"/>
        <n v="37650.74"/>
        <n v="37675.06"/>
        <n v="37701.879999999997"/>
        <n v="37735.199999999997"/>
        <n v="37742.58"/>
        <n v="37800.980000000003"/>
        <n v="37829.72"/>
        <n v="38126.25"/>
        <n v="38189.1"/>
        <n v="38237.339999999997"/>
        <n v="38241.74"/>
        <n v="38245.589999999997"/>
        <n v="38282.75"/>
        <n v="38313.129999999997"/>
        <n v="38344.57"/>
        <n v="38389.79"/>
        <n v="38405.26"/>
        <n v="38415.47"/>
        <n v="38511.629999999997"/>
        <n v="38652.089999999997"/>
        <n v="38709.18"/>
        <n v="38711"/>
        <n v="38740.120000000003"/>
        <n v="38746.36"/>
        <n v="38792.69"/>
        <n v="38836.980000000003"/>
        <n v="38869.25"/>
        <n v="38893.360000000001"/>
        <n v="38924.04"/>
        <n v="38932.559999999998"/>
        <n v="38947.43"/>
        <n v="38998.550000000003"/>
        <n v="39047.29"/>
        <n v="39125.33"/>
        <n v="39221.120000000003"/>
        <n v="39241.440000000002"/>
        <n v="39315.279999999999"/>
        <n v="39352.6"/>
        <n v="39396.86"/>
        <n v="39556.49"/>
        <n v="39597.410000000003"/>
        <n v="39611.760000000002"/>
        <n v="39670.44"/>
        <n v="39721.93"/>
        <n v="39722.75"/>
        <n v="39725.519999999997"/>
        <n v="39727.61"/>
        <n v="39774.28"/>
        <n v="39836.519999999997"/>
        <n v="39865.699999999997"/>
        <n v="39871.699999999997"/>
        <n v="39963.120000000003"/>
        <n v="39983.43"/>
        <n v="40003.33"/>
        <n v="40054.730000000003"/>
        <n v="40069.440000000002"/>
        <n v="40103.89"/>
        <n v="40182.25"/>
        <n v="40204.83"/>
        <n v="40208.559999999998"/>
        <n v="40273.65"/>
        <n v="40284.379999999997"/>
        <n v="40309.93"/>
        <n v="40373.74"/>
        <n v="40419.019999999997"/>
        <n v="40590.550000000003"/>
        <n v="40692.910000000003"/>
        <n v="40720.550000000003"/>
        <n v="40817.85"/>
        <n v="40904.199999999997"/>
        <n v="40932.43"/>
        <n v="40941.29"/>
        <n v="40961.29"/>
        <n v="40974.160000000003"/>
        <n v="41034.22"/>
        <n v="41055.29"/>
        <n v="41097.160000000003"/>
        <n v="41191.57"/>
        <n v="41250.39"/>
        <n v="41271.5"/>
        <n v="41331.79"/>
        <n v="41351.879999999997"/>
        <n v="41505.15"/>
        <n v="41636.199999999997"/>
        <n v="41661.599999999999"/>
        <n v="41676.080000000002"/>
        <n v="41681.86"/>
        <n v="41794.629999999997"/>
        <n v="41886.54"/>
        <n v="41919.1"/>
        <n v="41949.24"/>
        <n v="41999.519999999997"/>
        <n v="42111.66"/>
        <n v="42112.24"/>
        <n v="42124.52"/>
        <n v="42188.15"/>
        <n v="42211.14"/>
        <n v="42303.69"/>
        <n v="42478.6"/>
        <n v="42538.720000000001"/>
        <n v="42560.43"/>
        <n v="42644.2"/>
        <n v="42760.5"/>
        <n v="42764.12"/>
        <n v="42856.84"/>
        <n v="42969.85"/>
        <n v="42983.46"/>
        <n v="43073.760000000002"/>
        <n v="43254.42"/>
        <n v="43578.94"/>
        <n v="43753.34"/>
        <n v="43813.87"/>
        <n v="43817.45"/>
        <n v="43896.38"/>
        <n v="43921.18"/>
        <n v="43943.88"/>
        <n v="44202.65"/>
        <n v="44260.75"/>
        <n v="44400.41"/>
        <n v="44423.8"/>
        <n v="44501.4"/>
        <n v="44585.46"/>
        <n v="44641.2"/>
        <n v="45008.959999999999"/>
        <n v="45702.02"/>
        <n v="45710.21"/>
        <n v="45863.21"/>
        <n v="46113.51"/>
        <n v="46130.53"/>
        <n v="46151.12"/>
        <n v="46200.99"/>
        <n v="46255.11"/>
        <n v="46599.11"/>
        <n v="46661.440000000002"/>
        <n v="46718.16"/>
        <n v="46889.26"/>
        <n v="47055.53"/>
        <n v="47269.85"/>
        <n v="47291.06"/>
        <n v="47305.31"/>
        <n v="47403.88"/>
        <n v="47462.89"/>
        <n v="47496.49"/>
        <n v="47896.79"/>
        <n v="47928.03"/>
        <n v="48173.36"/>
        <n v="48517.56"/>
        <n v="48549.18"/>
        <n v="48673.56"/>
        <n v="48675.519999999997"/>
        <n v="48824.45"/>
        <n v="48885.14"/>
        <n v="48970.25"/>
        <n v="49577.66"/>
        <n v="51194.559999999998"/>
        <n v="52590.83"/>
        <n v="55135.4"/>
        <n v="58571.07"/>
        <n v="60021.4"/>
        <n v="62592.87"/>
        <n v="63770.43"/>
        <m/>
      </sharedItems>
    </cacheField>
    <cacheField name="Hospital tier" numFmtId="0">
      <sharedItems containsBlank="1" count="5">
        <s v="tier - 2"/>
        <s v="tier - 3"/>
        <s v="?"/>
        <s v="tier - 1"/>
        <m/>
      </sharedItems>
    </cacheField>
    <cacheField name="City tier" numFmtId="0">
      <sharedItems containsBlank="1" count="5">
        <s v="tier - 3"/>
        <s v="tier - 1"/>
        <s v="tier - 2"/>
        <s v="?"/>
        <m/>
      </sharedItems>
    </cacheField>
    <cacheField name="State ID" numFmtId="0">
      <sharedItems containsBlank="1" count="18">
        <s v="R1013"/>
        <s v="R1012"/>
        <s v="R1011"/>
        <s v="R1015"/>
        <s v="R1019"/>
        <s v="R1016"/>
        <s v="R1018"/>
        <s v="R1025"/>
        <s v="R1024"/>
        <s v="R1023"/>
        <s v="R1014"/>
        <s v="R1021"/>
        <s v="R1017"/>
        <s v="R1020"/>
        <s v="R1026"/>
        <s v="?"/>
        <s v="R102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44">
  <r>
    <x v="0"/>
    <x v="0"/>
    <x v="0"/>
    <x v="0"/>
    <x v="0"/>
    <x v="0"/>
    <x v="0"/>
    <x v="0"/>
    <x v="0"/>
  </r>
  <r>
    <x v="1"/>
    <x v="0"/>
    <x v="1"/>
    <x v="1"/>
    <x v="0"/>
    <x v="1"/>
    <x v="0"/>
    <x v="1"/>
    <x v="0"/>
  </r>
  <r>
    <x v="2"/>
    <x v="1"/>
    <x v="2"/>
    <x v="1"/>
    <x v="0"/>
    <x v="2"/>
    <x v="0"/>
    <x v="1"/>
    <x v="0"/>
  </r>
  <r>
    <x v="3"/>
    <x v="0"/>
    <x v="3"/>
    <x v="2"/>
    <x v="0"/>
    <x v="3"/>
    <x v="1"/>
    <x v="0"/>
    <x v="0"/>
  </r>
  <r>
    <x v="4"/>
    <x v="2"/>
    <x v="0"/>
    <x v="3"/>
    <x v="0"/>
    <x v="4"/>
    <x v="1"/>
    <x v="0"/>
    <x v="0"/>
  </r>
  <r>
    <x v="5"/>
    <x v="3"/>
    <x v="1"/>
    <x v="4"/>
    <x v="0"/>
    <x v="5"/>
    <x v="1"/>
    <x v="0"/>
    <x v="1"/>
  </r>
  <r>
    <x v="6"/>
    <x v="1"/>
    <x v="2"/>
    <x v="5"/>
    <x v="0"/>
    <x v="6"/>
    <x v="1"/>
    <x v="0"/>
    <x v="0"/>
  </r>
  <r>
    <x v="7"/>
    <x v="4"/>
    <x v="0"/>
    <x v="6"/>
    <x v="0"/>
    <x v="6"/>
    <x v="1"/>
    <x v="0"/>
    <x v="0"/>
  </r>
  <r>
    <x v="8"/>
    <x v="5"/>
    <x v="1"/>
    <x v="7"/>
    <x v="0"/>
    <x v="7"/>
    <x v="1"/>
    <x v="2"/>
    <x v="1"/>
  </r>
  <r>
    <x v="9"/>
    <x v="6"/>
    <x v="1"/>
    <x v="0"/>
    <x v="0"/>
    <x v="8"/>
    <x v="1"/>
    <x v="0"/>
    <x v="0"/>
  </r>
  <r>
    <x v="10"/>
    <x v="3"/>
    <x v="3"/>
    <x v="8"/>
    <x v="0"/>
    <x v="9"/>
    <x v="1"/>
    <x v="2"/>
    <x v="0"/>
  </r>
  <r>
    <x v="11"/>
    <x v="7"/>
    <x v="4"/>
    <x v="9"/>
    <x v="0"/>
    <x v="10"/>
    <x v="2"/>
    <x v="0"/>
    <x v="0"/>
  </r>
  <r>
    <x v="12"/>
    <x v="7"/>
    <x v="4"/>
    <x v="10"/>
    <x v="0"/>
    <x v="11"/>
    <x v="1"/>
    <x v="1"/>
    <x v="0"/>
  </r>
  <r>
    <x v="13"/>
    <x v="5"/>
    <x v="5"/>
    <x v="11"/>
    <x v="0"/>
    <x v="12"/>
    <x v="1"/>
    <x v="1"/>
    <x v="1"/>
  </r>
  <r>
    <x v="14"/>
    <x v="1"/>
    <x v="6"/>
    <x v="0"/>
    <x v="0"/>
    <x v="13"/>
    <x v="1"/>
    <x v="1"/>
    <x v="0"/>
  </r>
  <r>
    <x v="15"/>
    <x v="8"/>
    <x v="7"/>
    <x v="12"/>
    <x v="0"/>
    <x v="13"/>
    <x v="1"/>
    <x v="0"/>
    <x v="0"/>
  </r>
  <r>
    <x v="16"/>
    <x v="1"/>
    <x v="2"/>
    <x v="13"/>
    <x v="0"/>
    <x v="14"/>
    <x v="1"/>
    <x v="0"/>
    <x v="0"/>
  </r>
  <r>
    <x v="17"/>
    <x v="8"/>
    <x v="5"/>
    <x v="14"/>
    <x v="0"/>
    <x v="15"/>
    <x v="1"/>
    <x v="3"/>
    <x v="1"/>
  </r>
  <r>
    <x v="18"/>
    <x v="4"/>
    <x v="4"/>
    <x v="15"/>
    <x v="0"/>
    <x v="16"/>
    <x v="1"/>
    <x v="2"/>
    <x v="0"/>
  </r>
  <r>
    <x v="19"/>
    <x v="9"/>
    <x v="7"/>
    <x v="15"/>
    <x v="0"/>
    <x v="17"/>
    <x v="1"/>
    <x v="2"/>
    <x v="2"/>
  </r>
  <r>
    <x v="20"/>
    <x v="10"/>
    <x v="1"/>
    <x v="14"/>
    <x v="0"/>
    <x v="18"/>
    <x v="1"/>
    <x v="1"/>
    <x v="0"/>
  </r>
  <r>
    <x v="21"/>
    <x v="1"/>
    <x v="1"/>
    <x v="3"/>
    <x v="0"/>
    <x v="19"/>
    <x v="1"/>
    <x v="1"/>
    <x v="0"/>
  </r>
  <r>
    <x v="22"/>
    <x v="11"/>
    <x v="7"/>
    <x v="1"/>
    <x v="0"/>
    <x v="20"/>
    <x v="1"/>
    <x v="1"/>
    <x v="0"/>
  </r>
  <r>
    <x v="23"/>
    <x v="4"/>
    <x v="7"/>
    <x v="13"/>
    <x v="0"/>
    <x v="21"/>
    <x v="1"/>
    <x v="1"/>
    <x v="0"/>
  </r>
  <r>
    <x v="24"/>
    <x v="3"/>
    <x v="6"/>
    <x v="11"/>
    <x v="0"/>
    <x v="22"/>
    <x v="1"/>
    <x v="2"/>
    <x v="0"/>
  </r>
  <r>
    <x v="25"/>
    <x v="11"/>
    <x v="1"/>
    <x v="12"/>
    <x v="0"/>
    <x v="23"/>
    <x v="1"/>
    <x v="2"/>
    <x v="0"/>
  </r>
  <r>
    <x v="26"/>
    <x v="10"/>
    <x v="7"/>
    <x v="0"/>
    <x v="0"/>
    <x v="24"/>
    <x v="1"/>
    <x v="2"/>
    <x v="0"/>
  </r>
  <r>
    <x v="27"/>
    <x v="7"/>
    <x v="6"/>
    <x v="16"/>
    <x v="0"/>
    <x v="25"/>
    <x v="1"/>
    <x v="2"/>
    <x v="0"/>
  </r>
  <r>
    <x v="28"/>
    <x v="4"/>
    <x v="7"/>
    <x v="16"/>
    <x v="0"/>
    <x v="26"/>
    <x v="1"/>
    <x v="1"/>
    <x v="0"/>
  </r>
  <r>
    <x v="29"/>
    <x v="11"/>
    <x v="1"/>
    <x v="17"/>
    <x v="0"/>
    <x v="27"/>
    <x v="1"/>
    <x v="2"/>
    <x v="0"/>
  </r>
  <r>
    <x v="30"/>
    <x v="5"/>
    <x v="0"/>
    <x v="4"/>
    <x v="0"/>
    <x v="28"/>
    <x v="1"/>
    <x v="1"/>
    <x v="0"/>
  </r>
  <r>
    <x v="31"/>
    <x v="5"/>
    <x v="0"/>
    <x v="5"/>
    <x v="0"/>
    <x v="29"/>
    <x v="1"/>
    <x v="2"/>
    <x v="1"/>
  </r>
  <r>
    <x v="32"/>
    <x v="4"/>
    <x v="2"/>
    <x v="5"/>
    <x v="0"/>
    <x v="30"/>
    <x v="1"/>
    <x v="2"/>
    <x v="0"/>
  </r>
  <r>
    <x v="33"/>
    <x v="1"/>
    <x v="3"/>
    <x v="13"/>
    <x v="0"/>
    <x v="31"/>
    <x v="1"/>
    <x v="1"/>
    <x v="0"/>
  </r>
  <r>
    <x v="34"/>
    <x v="9"/>
    <x v="6"/>
    <x v="18"/>
    <x v="0"/>
    <x v="32"/>
    <x v="1"/>
    <x v="0"/>
    <x v="0"/>
  </r>
  <r>
    <x v="35"/>
    <x v="6"/>
    <x v="6"/>
    <x v="2"/>
    <x v="0"/>
    <x v="33"/>
    <x v="1"/>
    <x v="0"/>
    <x v="0"/>
  </r>
  <r>
    <x v="36"/>
    <x v="2"/>
    <x v="4"/>
    <x v="9"/>
    <x v="0"/>
    <x v="34"/>
    <x v="1"/>
    <x v="2"/>
    <x v="0"/>
  </r>
  <r>
    <x v="37"/>
    <x v="5"/>
    <x v="6"/>
    <x v="2"/>
    <x v="0"/>
    <x v="35"/>
    <x v="1"/>
    <x v="0"/>
    <x v="0"/>
  </r>
  <r>
    <x v="38"/>
    <x v="9"/>
    <x v="1"/>
    <x v="8"/>
    <x v="0"/>
    <x v="36"/>
    <x v="1"/>
    <x v="1"/>
    <x v="0"/>
  </r>
  <r>
    <x v="39"/>
    <x v="9"/>
    <x v="2"/>
    <x v="10"/>
    <x v="0"/>
    <x v="37"/>
    <x v="1"/>
    <x v="1"/>
    <x v="0"/>
  </r>
  <r>
    <x v="40"/>
    <x v="9"/>
    <x v="7"/>
    <x v="19"/>
    <x v="0"/>
    <x v="38"/>
    <x v="1"/>
    <x v="0"/>
    <x v="0"/>
  </r>
  <r>
    <x v="41"/>
    <x v="9"/>
    <x v="2"/>
    <x v="20"/>
    <x v="0"/>
    <x v="39"/>
    <x v="1"/>
    <x v="0"/>
    <x v="0"/>
  </r>
  <r>
    <x v="42"/>
    <x v="9"/>
    <x v="1"/>
    <x v="13"/>
    <x v="0"/>
    <x v="40"/>
    <x v="1"/>
    <x v="0"/>
    <x v="0"/>
  </r>
  <r>
    <x v="43"/>
    <x v="5"/>
    <x v="6"/>
    <x v="20"/>
    <x v="0"/>
    <x v="41"/>
    <x v="1"/>
    <x v="1"/>
    <x v="0"/>
  </r>
  <r>
    <x v="44"/>
    <x v="9"/>
    <x v="1"/>
    <x v="19"/>
    <x v="0"/>
    <x v="42"/>
    <x v="1"/>
    <x v="1"/>
    <x v="0"/>
  </r>
  <r>
    <x v="45"/>
    <x v="9"/>
    <x v="7"/>
    <x v="21"/>
    <x v="0"/>
    <x v="42"/>
    <x v="1"/>
    <x v="1"/>
    <x v="0"/>
  </r>
  <r>
    <x v="46"/>
    <x v="9"/>
    <x v="1"/>
    <x v="3"/>
    <x v="0"/>
    <x v="43"/>
    <x v="1"/>
    <x v="2"/>
    <x v="0"/>
  </r>
  <r>
    <x v="47"/>
    <x v="3"/>
    <x v="7"/>
    <x v="22"/>
    <x v="0"/>
    <x v="44"/>
    <x v="1"/>
    <x v="1"/>
    <x v="0"/>
  </r>
  <r>
    <x v="48"/>
    <x v="9"/>
    <x v="3"/>
    <x v="8"/>
    <x v="0"/>
    <x v="45"/>
    <x v="1"/>
    <x v="0"/>
    <x v="0"/>
  </r>
  <r>
    <x v="49"/>
    <x v="5"/>
    <x v="7"/>
    <x v="5"/>
    <x v="0"/>
    <x v="46"/>
    <x v="1"/>
    <x v="2"/>
    <x v="2"/>
  </r>
  <r>
    <x v="50"/>
    <x v="9"/>
    <x v="2"/>
    <x v="23"/>
    <x v="0"/>
    <x v="47"/>
    <x v="0"/>
    <x v="2"/>
    <x v="0"/>
  </r>
  <r>
    <x v="51"/>
    <x v="12"/>
    <x v="2"/>
    <x v="8"/>
    <x v="0"/>
    <x v="48"/>
    <x v="0"/>
    <x v="1"/>
    <x v="1"/>
  </r>
  <r>
    <x v="52"/>
    <x v="9"/>
    <x v="0"/>
    <x v="14"/>
    <x v="0"/>
    <x v="49"/>
    <x v="0"/>
    <x v="2"/>
    <x v="0"/>
  </r>
  <r>
    <x v="53"/>
    <x v="5"/>
    <x v="0"/>
    <x v="11"/>
    <x v="0"/>
    <x v="50"/>
    <x v="1"/>
    <x v="1"/>
    <x v="0"/>
  </r>
  <r>
    <x v="54"/>
    <x v="11"/>
    <x v="0"/>
    <x v="9"/>
    <x v="0"/>
    <x v="51"/>
    <x v="0"/>
    <x v="1"/>
    <x v="0"/>
  </r>
  <r>
    <x v="55"/>
    <x v="9"/>
    <x v="1"/>
    <x v="20"/>
    <x v="0"/>
    <x v="52"/>
    <x v="0"/>
    <x v="0"/>
    <x v="0"/>
  </r>
  <r>
    <x v="56"/>
    <x v="5"/>
    <x v="2"/>
    <x v="20"/>
    <x v="0"/>
    <x v="53"/>
    <x v="0"/>
    <x v="0"/>
    <x v="1"/>
  </r>
  <r>
    <x v="57"/>
    <x v="3"/>
    <x v="1"/>
    <x v="8"/>
    <x v="0"/>
    <x v="54"/>
    <x v="0"/>
    <x v="1"/>
    <x v="0"/>
  </r>
  <r>
    <x v="58"/>
    <x v="8"/>
    <x v="6"/>
    <x v="20"/>
    <x v="0"/>
    <x v="55"/>
    <x v="0"/>
    <x v="0"/>
    <x v="0"/>
  </r>
  <r>
    <x v="59"/>
    <x v="6"/>
    <x v="2"/>
    <x v="13"/>
    <x v="0"/>
    <x v="56"/>
    <x v="0"/>
    <x v="2"/>
    <x v="0"/>
  </r>
  <r>
    <x v="60"/>
    <x v="5"/>
    <x v="6"/>
    <x v="9"/>
    <x v="0"/>
    <x v="57"/>
    <x v="0"/>
    <x v="1"/>
    <x v="0"/>
  </r>
  <r>
    <x v="61"/>
    <x v="7"/>
    <x v="2"/>
    <x v="13"/>
    <x v="0"/>
    <x v="58"/>
    <x v="0"/>
    <x v="0"/>
    <x v="1"/>
  </r>
  <r>
    <x v="62"/>
    <x v="0"/>
    <x v="7"/>
    <x v="19"/>
    <x v="0"/>
    <x v="59"/>
    <x v="0"/>
    <x v="0"/>
    <x v="0"/>
  </r>
  <r>
    <x v="63"/>
    <x v="9"/>
    <x v="2"/>
    <x v="24"/>
    <x v="0"/>
    <x v="60"/>
    <x v="0"/>
    <x v="1"/>
    <x v="0"/>
  </r>
  <r>
    <x v="64"/>
    <x v="8"/>
    <x v="1"/>
    <x v="6"/>
    <x v="0"/>
    <x v="61"/>
    <x v="0"/>
    <x v="0"/>
    <x v="1"/>
  </r>
  <r>
    <x v="65"/>
    <x v="9"/>
    <x v="0"/>
    <x v="0"/>
    <x v="0"/>
    <x v="62"/>
    <x v="0"/>
    <x v="1"/>
    <x v="0"/>
  </r>
  <r>
    <x v="66"/>
    <x v="9"/>
    <x v="7"/>
    <x v="25"/>
    <x v="0"/>
    <x v="63"/>
    <x v="0"/>
    <x v="1"/>
    <x v="1"/>
  </r>
  <r>
    <x v="67"/>
    <x v="2"/>
    <x v="0"/>
    <x v="2"/>
    <x v="0"/>
    <x v="64"/>
    <x v="0"/>
    <x v="1"/>
    <x v="0"/>
  </r>
  <r>
    <x v="68"/>
    <x v="5"/>
    <x v="4"/>
    <x v="8"/>
    <x v="0"/>
    <x v="65"/>
    <x v="0"/>
    <x v="2"/>
    <x v="0"/>
  </r>
  <r>
    <x v="69"/>
    <x v="2"/>
    <x v="7"/>
    <x v="20"/>
    <x v="0"/>
    <x v="66"/>
    <x v="0"/>
    <x v="1"/>
    <x v="1"/>
  </r>
  <r>
    <x v="70"/>
    <x v="5"/>
    <x v="0"/>
    <x v="5"/>
    <x v="0"/>
    <x v="67"/>
    <x v="0"/>
    <x v="2"/>
    <x v="0"/>
  </r>
  <r>
    <x v="71"/>
    <x v="12"/>
    <x v="6"/>
    <x v="24"/>
    <x v="0"/>
    <x v="68"/>
    <x v="0"/>
    <x v="2"/>
    <x v="2"/>
  </r>
  <r>
    <x v="72"/>
    <x v="12"/>
    <x v="3"/>
    <x v="21"/>
    <x v="0"/>
    <x v="69"/>
    <x v="0"/>
    <x v="1"/>
    <x v="2"/>
  </r>
  <r>
    <x v="73"/>
    <x v="12"/>
    <x v="3"/>
    <x v="26"/>
    <x v="0"/>
    <x v="70"/>
    <x v="0"/>
    <x v="1"/>
    <x v="2"/>
  </r>
  <r>
    <x v="74"/>
    <x v="12"/>
    <x v="3"/>
    <x v="21"/>
    <x v="0"/>
    <x v="71"/>
    <x v="0"/>
    <x v="0"/>
    <x v="2"/>
  </r>
  <r>
    <x v="75"/>
    <x v="6"/>
    <x v="1"/>
    <x v="6"/>
    <x v="0"/>
    <x v="72"/>
    <x v="0"/>
    <x v="2"/>
    <x v="0"/>
  </r>
  <r>
    <x v="76"/>
    <x v="12"/>
    <x v="4"/>
    <x v="23"/>
    <x v="0"/>
    <x v="73"/>
    <x v="0"/>
    <x v="2"/>
    <x v="2"/>
  </r>
  <r>
    <x v="77"/>
    <x v="12"/>
    <x v="7"/>
    <x v="2"/>
    <x v="0"/>
    <x v="74"/>
    <x v="0"/>
    <x v="0"/>
    <x v="2"/>
  </r>
  <r>
    <x v="78"/>
    <x v="12"/>
    <x v="7"/>
    <x v="1"/>
    <x v="0"/>
    <x v="75"/>
    <x v="0"/>
    <x v="0"/>
    <x v="2"/>
  </r>
  <r>
    <x v="79"/>
    <x v="12"/>
    <x v="6"/>
    <x v="21"/>
    <x v="0"/>
    <x v="76"/>
    <x v="0"/>
    <x v="0"/>
    <x v="2"/>
  </r>
  <r>
    <x v="80"/>
    <x v="12"/>
    <x v="1"/>
    <x v="27"/>
    <x v="0"/>
    <x v="77"/>
    <x v="0"/>
    <x v="0"/>
    <x v="2"/>
  </r>
  <r>
    <x v="81"/>
    <x v="5"/>
    <x v="4"/>
    <x v="6"/>
    <x v="0"/>
    <x v="78"/>
    <x v="0"/>
    <x v="1"/>
    <x v="0"/>
  </r>
  <r>
    <x v="82"/>
    <x v="6"/>
    <x v="7"/>
    <x v="9"/>
    <x v="0"/>
    <x v="79"/>
    <x v="0"/>
    <x v="2"/>
    <x v="1"/>
  </r>
  <r>
    <x v="83"/>
    <x v="9"/>
    <x v="3"/>
    <x v="1"/>
    <x v="0"/>
    <x v="80"/>
    <x v="0"/>
    <x v="1"/>
    <x v="0"/>
  </r>
  <r>
    <x v="84"/>
    <x v="9"/>
    <x v="0"/>
    <x v="13"/>
    <x v="0"/>
    <x v="81"/>
    <x v="0"/>
    <x v="0"/>
    <x v="0"/>
  </r>
  <r>
    <x v="85"/>
    <x v="10"/>
    <x v="2"/>
    <x v="9"/>
    <x v="0"/>
    <x v="82"/>
    <x v="0"/>
    <x v="2"/>
    <x v="0"/>
  </r>
  <r>
    <x v="86"/>
    <x v="2"/>
    <x v="2"/>
    <x v="6"/>
    <x v="0"/>
    <x v="83"/>
    <x v="0"/>
    <x v="2"/>
    <x v="0"/>
  </r>
  <r>
    <x v="87"/>
    <x v="3"/>
    <x v="1"/>
    <x v="7"/>
    <x v="0"/>
    <x v="84"/>
    <x v="0"/>
    <x v="0"/>
    <x v="1"/>
  </r>
  <r>
    <x v="88"/>
    <x v="5"/>
    <x v="4"/>
    <x v="23"/>
    <x v="0"/>
    <x v="85"/>
    <x v="0"/>
    <x v="2"/>
    <x v="1"/>
  </r>
  <r>
    <x v="89"/>
    <x v="7"/>
    <x v="4"/>
    <x v="24"/>
    <x v="0"/>
    <x v="85"/>
    <x v="0"/>
    <x v="2"/>
    <x v="0"/>
  </r>
  <r>
    <x v="90"/>
    <x v="5"/>
    <x v="7"/>
    <x v="2"/>
    <x v="0"/>
    <x v="86"/>
    <x v="0"/>
    <x v="2"/>
    <x v="0"/>
  </r>
  <r>
    <x v="91"/>
    <x v="7"/>
    <x v="7"/>
    <x v="10"/>
    <x v="0"/>
    <x v="87"/>
    <x v="0"/>
    <x v="0"/>
    <x v="0"/>
  </r>
  <r>
    <x v="92"/>
    <x v="2"/>
    <x v="0"/>
    <x v="8"/>
    <x v="0"/>
    <x v="88"/>
    <x v="0"/>
    <x v="0"/>
    <x v="0"/>
  </r>
  <r>
    <x v="93"/>
    <x v="4"/>
    <x v="0"/>
    <x v="1"/>
    <x v="0"/>
    <x v="89"/>
    <x v="0"/>
    <x v="0"/>
    <x v="1"/>
  </r>
  <r>
    <x v="94"/>
    <x v="6"/>
    <x v="1"/>
    <x v="15"/>
    <x v="0"/>
    <x v="90"/>
    <x v="0"/>
    <x v="2"/>
    <x v="1"/>
  </r>
  <r>
    <x v="95"/>
    <x v="2"/>
    <x v="4"/>
    <x v="28"/>
    <x v="0"/>
    <x v="91"/>
    <x v="0"/>
    <x v="1"/>
    <x v="0"/>
  </r>
  <r>
    <x v="96"/>
    <x v="5"/>
    <x v="6"/>
    <x v="21"/>
    <x v="0"/>
    <x v="92"/>
    <x v="0"/>
    <x v="1"/>
    <x v="0"/>
  </r>
  <r>
    <x v="97"/>
    <x v="7"/>
    <x v="0"/>
    <x v="19"/>
    <x v="0"/>
    <x v="93"/>
    <x v="0"/>
    <x v="2"/>
    <x v="0"/>
  </r>
  <r>
    <x v="98"/>
    <x v="5"/>
    <x v="1"/>
    <x v="10"/>
    <x v="0"/>
    <x v="94"/>
    <x v="0"/>
    <x v="2"/>
    <x v="0"/>
  </r>
  <r>
    <x v="99"/>
    <x v="5"/>
    <x v="4"/>
    <x v="12"/>
    <x v="0"/>
    <x v="95"/>
    <x v="0"/>
    <x v="1"/>
    <x v="0"/>
  </r>
  <r>
    <x v="100"/>
    <x v="2"/>
    <x v="3"/>
    <x v="16"/>
    <x v="0"/>
    <x v="96"/>
    <x v="0"/>
    <x v="2"/>
    <x v="0"/>
  </r>
  <r>
    <x v="101"/>
    <x v="6"/>
    <x v="7"/>
    <x v="3"/>
    <x v="0"/>
    <x v="97"/>
    <x v="0"/>
    <x v="0"/>
    <x v="2"/>
  </r>
  <r>
    <x v="102"/>
    <x v="8"/>
    <x v="2"/>
    <x v="29"/>
    <x v="0"/>
    <x v="98"/>
    <x v="0"/>
    <x v="0"/>
    <x v="0"/>
  </r>
  <r>
    <x v="103"/>
    <x v="3"/>
    <x v="6"/>
    <x v="29"/>
    <x v="0"/>
    <x v="99"/>
    <x v="0"/>
    <x v="2"/>
    <x v="0"/>
  </r>
  <r>
    <x v="104"/>
    <x v="6"/>
    <x v="4"/>
    <x v="16"/>
    <x v="0"/>
    <x v="100"/>
    <x v="0"/>
    <x v="2"/>
    <x v="0"/>
  </r>
  <r>
    <x v="105"/>
    <x v="10"/>
    <x v="3"/>
    <x v="5"/>
    <x v="0"/>
    <x v="101"/>
    <x v="0"/>
    <x v="2"/>
    <x v="0"/>
  </r>
  <r>
    <x v="106"/>
    <x v="6"/>
    <x v="2"/>
    <x v="11"/>
    <x v="0"/>
    <x v="102"/>
    <x v="0"/>
    <x v="1"/>
    <x v="0"/>
  </r>
  <r>
    <x v="107"/>
    <x v="12"/>
    <x v="2"/>
    <x v="4"/>
    <x v="0"/>
    <x v="103"/>
    <x v="0"/>
    <x v="2"/>
    <x v="0"/>
  </r>
  <r>
    <x v="108"/>
    <x v="2"/>
    <x v="4"/>
    <x v="15"/>
    <x v="0"/>
    <x v="104"/>
    <x v="0"/>
    <x v="1"/>
    <x v="0"/>
  </r>
  <r>
    <x v="109"/>
    <x v="6"/>
    <x v="2"/>
    <x v="0"/>
    <x v="0"/>
    <x v="105"/>
    <x v="0"/>
    <x v="1"/>
    <x v="1"/>
  </r>
  <r>
    <x v="110"/>
    <x v="4"/>
    <x v="7"/>
    <x v="15"/>
    <x v="0"/>
    <x v="106"/>
    <x v="0"/>
    <x v="0"/>
    <x v="0"/>
  </r>
  <r>
    <x v="111"/>
    <x v="2"/>
    <x v="2"/>
    <x v="11"/>
    <x v="0"/>
    <x v="107"/>
    <x v="0"/>
    <x v="2"/>
    <x v="0"/>
  </r>
  <r>
    <x v="112"/>
    <x v="3"/>
    <x v="6"/>
    <x v="22"/>
    <x v="0"/>
    <x v="108"/>
    <x v="0"/>
    <x v="0"/>
    <x v="0"/>
  </r>
  <r>
    <x v="113"/>
    <x v="3"/>
    <x v="0"/>
    <x v="15"/>
    <x v="0"/>
    <x v="109"/>
    <x v="0"/>
    <x v="0"/>
    <x v="2"/>
  </r>
  <r>
    <x v="114"/>
    <x v="3"/>
    <x v="2"/>
    <x v="24"/>
    <x v="0"/>
    <x v="110"/>
    <x v="0"/>
    <x v="2"/>
    <x v="0"/>
  </r>
  <r>
    <x v="115"/>
    <x v="3"/>
    <x v="4"/>
    <x v="16"/>
    <x v="0"/>
    <x v="111"/>
    <x v="0"/>
    <x v="2"/>
    <x v="0"/>
  </r>
  <r>
    <x v="116"/>
    <x v="0"/>
    <x v="3"/>
    <x v="12"/>
    <x v="0"/>
    <x v="112"/>
    <x v="0"/>
    <x v="1"/>
    <x v="0"/>
  </r>
  <r>
    <x v="117"/>
    <x v="9"/>
    <x v="1"/>
    <x v="11"/>
    <x v="0"/>
    <x v="113"/>
    <x v="0"/>
    <x v="0"/>
    <x v="0"/>
  </r>
  <r>
    <x v="118"/>
    <x v="9"/>
    <x v="0"/>
    <x v="12"/>
    <x v="0"/>
    <x v="114"/>
    <x v="0"/>
    <x v="1"/>
    <x v="0"/>
  </r>
  <r>
    <x v="119"/>
    <x v="4"/>
    <x v="6"/>
    <x v="16"/>
    <x v="0"/>
    <x v="115"/>
    <x v="0"/>
    <x v="1"/>
    <x v="0"/>
  </r>
  <r>
    <x v="120"/>
    <x v="12"/>
    <x v="3"/>
    <x v="10"/>
    <x v="0"/>
    <x v="116"/>
    <x v="0"/>
    <x v="2"/>
    <x v="1"/>
  </r>
  <r>
    <x v="121"/>
    <x v="9"/>
    <x v="6"/>
    <x v="27"/>
    <x v="0"/>
    <x v="117"/>
    <x v="0"/>
    <x v="2"/>
    <x v="0"/>
  </r>
  <r>
    <x v="122"/>
    <x v="9"/>
    <x v="0"/>
    <x v="22"/>
    <x v="0"/>
    <x v="118"/>
    <x v="0"/>
    <x v="1"/>
    <x v="0"/>
  </r>
  <r>
    <x v="123"/>
    <x v="12"/>
    <x v="3"/>
    <x v="0"/>
    <x v="0"/>
    <x v="119"/>
    <x v="0"/>
    <x v="0"/>
    <x v="1"/>
  </r>
  <r>
    <x v="124"/>
    <x v="12"/>
    <x v="4"/>
    <x v="6"/>
    <x v="0"/>
    <x v="120"/>
    <x v="0"/>
    <x v="2"/>
    <x v="1"/>
  </r>
  <r>
    <x v="125"/>
    <x v="12"/>
    <x v="0"/>
    <x v="17"/>
    <x v="0"/>
    <x v="121"/>
    <x v="0"/>
    <x v="1"/>
    <x v="1"/>
  </r>
  <r>
    <x v="126"/>
    <x v="9"/>
    <x v="7"/>
    <x v="6"/>
    <x v="0"/>
    <x v="122"/>
    <x v="0"/>
    <x v="2"/>
    <x v="0"/>
  </r>
  <r>
    <x v="127"/>
    <x v="9"/>
    <x v="4"/>
    <x v="16"/>
    <x v="0"/>
    <x v="123"/>
    <x v="0"/>
    <x v="0"/>
    <x v="0"/>
  </r>
  <r>
    <x v="128"/>
    <x v="9"/>
    <x v="0"/>
    <x v="0"/>
    <x v="0"/>
    <x v="124"/>
    <x v="0"/>
    <x v="1"/>
    <x v="0"/>
  </r>
  <r>
    <x v="129"/>
    <x v="12"/>
    <x v="7"/>
    <x v="28"/>
    <x v="0"/>
    <x v="125"/>
    <x v="0"/>
    <x v="2"/>
    <x v="1"/>
  </r>
  <r>
    <x v="130"/>
    <x v="12"/>
    <x v="3"/>
    <x v="25"/>
    <x v="0"/>
    <x v="126"/>
    <x v="0"/>
    <x v="2"/>
    <x v="1"/>
  </r>
  <r>
    <x v="131"/>
    <x v="9"/>
    <x v="4"/>
    <x v="2"/>
    <x v="0"/>
    <x v="127"/>
    <x v="0"/>
    <x v="2"/>
    <x v="0"/>
  </r>
  <r>
    <x v="132"/>
    <x v="9"/>
    <x v="6"/>
    <x v="26"/>
    <x v="0"/>
    <x v="128"/>
    <x v="0"/>
    <x v="1"/>
    <x v="0"/>
  </r>
  <r>
    <x v="133"/>
    <x v="9"/>
    <x v="2"/>
    <x v="2"/>
    <x v="0"/>
    <x v="129"/>
    <x v="0"/>
    <x v="2"/>
    <x v="0"/>
  </r>
  <r>
    <x v="134"/>
    <x v="12"/>
    <x v="4"/>
    <x v="1"/>
    <x v="0"/>
    <x v="130"/>
    <x v="0"/>
    <x v="0"/>
    <x v="1"/>
  </r>
  <r>
    <x v="135"/>
    <x v="12"/>
    <x v="3"/>
    <x v="25"/>
    <x v="0"/>
    <x v="131"/>
    <x v="0"/>
    <x v="2"/>
    <x v="1"/>
  </r>
  <r>
    <x v="136"/>
    <x v="12"/>
    <x v="6"/>
    <x v="27"/>
    <x v="0"/>
    <x v="131"/>
    <x v="0"/>
    <x v="2"/>
    <x v="1"/>
  </r>
  <r>
    <x v="137"/>
    <x v="12"/>
    <x v="4"/>
    <x v="1"/>
    <x v="0"/>
    <x v="132"/>
    <x v="0"/>
    <x v="1"/>
    <x v="1"/>
  </r>
  <r>
    <x v="138"/>
    <x v="10"/>
    <x v="7"/>
    <x v="29"/>
    <x v="0"/>
    <x v="133"/>
    <x v="0"/>
    <x v="2"/>
    <x v="0"/>
  </r>
  <r>
    <x v="139"/>
    <x v="10"/>
    <x v="2"/>
    <x v="23"/>
    <x v="0"/>
    <x v="134"/>
    <x v="0"/>
    <x v="2"/>
    <x v="0"/>
  </r>
  <r>
    <x v="140"/>
    <x v="10"/>
    <x v="7"/>
    <x v="27"/>
    <x v="0"/>
    <x v="135"/>
    <x v="0"/>
    <x v="2"/>
    <x v="2"/>
  </r>
  <r>
    <x v="141"/>
    <x v="9"/>
    <x v="1"/>
    <x v="17"/>
    <x v="0"/>
    <x v="136"/>
    <x v="0"/>
    <x v="2"/>
    <x v="3"/>
  </r>
  <r>
    <x v="142"/>
    <x v="9"/>
    <x v="4"/>
    <x v="23"/>
    <x v="0"/>
    <x v="137"/>
    <x v="0"/>
    <x v="0"/>
    <x v="4"/>
  </r>
  <r>
    <x v="143"/>
    <x v="9"/>
    <x v="1"/>
    <x v="15"/>
    <x v="0"/>
    <x v="138"/>
    <x v="0"/>
    <x v="1"/>
    <x v="5"/>
  </r>
  <r>
    <x v="144"/>
    <x v="9"/>
    <x v="4"/>
    <x v="10"/>
    <x v="0"/>
    <x v="139"/>
    <x v="0"/>
    <x v="0"/>
    <x v="6"/>
  </r>
  <r>
    <x v="145"/>
    <x v="9"/>
    <x v="4"/>
    <x v="19"/>
    <x v="0"/>
    <x v="140"/>
    <x v="0"/>
    <x v="2"/>
    <x v="3"/>
  </r>
  <r>
    <x v="146"/>
    <x v="9"/>
    <x v="7"/>
    <x v="17"/>
    <x v="0"/>
    <x v="141"/>
    <x v="1"/>
    <x v="2"/>
    <x v="5"/>
  </r>
  <r>
    <x v="147"/>
    <x v="9"/>
    <x v="4"/>
    <x v="8"/>
    <x v="0"/>
    <x v="142"/>
    <x v="1"/>
    <x v="1"/>
    <x v="4"/>
  </r>
  <r>
    <x v="148"/>
    <x v="9"/>
    <x v="3"/>
    <x v="11"/>
    <x v="1"/>
    <x v="143"/>
    <x v="1"/>
    <x v="0"/>
    <x v="0"/>
  </r>
  <r>
    <x v="149"/>
    <x v="9"/>
    <x v="3"/>
    <x v="27"/>
    <x v="0"/>
    <x v="144"/>
    <x v="1"/>
    <x v="1"/>
    <x v="5"/>
  </r>
  <r>
    <x v="150"/>
    <x v="9"/>
    <x v="2"/>
    <x v="23"/>
    <x v="1"/>
    <x v="145"/>
    <x v="1"/>
    <x v="0"/>
    <x v="0"/>
  </r>
  <r>
    <x v="151"/>
    <x v="9"/>
    <x v="3"/>
    <x v="20"/>
    <x v="1"/>
    <x v="146"/>
    <x v="1"/>
    <x v="0"/>
    <x v="0"/>
  </r>
  <r>
    <x v="152"/>
    <x v="9"/>
    <x v="7"/>
    <x v="27"/>
    <x v="1"/>
    <x v="147"/>
    <x v="1"/>
    <x v="2"/>
    <x v="0"/>
  </r>
  <r>
    <x v="153"/>
    <x v="9"/>
    <x v="3"/>
    <x v="0"/>
    <x v="1"/>
    <x v="148"/>
    <x v="1"/>
    <x v="1"/>
    <x v="0"/>
  </r>
  <r>
    <x v="154"/>
    <x v="12"/>
    <x v="1"/>
    <x v="27"/>
    <x v="0"/>
    <x v="149"/>
    <x v="1"/>
    <x v="0"/>
    <x v="2"/>
  </r>
  <r>
    <x v="155"/>
    <x v="12"/>
    <x v="3"/>
    <x v="5"/>
    <x v="0"/>
    <x v="150"/>
    <x v="1"/>
    <x v="2"/>
    <x v="2"/>
  </r>
  <r>
    <x v="156"/>
    <x v="12"/>
    <x v="1"/>
    <x v="0"/>
    <x v="0"/>
    <x v="151"/>
    <x v="1"/>
    <x v="2"/>
    <x v="2"/>
  </r>
  <r>
    <x v="157"/>
    <x v="12"/>
    <x v="1"/>
    <x v="10"/>
    <x v="0"/>
    <x v="152"/>
    <x v="1"/>
    <x v="2"/>
    <x v="2"/>
  </r>
  <r>
    <x v="158"/>
    <x v="12"/>
    <x v="0"/>
    <x v="22"/>
    <x v="0"/>
    <x v="153"/>
    <x v="1"/>
    <x v="1"/>
    <x v="2"/>
  </r>
  <r>
    <x v="159"/>
    <x v="12"/>
    <x v="0"/>
    <x v="13"/>
    <x v="0"/>
    <x v="154"/>
    <x v="1"/>
    <x v="1"/>
    <x v="2"/>
  </r>
  <r>
    <x v="160"/>
    <x v="12"/>
    <x v="3"/>
    <x v="9"/>
    <x v="0"/>
    <x v="155"/>
    <x v="1"/>
    <x v="1"/>
    <x v="2"/>
  </r>
  <r>
    <x v="161"/>
    <x v="2"/>
    <x v="7"/>
    <x v="15"/>
    <x v="0"/>
    <x v="156"/>
    <x v="1"/>
    <x v="0"/>
    <x v="0"/>
  </r>
  <r>
    <x v="162"/>
    <x v="12"/>
    <x v="1"/>
    <x v="11"/>
    <x v="0"/>
    <x v="157"/>
    <x v="1"/>
    <x v="1"/>
    <x v="2"/>
  </r>
  <r>
    <x v="163"/>
    <x v="5"/>
    <x v="4"/>
    <x v="2"/>
    <x v="0"/>
    <x v="158"/>
    <x v="1"/>
    <x v="0"/>
    <x v="1"/>
  </r>
  <r>
    <x v="164"/>
    <x v="7"/>
    <x v="3"/>
    <x v="22"/>
    <x v="0"/>
    <x v="159"/>
    <x v="1"/>
    <x v="0"/>
    <x v="0"/>
  </r>
  <r>
    <x v="165"/>
    <x v="9"/>
    <x v="6"/>
    <x v="11"/>
    <x v="0"/>
    <x v="160"/>
    <x v="1"/>
    <x v="1"/>
    <x v="1"/>
  </r>
  <r>
    <x v="166"/>
    <x v="7"/>
    <x v="1"/>
    <x v="17"/>
    <x v="0"/>
    <x v="161"/>
    <x v="1"/>
    <x v="0"/>
    <x v="0"/>
  </r>
  <r>
    <x v="167"/>
    <x v="7"/>
    <x v="7"/>
    <x v="5"/>
    <x v="0"/>
    <x v="162"/>
    <x v="1"/>
    <x v="2"/>
    <x v="2"/>
  </r>
  <r>
    <x v="168"/>
    <x v="12"/>
    <x v="6"/>
    <x v="20"/>
    <x v="1"/>
    <x v="163"/>
    <x v="1"/>
    <x v="0"/>
    <x v="2"/>
  </r>
  <r>
    <x v="169"/>
    <x v="12"/>
    <x v="6"/>
    <x v="6"/>
    <x v="1"/>
    <x v="164"/>
    <x v="1"/>
    <x v="2"/>
    <x v="2"/>
  </r>
  <r>
    <x v="170"/>
    <x v="7"/>
    <x v="4"/>
    <x v="8"/>
    <x v="0"/>
    <x v="165"/>
    <x v="1"/>
    <x v="2"/>
    <x v="0"/>
  </r>
  <r>
    <x v="171"/>
    <x v="12"/>
    <x v="0"/>
    <x v="4"/>
    <x v="1"/>
    <x v="166"/>
    <x v="1"/>
    <x v="2"/>
    <x v="2"/>
  </r>
  <r>
    <x v="172"/>
    <x v="11"/>
    <x v="4"/>
    <x v="19"/>
    <x v="0"/>
    <x v="167"/>
    <x v="1"/>
    <x v="2"/>
    <x v="1"/>
  </r>
  <r>
    <x v="173"/>
    <x v="9"/>
    <x v="4"/>
    <x v="3"/>
    <x v="0"/>
    <x v="168"/>
    <x v="1"/>
    <x v="1"/>
    <x v="7"/>
  </r>
  <r>
    <x v="174"/>
    <x v="8"/>
    <x v="0"/>
    <x v="24"/>
    <x v="0"/>
    <x v="169"/>
    <x v="1"/>
    <x v="0"/>
    <x v="1"/>
  </r>
  <r>
    <x v="175"/>
    <x v="5"/>
    <x v="3"/>
    <x v="12"/>
    <x v="0"/>
    <x v="170"/>
    <x v="1"/>
    <x v="2"/>
    <x v="2"/>
  </r>
  <r>
    <x v="176"/>
    <x v="5"/>
    <x v="7"/>
    <x v="7"/>
    <x v="0"/>
    <x v="171"/>
    <x v="1"/>
    <x v="1"/>
    <x v="0"/>
  </r>
  <r>
    <x v="177"/>
    <x v="5"/>
    <x v="6"/>
    <x v="7"/>
    <x v="0"/>
    <x v="172"/>
    <x v="1"/>
    <x v="2"/>
    <x v="0"/>
  </r>
  <r>
    <x v="178"/>
    <x v="5"/>
    <x v="6"/>
    <x v="27"/>
    <x v="0"/>
    <x v="173"/>
    <x v="1"/>
    <x v="1"/>
    <x v="2"/>
  </r>
  <r>
    <x v="179"/>
    <x v="3"/>
    <x v="6"/>
    <x v="23"/>
    <x v="0"/>
    <x v="174"/>
    <x v="1"/>
    <x v="1"/>
    <x v="1"/>
  </r>
  <r>
    <x v="180"/>
    <x v="11"/>
    <x v="7"/>
    <x v="19"/>
    <x v="0"/>
    <x v="175"/>
    <x v="1"/>
    <x v="0"/>
    <x v="0"/>
  </r>
  <r>
    <x v="181"/>
    <x v="3"/>
    <x v="6"/>
    <x v="28"/>
    <x v="0"/>
    <x v="176"/>
    <x v="1"/>
    <x v="0"/>
    <x v="1"/>
  </r>
  <r>
    <x v="182"/>
    <x v="3"/>
    <x v="4"/>
    <x v="0"/>
    <x v="0"/>
    <x v="177"/>
    <x v="1"/>
    <x v="2"/>
    <x v="1"/>
  </r>
  <r>
    <x v="183"/>
    <x v="5"/>
    <x v="3"/>
    <x v="15"/>
    <x v="1"/>
    <x v="178"/>
    <x v="1"/>
    <x v="1"/>
    <x v="2"/>
  </r>
  <r>
    <x v="184"/>
    <x v="5"/>
    <x v="0"/>
    <x v="7"/>
    <x v="0"/>
    <x v="179"/>
    <x v="1"/>
    <x v="2"/>
    <x v="5"/>
  </r>
  <r>
    <x v="185"/>
    <x v="2"/>
    <x v="3"/>
    <x v="13"/>
    <x v="0"/>
    <x v="180"/>
    <x v="1"/>
    <x v="0"/>
    <x v="2"/>
  </r>
  <r>
    <x v="186"/>
    <x v="2"/>
    <x v="7"/>
    <x v="16"/>
    <x v="0"/>
    <x v="181"/>
    <x v="1"/>
    <x v="1"/>
    <x v="2"/>
  </r>
  <r>
    <x v="187"/>
    <x v="2"/>
    <x v="3"/>
    <x v="7"/>
    <x v="0"/>
    <x v="182"/>
    <x v="1"/>
    <x v="1"/>
    <x v="2"/>
  </r>
  <r>
    <x v="188"/>
    <x v="5"/>
    <x v="0"/>
    <x v="25"/>
    <x v="1"/>
    <x v="183"/>
    <x v="1"/>
    <x v="0"/>
    <x v="2"/>
  </r>
  <r>
    <x v="189"/>
    <x v="2"/>
    <x v="4"/>
    <x v="7"/>
    <x v="0"/>
    <x v="184"/>
    <x v="1"/>
    <x v="1"/>
    <x v="0"/>
  </r>
  <r>
    <x v="190"/>
    <x v="5"/>
    <x v="3"/>
    <x v="7"/>
    <x v="0"/>
    <x v="185"/>
    <x v="1"/>
    <x v="0"/>
    <x v="5"/>
  </r>
  <r>
    <x v="191"/>
    <x v="2"/>
    <x v="3"/>
    <x v="10"/>
    <x v="0"/>
    <x v="186"/>
    <x v="1"/>
    <x v="2"/>
    <x v="0"/>
  </r>
  <r>
    <x v="192"/>
    <x v="3"/>
    <x v="6"/>
    <x v="10"/>
    <x v="0"/>
    <x v="187"/>
    <x v="1"/>
    <x v="2"/>
    <x v="2"/>
  </r>
  <r>
    <x v="193"/>
    <x v="3"/>
    <x v="0"/>
    <x v="5"/>
    <x v="0"/>
    <x v="188"/>
    <x v="1"/>
    <x v="1"/>
    <x v="2"/>
  </r>
  <r>
    <x v="194"/>
    <x v="3"/>
    <x v="3"/>
    <x v="19"/>
    <x v="0"/>
    <x v="189"/>
    <x v="1"/>
    <x v="2"/>
    <x v="0"/>
  </r>
  <r>
    <x v="195"/>
    <x v="3"/>
    <x v="6"/>
    <x v="6"/>
    <x v="0"/>
    <x v="190"/>
    <x v="1"/>
    <x v="2"/>
    <x v="0"/>
  </r>
  <r>
    <x v="196"/>
    <x v="10"/>
    <x v="3"/>
    <x v="24"/>
    <x v="0"/>
    <x v="191"/>
    <x v="1"/>
    <x v="0"/>
    <x v="1"/>
  </r>
  <r>
    <x v="197"/>
    <x v="10"/>
    <x v="0"/>
    <x v="9"/>
    <x v="0"/>
    <x v="192"/>
    <x v="1"/>
    <x v="0"/>
    <x v="1"/>
  </r>
  <r>
    <x v="198"/>
    <x v="9"/>
    <x v="2"/>
    <x v="8"/>
    <x v="0"/>
    <x v="193"/>
    <x v="1"/>
    <x v="2"/>
    <x v="7"/>
  </r>
  <r>
    <x v="199"/>
    <x v="3"/>
    <x v="6"/>
    <x v="10"/>
    <x v="0"/>
    <x v="194"/>
    <x v="1"/>
    <x v="2"/>
    <x v="4"/>
  </r>
  <r>
    <x v="200"/>
    <x v="3"/>
    <x v="2"/>
    <x v="12"/>
    <x v="1"/>
    <x v="195"/>
    <x v="1"/>
    <x v="2"/>
    <x v="2"/>
  </r>
  <r>
    <x v="201"/>
    <x v="3"/>
    <x v="1"/>
    <x v="13"/>
    <x v="0"/>
    <x v="196"/>
    <x v="0"/>
    <x v="1"/>
    <x v="5"/>
  </r>
  <r>
    <x v="202"/>
    <x v="13"/>
    <x v="0"/>
    <x v="27"/>
    <x v="2"/>
    <x v="197"/>
    <x v="0"/>
    <x v="2"/>
    <x v="0"/>
  </r>
  <r>
    <x v="203"/>
    <x v="12"/>
    <x v="3"/>
    <x v="1"/>
    <x v="0"/>
    <x v="198"/>
    <x v="0"/>
    <x v="0"/>
    <x v="1"/>
  </r>
  <r>
    <x v="204"/>
    <x v="9"/>
    <x v="1"/>
    <x v="6"/>
    <x v="0"/>
    <x v="199"/>
    <x v="0"/>
    <x v="1"/>
    <x v="1"/>
  </r>
  <r>
    <x v="205"/>
    <x v="12"/>
    <x v="6"/>
    <x v="1"/>
    <x v="0"/>
    <x v="200"/>
    <x v="0"/>
    <x v="1"/>
    <x v="1"/>
  </r>
  <r>
    <x v="206"/>
    <x v="12"/>
    <x v="4"/>
    <x v="12"/>
    <x v="0"/>
    <x v="201"/>
    <x v="0"/>
    <x v="0"/>
    <x v="1"/>
  </r>
  <r>
    <x v="207"/>
    <x v="12"/>
    <x v="3"/>
    <x v="5"/>
    <x v="0"/>
    <x v="202"/>
    <x v="0"/>
    <x v="0"/>
    <x v="1"/>
  </r>
  <r>
    <x v="208"/>
    <x v="12"/>
    <x v="3"/>
    <x v="9"/>
    <x v="0"/>
    <x v="203"/>
    <x v="0"/>
    <x v="2"/>
    <x v="1"/>
  </r>
  <r>
    <x v="209"/>
    <x v="6"/>
    <x v="3"/>
    <x v="28"/>
    <x v="0"/>
    <x v="204"/>
    <x v="1"/>
    <x v="1"/>
    <x v="0"/>
  </r>
  <r>
    <x v="210"/>
    <x v="12"/>
    <x v="6"/>
    <x v="11"/>
    <x v="0"/>
    <x v="205"/>
    <x v="0"/>
    <x v="1"/>
    <x v="1"/>
  </r>
  <r>
    <x v="211"/>
    <x v="9"/>
    <x v="7"/>
    <x v="6"/>
    <x v="0"/>
    <x v="206"/>
    <x v="0"/>
    <x v="1"/>
    <x v="2"/>
  </r>
  <r>
    <x v="212"/>
    <x v="10"/>
    <x v="4"/>
    <x v="3"/>
    <x v="0"/>
    <x v="207"/>
    <x v="0"/>
    <x v="0"/>
    <x v="2"/>
  </r>
  <r>
    <x v="213"/>
    <x v="10"/>
    <x v="7"/>
    <x v="12"/>
    <x v="0"/>
    <x v="208"/>
    <x v="0"/>
    <x v="2"/>
    <x v="2"/>
  </r>
  <r>
    <x v="214"/>
    <x v="10"/>
    <x v="1"/>
    <x v="7"/>
    <x v="0"/>
    <x v="209"/>
    <x v="0"/>
    <x v="0"/>
    <x v="0"/>
  </r>
  <r>
    <x v="215"/>
    <x v="10"/>
    <x v="4"/>
    <x v="23"/>
    <x v="0"/>
    <x v="210"/>
    <x v="0"/>
    <x v="2"/>
    <x v="0"/>
  </r>
  <r>
    <x v="216"/>
    <x v="10"/>
    <x v="6"/>
    <x v="29"/>
    <x v="0"/>
    <x v="211"/>
    <x v="0"/>
    <x v="2"/>
    <x v="2"/>
  </r>
  <r>
    <x v="217"/>
    <x v="11"/>
    <x v="3"/>
    <x v="3"/>
    <x v="0"/>
    <x v="212"/>
    <x v="0"/>
    <x v="2"/>
    <x v="0"/>
  </r>
  <r>
    <x v="218"/>
    <x v="14"/>
    <x v="4"/>
    <x v="25"/>
    <x v="2"/>
    <x v="213"/>
    <x v="0"/>
    <x v="2"/>
    <x v="1"/>
  </r>
  <r>
    <x v="219"/>
    <x v="9"/>
    <x v="4"/>
    <x v="15"/>
    <x v="0"/>
    <x v="214"/>
    <x v="0"/>
    <x v="0"/>
    <x v="8"/>
  </r>
  <r>
    <x v="220"/>
    <x v="9"/>
    <x v="3"/>
    <x v="28"/>
    <x v="0"/>
    <x v="215"/>
    <x v="0"/>
    <x v="1"/>
    <x v="9"/>
  </r>
  <r>
    <x v="221"/>
    <x v="9"/>
    <x v="3"/>
    <x v="8"/>
    <x v="0"/>
    <x v="216"/>
    <x v="0"/>
    <x v="2"/>
    <x v="8"/>
  </r>
  <r>
    <x v="222"/>
    <x v="9"/>
    <x v="0"/>
    <x v="3"/>
    <x v="1"/>
    <x v="217"/>
    <x v="0"/>
    <x v="0"/>
    <x v="0"/>
  </r>
  <r>
    <x v="223"/>
    <x v="9"/>
    <x v="6"/>
    <x v="19"/>
    <x v="0"/>
    <x v="218"/>
    <x v="0"/>
    <x v="2"/>
    <x v="8"/>
  </r>
  <r>
    <x v="224"/>
    <x v="9"/>
    <x v="7"/>
    <x v="13"/>
    <x v="0"/>
    <x v="219"/>
    <x v="0"/>
    <x v="2"/>
    <x v="8"/>
  </r>
  <r>
    <x v="225"/>
    <x v="9"/>
    <x v="1"/>
    <x v="2"/>
    <x v="0"/>
    <x v="220"/>
    <x v="0"/>
    <x v="0"/>
    <x v="8"/>
  </r>
  <r>
    <x v="226"/>
    <x v="9"/>
    <x v="6"/>
    <x v="19"/>
    <x v="0"/>
    <x v="221"/>
    <x v="0"/>
    <x v="2"/>
    <x v="8"/>
  </r>
  <r>
    <x v="227"/>
    <x v="9"/>
    <x v="0"/>
    <x v="3"/>
    <x v="0"/>
    <x v="222"/>
    <x v="0"/>
    <x v="2"/>
    <x v="8"/>
  </r>
  <r>
    <x v="228"/>
    <x v="11"/>
    <x v="1"/>
    <x v="17"/>
    <x v="0"/>
    <x v="223"/>
    <x v="0"/>
    <x v="2"/>
    <x v="0"/>
  </r>
  <r>
    <x v="229"/>
    <x v="9"/>
    <x v="2"/>
    <x v="2"/>
    <x v="0"/>
    <x v="224"/>
    <x v="0"/>
    <x v="1"/>
    <x v="8"/>
  </r>
  <r>
    <x v="230"/>
    <x v="9"/>
    <x v="3"/>
    <x v="22"/>
    <x v="0"/>
    <x v="225"/>
    <x v="0"/>
    <x v="1"/>
    <x v="8"/>
  </r>
  <r>
    <x v="231"/>
    <x v="9"/>
    <x v="4"/>
    <x v="8"/>
    <x v="1"/>
    <x v="226"/>
    <x v="0"/>
    <x v="1"/>
    <x v="0"/>
  </r>
  <r>
    <x v="232"/>
    <x v="12"/>
    <x v="4"/>
    <x v="23"/>
    <x v="1"/>
    <x v="227"/>
    <x v="0"/>
    <x v="0"/>
    <x v="1"/>
  </r>
  <r>
    <x v="233"/>
    <x v="10"/>
    <x v="2"/>
    <x v="1"/>
    <x v="0"/>
    <x v="228"/>
    <x v="0"/>
    <x v="2"/>
    <x v="6"/>
  </r>
  <r>
    <x v="234"/>
    <x v="10"/>
    <x v="4"/>
    <x v="20"/>
    <x v="0"/>
    <x v="229"/>
    <x v="0"/>
    <x v="0"/>
    <x v="5"/>
  </r>
  <r>
    <x v="235"/>
    <x v="5"/>
    <x v="0"/>
    <x v="21"/>
    <x v="0"/>
    <x v="230"/>
    <x v="0"/>
    <x v="1"/>
    <x v="1"/>
  </r>
  <r>
    <x v="236"/>
    <x v="5"/>
    <x v="1"/>
    <x v="8"/>
    <x v="0"/>
    <x v="231"/>
    <x v="0"/>
    <x v="1"/>
    <x v="1"/>
  </r>
  <r>
    <x v="237"/>
    <x v="14"/>
    <x v="2"/>
    <x v="25"/>
    <x v="2"/>
    <x v="232"/>
    <x v="0"/>
    <x v="1"/>
    <x v="0"/>
  </r>
  <r>
    <x v="238"/>
    <x v="13"/>
    <x v="7"/>
    <x v="16"/>
    <x v="2"/>
    <x v="233"/>
    <x v="0"/>
    <x v="1"/>
    <x v="0"/>
  </r>
  <r>
    <x v="239"/>
    <x v="8"/>
    <x v="1"/>
    <x v="13"/>
    <x v="0"/>
    <x v="234"/>
    <x v="3"/>
    <x v="2"/>
    <x v="2"/>
  </r>
  <r>
    <x v="240"/>
    <x v="9"/>
    <x v="3"/>
    <x v="19"/>
    <x v="3"/>
    <x v="235"/>
    <x v="0"/>
    <x v="0"/>
    <x v="0"/>
  </r>
  <r>
    <x v="241"/>
    <x v="8"/>
    <x v="4"/>
    <x v="17"/>
    <x v="0"/>
    <x v="236"/>
    <x v="0"/>
    <x v="1"/>
    <x v="0"/>
  </r>
  <r>
    <x v="242"/>
    <x v="12"/>
    <x v="1"/>
    <x v="14"/>
    <x v="1"/>
    <x v="237"/>
    <x v="0"/>
    <x v="0"/>
    <x v="2"/>
  </r>
  <r>
    <x v="243"/>
    <x v="2"/>
    <x v="7"/>
    <x v="27"/>
    <x v="0"/>
    <x v="238"/>
    <x v="1"/>
    <x v="0"/>
    <x v="1"/>
  </r>
  <r>
    <x v="244"/>
    <x v="5"/>
    <x v="1"/>
    <x v="16"/>
    <x v="1"/>
    <x v="239"/>
    <x v="0"/>
    <x v="1"/>
    <x v="1"/>
  </r>
  <r>
    <x v="245"/>
    <x v="15"/>
    <x v="4"/>
    <x v="8"/>
    <x v="2"/>
    <x v="240"/>
    <x v="0"/>
    <x v="2"/>
    <x v="0"/>
  </r>
  <r>
    <x v="246"/>
    <x v="7"/>
    <x v="4"/>
    <x v="17"/>
    <x v="0"/>
    <x v="241"/>
    <x v="0"/>
    <x v="1"/>
    <x v="10"/>
  </r>
  <r>
    <x v="247"/>
    <x v="7"/>
    <x v="6"/>
    <x v="23"/>
    <x v="0"/>
    <x v="242"/>
    <x v="0"/>
    <x v="1"/>
    <x v="4"/>
  </r>
  <r>
    <x v="248"/>
    <x v="3"/>
    <x v="2"/>
    <x v="28"/>
    <x v="0"/>
    <x v="243"/>
    <x v="0"/>
    <x v="0"/>
    <x v="1"/>
  </r>
  <r>
    <x v="249"/>
    <x v="7"/>
    <x v="1"/>
    <x v="8"/>
    <x v="1"/>
    <x v="244"/>
    <x v="0"/>
    <x v="2"/>
    <x v="2"/>
  </r>
  <r>
    <x v="250"/>
    <x v="7"/>
    <x v="1"/>
    <x v="27"/>
    <x v="1"/>
    <x v="245"/>
    <x v="0"/>
    <x v="2"/>
    <x v="0"/>
  </r>
  <r>
    <x v="251"/>
    <x v="5"/>
    <x v="0"/>
    <x v="7"/>
    <x v="0"/>
    <x v="246"/>
    <x v="0"/>
    <x v="1"/>
    <x v="8"/>
  </r>
  <r>
    <x v="252"/>
    <x v="2"/>
    <x v="1"/>
    <x v="11"/>
    <x v="0"/>
    <x v="247"/>
    <x v="0"/>
    <x v="1"/>
    <x v="2"/>
  </r>
  <r>
    <x v="253"/>
    <x v="5"/>
    <x v="0"/>
    <x v="20"/>
    <x v="0"/>
    <x v="248"/>
    <x v="0"/>
    <x v="2"/>
    <x v="8"/>
  </r>
  <r>
    <x v="254"/>
    <x v="2"/>
    <x v="6"/>
    <x v="17"/>
    <x v="0"/>
    <x v="249"/>
    <x v="0"/>
    <x v="0"/>
    <x v="0"/>
  </r>
  <r>
    <x v="255"/>
    <x v="2"/>
    <x v="0"/>
    <x v="24"/>
    <x v="0"/>
    <x v="250"/>
    <x v="0"/>
    <x v="0"/>
    <x v="0"/>
  </r>
  <r>
    <x v="256"/>
    <x v="2"/>
    <x v="2"/>
    <x v="4"/>
    <x v="0"/>
    <x v="251"/>
    <x v="0"/>
    <x v="2"/>
    <x v="0"/>
  </r>
  <r>
    <x v="257"/>
    <x v="4"/>
    <x v="1"/>
    <x v="19"/>
    <x v="0"/>
    <x v="252"/>
    <x v="1"/>
    <x v="2"/>
    <x v="0"/>
  </r>
  <r>
    <x v="258"/>
    <x v="4"/>
    <x v="7"/>
    <x v="10"/>
    <x v="0"/>
    <x v="253"/>
    <x v="1"/>
    <x v="1"/>
    <x v="2"/>
  </r>
  <r>
    <x v="259"/>
    <x v="4"/>
    <x v="0"/>
    <x v="0"/>
    <x v="0"/>
    <x v="254"/>
    <x v="1"/>
    <x v="0"/>
    <x v="0"/>
  </r>
  <r>
    <x v="260"/>
    <x v="4"/>
    <x v="7"/>
    <x v="21"/>
    <x v="0"/>
    <x v="255"/>
    <x v="1"/>
    <x v="0"/>
    <x v="0"/>
  </r>
  <r>
    <x v="261"/>
    <x v="9"/>
    <x v="3"/>
    <x v="19"/>
    <x v="0"/>
    <x v="256"/>
    <x v="0"/>
    <x v="2"/>
    <x v="1"/>
  </r>
  <r>
    <x v="262"/>
    <x v="14"/>
    <x v="6"/>
    <x v="16"/>
    <x v="2"/>
    <x v="257"/>
    <x v="0"/>
    <x v="1"/>
    <x v="0"/>
  </r>
  <r>
    <x v="263"/>
    <x v="6"/>
    <x v="1"/>
    <x v="24"/>
    <x v="0"/>
    <x v="258"/>
    <x v="1"/>
    <x v="1"/>
    <x v="1"/>
  </r>
  <r>
    <x v="264"/>
    <x v="10"/>
    <x v="6"/>
    <x v="22"/>
    <x v="0"/>
    <x v="259"/>
    <x v="0"/>
    <x v="0"/>
    <x v="1"/>
  </r>
  <r>
    <x v="265"/>
    <x v="6"/>
    <x v="0"/>
    <x v="13"/>
    <x v="0"/>
    <x v="260"/>
    <x v="1"/>
    <x v="0"/>
    <x v="1"/>
  </r>
  <r>
    <x v="266"/>
    <x v="16"/>
    <x v="7"/>
    <x v="5"/>
    <x v="2"/>
    <x v="261"/>
    <x v="0"/>
    <x v="2"/>
    <x v="0"/>
  </r>
  <r>
    <x v="267"/>
    <x v="14"/>
    <x v="1"/>
    <x v="17"/>
    <x v="2"/>
    <x v="262"/>
    <x v="0"/>
    <x v="1"/>
    <x v="0"/>
  </r>
  <r>
    <x v="268"/>
    <x v="5"/>
    <x v="7"/>
    <x v="20"/>
    <x v="3"/>
    <x v="263"/>
    <x v="0"/>
    <x v="0"/>
    <x v="0"/>
  </r>
  <r>
    <x v="269"/>
    <x v="5"/>
    <x v="0"/>
    <x v="4"/>
    <x v="0"/>
    <x v="264"/>
    <x v="0"/>
    <x v="2"/>
    <x v="11"/>
  </r>
  <r>
    <x v="270"/>
    <x v="3"/>
    <x v="7"/>
    <x v="21"/>
    <x v="1"/>
    <x v="265"/>
    <x v="0"/>
    <x v="0"/>
    <x v="2"/>
  </r>
  <r>
    <x v="271"/>
    <x v="3"/>
    <x v="0"/>
    <x v="13"/>
    <x v="0"/>
    <x v="266"/>
    <x v="0"/>
    <x v="2"/>
    <x v="8"/>
  </r>
  <r>
    <x v="272"/>
    <x v="3"/>
    <x v="6"/>
    <x v="9"/>
    <x v="1"/>
    <x v="267"/>
    <x v="0"/>
    <x v="1"/>
    <x v="2"/>
  </r>
  <r>
    <x v="273"/>
    <x v="6"/>
    <x v="6"/>
    <x v="9"/>
    <x v="0"/>
    <x v="268"/>
    <x v="0"/>
    <x v="1"/>
    <x v="2"/>
  </r>
  <r>
    <x v="274"/>
    <x v="10"/>
    <x v="2"/>
    <x v="18"/>
    <x v="1"/>
    <x v="269"/>
    <x v="0"/>
    <x v="2"/>
    <x v="1"/>
  </r>
  <r>
    <x v="275"/>
    <x v="10"/>
    <x v="4"/>
    <x v="0"/>
    <x v="1"/>
    <x v="270"/>
    <x v="0"/>
    <x v="1"/>
    <x v="1"/>
  </r>
  <r>
    <x v="276"/>
    <x v="8"/>
    <x v="6"/>
    <x v="16"/>
    <x v="0"/>
    <x v="271"/>
    <x v="1"/>
    <x v="2"/>
    <x v="1"/>
  </r>
  <r>
    <x v="277"/>
    <x v="11"/>
    <x v="3"/>
    <x v="17"/>
    <x v="0"/>
    <x v="272"/>
    <x v="0"/>
    <x v="2"/>
    <x v="0"/>
  </r>
  <r>
    <x v="278"/>
    <x v="11"/>
    <x v="7"/>
    <x v="24"/>
    <x v="0"/>
    <x v="273"/>
    <x v="1"/>
    <x v="2"/>
    <x v="0"/>
  </r>
  <r>
    <x v="279"/>
    <x v="7"/>
    <x v="2"/>
    <x v="20"/>
    <x v="0"/>
    <x v="274"/>
    <x v="0"/>
    <x v="2"/>
    <x v="1"/>
  </r>
  <r>
    <x v="280"/>
    <x v="8"/>
    <x v="2"/>
    <x v="2"/>
    <x v="0"/>
    <x v="275"/>
    <x v="0"/>
    <x v="1"/>
    <x v="1"/>
  </r>
  <r>
    <x v="281"/>
    <x v="12"/>
    <x v="0"/>
    <x v="17"/>
    <x v="1"/>
    <x v="276"/>
    <x v="0"/>
    <x v="2"/>
    <x v="1"/>
  </r>
  <r>
    <x v="282"/>
    <x v="12"/>
    <x v="1"/>
    <x v="27"/>
    <x v="1"/>
    <x v="277"/>
    <x v="0"/>
    <x v="2"/>
    <x v="1"/>
  </r>
  <r>
    <x v="283"/>
    <x v="12"/>
    <x v="4"/>
    <x v="5"/>
    <x v="1"/>
    <x v="278"/>
    <x v="0"/>
    <x v="0"/>
    <x v="1"/>
  </r>
  <r>
    <x v="284"/>
    <x v="12"/>
    <x v="6"/>
    <x v="19"/>
    <x v="1"/>
    <x v="279"/>
    <x v="0"/>
    <x v="2"/>
    <x v="1"/>
  </r>
  <r>
    <x v="285"/>
    <x v="6"/>
    <x v="7"/>
    <x v="1"/>
    <x v="0"/>
    <x v="280"/>
    <x v="3"/>
    <x v="0"/>
    <x v="10"/>
  </r>
  <r>
    <x v="286"/>
    <x v="15"/>
    <x v="6"/>
    <x v="4"/>
    <x v="2"/>
    <x v="281"/>
    <x v="0"/>
    <x v="2"/>
    <x v="0"/>
  </r>
  <r>
    <x v="287"/>
    <x v="6"/>
    <x v="7"/>
    <x v="19"/>
    <x v="0"/>
    <x v="282"/>
    <x v="1"/>
    <x v="0"/>
    <x v="5"/>
  </r>
  <r>
    <x v="288"/>
    <x v="12"/>
    <x v="4"/>
    <x v="28"/>
    <x v="1"/>
    <x v="283"/>
    <x v="0"/>
    <x v="0"/>
    <x v="1"/>
  </r>
  <r>
    <x v="289"/>
    <x v="10"/>
    <x v="4"/>
    <x v="17"/>
    <x v="0"/>
    <x v="284"/>
    <x v="0"/>
    <x v="0"/>
    <x v="8"/>
  </r>
  <r>
    <x v="290"/>
    <x v="10"/>
    <x v="7"/>
    <x v="28"/>
    <x v="0"/>
    <x v="285"/>
    <x v="0"/>
    <x v="0"/>
    <x v="8"/>
  </r>
  <r>
    <x v="291"/>
    <x v="10"/>
    <x v="7"/>
    <x v="20"/>
    <x v="0"/>
    <x v="286"/>
    <x v="0"/>
    <x v="1"/>
    <x v="8"/>
  </r>
  <r>
    <x v="292"/>
    <x v="6"/>
    <x v="6"/>
    <x v="23"/>
    <x v="0"/>
    <x v="287"/>
    <x v="0"/>
    <x v="1"/>
    <x v="1"/>
  </r>
  <r>
    <x v="293"/>
    <x v="9"/>
    <x v="1"/>
    <x v="10"/>
    <x v="0"/>
    <x v="288"/>
    <x v="0"/>
    <x v="1"/>
    <x v="11"/>
  </r>
  <r>
    <x v="44"/>
    <x v="7"/>
    <x v="2"/>
    <x v="0"/>
    <x v="1"/>
    <x v="289"/>
    <x v="0"/>
    <x v="1"/>
    <x v="1"/>
  </r>
  <r>
    <x v="294"/>
    <x v="7"/>
    <x v="6"/>
    <x v="7"/>
    <x v="1"/>
    <x v="289"/>
    <x v="0"/>
    <x v="1"/>
    <x v="1"/>
  </r>
  <r>
    <x v="295"/>
    <x v="7"/>
    <x v="4"/>
    <x v="18"/>
    <x v="1"/>
    <x v="290"/>
    <x v="0"/>
    <x v="0"/>
    <x v="1"/>
  </r>
  <r>
    <x v="296"/>
    <x v="9"/>
    <x v="6"/>
    <x v="6"/>
    <x v="3"/>
    <x v="291"/>
    <x v="0"/>
    <x v="0"/>
    <x v="0"/>
  </r>
  <r>
    <x v="297"/>
    <x v="12"/>
    <x v="3"/>
    <x v="29"/>
    <x v="3"/>
    <x v="292"/>
    <x v="0"/>
    <x v="1"/>
    <x v="1"/>
  </r>
  <r>
    <x v="298"/>
    <x v="10"/>
    <x v="7"/>
    <x v="5"/>
    <x v="0"/>
    <x v="293"/>
    <x v="0"/>
    <x v="0"/>
    <x v="2"/>
  </r>
  <r>
    <x v="299"/>
    <x v="2"/>
    <x v="1"/>
    <x v="21"/>
    <x v="0"/>
    <x v="294"/>
    <x v="0"/>
    <x v="0"/>
    <x v="1"/>
  </r>
  <r>
    <x v="300"/>
    <x v="2"/>
    <x v="2"/>
    <x v="17"/>
    <x v="0"/>
    <x v="295"/>
    <x v="0"/>
    <x v="0"/>
    <x v="1"/>
  </r>
  <r>
    <x v="301"/>
    <x v="2"/>
    <x v="3"/>
    <x v="6"/>
    <x v="0"/>
    <x v="296"/>
    <x v="0"/>
    <x v="0"/>
    <x v="1"/>
  </r>
  <r>
    <x v="302"/>
    <x v="1"/>
    <x v="1"/>
    <x v="5"/>
    <x v="0"/>
    <x v="297"/>
    <x v="1"/>
    <x v="0"/>
    <x v="2"/>
  </r>
  <r>
    <x v="303"/>
    <x v="1"/>
    <x v="6"/>
    <x v="8"/>
    <x v="0"/>
    <x v="298"/>
    <x v="3"/>
    <x v="0"/>
    <x v="0"/>
  </r>
  <r>
    <x v="304"/>
    <x v="8"/>
    <x v="2"/>
    <x v="27"/>
    <x v="0"/>
    <x v="299"/>
    <x v="1"/>
    <x v="0"/>
    <x v="5"/>
  </r>
  <r>
    <x v="305"/>
    <x v="10"/>
    <x v="0"/>
    <x v="10"/>
    <x v="0"/>
    <x v="300"/>
    <x v="0"/>
    <x v="1"/>
    <x v="1"/>
  </r>
  <r>
    <x v="306"/>
    <x v="7"/>
    <x v="1"/>
    <x v="5"/>
    <x v="0"/>
    <x v="301"/>
    <x v="0"/>
    <x v="2"/>
    <x v="8"/>
  </r>
  <r>
    <x v="307"/>
    <x v="8"/>
    <x v="7"/>
    <x v="18"/>
    <x v="1"/>
    <x v="302"/>
    <x v="0"/>
    <x v="2"/>
    <x v="0"/>
  </r>
  <r>
    <x v="308"/>
    <x v="8"/>
    <x v="2"/>
    <x v="2"/>
    <x v="1"/>
    <x v="303"/>
    <x v="0"/>
    <x v="2"/>
    <x v="2"/>
  </r>
  <r>
    <x v="309"/>
    <x v="12"/>
    <x v="2"/>
    <x v="16"/>
    <x v="3"/>
    <x v="304"/>
    <x v="0"/>
    <x v="2"/>
    <x v="2"/>
  </r>
  <r>
    <x v="310"/>
    <x v="8"/>
    <x v="2"/>
    <x v="1"/>
    <x v="1"/>
    <x v="305"/>
    <x v="0"/>
    <x v="2"/>
    <x v="0"/>
  </r>
  <r>
    <x v="311"/>
    <x v="5"/>
    <x v="3"/>
    <x v="1"/>
    <x v="0"/>
    <x v="306"/>
    <x v="0"/>
    <x v="0"/>
    <x v="1"/>
  </r>
  <r>
    <x v="312"/>
    <x v="4"/>
    <x v="3"/>
    <x v="18"/>
    <x v="0"/>
    <x v="307"/>
    <x v="0"/>
    <x v="1"/>
    <x v="2"/>
  </r>
  <r>
    <x v="313"/>
    <x v="17"/>
    <x v="2"/>
    <x v="14"/>
    <x v="2"/>
    <x v="308"/>
    <x v="0"/>
    <x v="0"/>
    <x v="0"/>
  </r>
  <r>
    <x v="314"/>
    <x v="14"/>
    <x v="1"/>
    <x v="4"/>
    <x v="2"/>
    <x v="309"/>
    <x v="0"/>
    <x v="2"/>
    <x v="0"/>
  </r>
  <r>
    <x v="315"/>
    <x v="5"/>
    <x v="4"/>
    <x v="21"/>
    <x v="0"/>
    <x v="310"/>
    <x v="0"/>
    <x v="0"/>
    <x v="1"/>
  </r>
  <r>
    <x v="316"/>
    <x v="15"/>
    <x v="3"/>
    <x v="13"/>
    <x v="2"/>
    <x v="311"/>
    <x v="0"/>
    <x v="2"/>
    <x v="1"/>
  </r>
  <r>
    <x v="317"/>
    <x v="6"/>
    <x v="4"/>
    <x v="11"/>
    <x v="0"/>
    <x v="312"/>
    <x v="0"/>
    <x v="0"/>
    <x v="1"/>
  </r>
  <r>
    <x v="318"/>
    <x v="2"/>
    <x v="3"/>
    <x v="21"/>
    <x v="0"/>
    <x v="313"/>
    <x v="0"/>
    <x v="0"/>
    <x v="8"/>
  </r>
  <r>
    <x v="319"/>
    <x v="2"/>
    <x v="6"/>
    <x v="0"/>
    <x v="0"/>
    <x v="314"/>
    <x v="0"/>
    <x v="1"/>
    <x v="9"/>
  </r>
  <r>
    <x v="320"/>
    <x v="6"/>
    <x v="4"/>
    <x v="12"/>
    <x v="0"/>
    <x v="315"/>
    <x v="0"/>
    <x v="2"/>
    <x v="2"/>
  </r>
  <r>
    <x v="321"/>
    <x v="5"/>
    <x v="2"/>
    <x v="27"/>
    <x v="3"/>
    <x v="316"/>
    <x v="0"/>
    <x v="0"/>
    <x v="0"/>
  </r>
  <r>
    <x v="322"/>
    <x v="11"/>
    <x v="3"/>
    <x v="9"/>
    <x v="0"/>
    <x v="317"/>
    <x v="1"/>
    <x v="1"/>
    <x v="1"/>
  </r>
  <r>
    <x v="323"/>
    <x v="13"/>
    <x v="7"/>
    <x v="5"/>
    <x v="2"/>
    <x v="318"/>
    <x v="0"/>
    <x v="1"/>
    <x v="1"/>
  </r>
  <r>
    <x v="324"/>
    <x v="4"/>
    <x v="3"/>
    <x v="23"/>
    <x v="0"/>
    <x v="319"/>
    <x v="1"/>
    <x v="1"/>
    <x v="12"/>
  </r>
  <r>
    <x v="325"/>
    <x v="3"/>
    <x v="7"/>
    <x v="2"/>
    <x v="3"/>
    <x v="320"/>
    <x v="0"/>
    <x v="1"/>
    <x v="1"/>
  </r>
  <r>
    <x v="326"/>
    <x v="17"/>
    <x v="6"/>
    <x v="5"/>
    <x v="2"/>
    <x v="321"/>
    <x v="0"/>
    <x v="2"/>
    <x v="0"/>
  </r>
  <r>
    <x v="327"/>
    <x v="7"/>
    <x v="2"/>
    <x v="22"/>
    <x v="0"/>
    <x v="322"/>
    <x v="0"/>
    <x v="0"/>
    <x v="11"/>
  </r>
  <r>
    <x v="328"/>
    <x v="11"/>
    <x v="0"/>
    <x v="23"/>
    <x v="0"/>
    <x v="323"/>
    <x v="0"/>
    <x v="1"/>
    <x v="2"/>
  </r>
  <r>
    <x v="329"/>
    <x v="1"/>
    <x v="3"/>
    <x v="22"/>
    <x v="0"/>
    <x v="324"/>
    <x v="0"/>
    <x v="0"/>
    <x v="0"/>
  </r>
  <r>
    <x v="330"/>
    <x v="3"/>
    <x v="6"/>
    <x v="7"/>
    <x v="1"/>
    <x v="325"/>
    <x v="0"/>
    <x v="0"/>
    <x v="8"/>
  </r>
  <r>
    <x v="331"/>
    <x v="11"/>
    <x v="7"/>
    <x v="22"/>
    <x v="0"/>
    <x v="326"/>
    <x v="0"/>
    <x v="0"/>
    <x v="0"/>
  </r>
  <r>
    <x v="332"/>
    <x v="11"/>
    <x v="0"/>
    <x v="19"/>
    <x v="0"/>
    <x v="327"/>
    <x v="0"/>
    <x v="1"/>
    <x v="2"/>
  </r>
  <r>
    <x v="333"/>
    <x v="8"/>
    <x v="6"/>
    <x v="10"/>
    <x v="0"/>
    <x v="328"/>
    <x v="0"/>
    <x v="2"/>
    <x v="1"/>
  </r>
  <r>
    <x v="334"/>
    <x v="8"/>
    <x v="0"/>
    <x v="28"/>
    <x v="0"/>
    <x v="329"/>
    <x v="0"/>
    <x v="1"/>
    <x v="1"/>
  </r>
  <r>
    <x v="335"/>
    <x v="10"/>
    <x v="3"/>
    <x v="29"/>
    <x v="0"/>
    <x v="330"/>
    <x v="0"/>
    <x v="2"/>
    <x v="1"/>
  </r>
  <r>
    <x v="336"/>
    <x v="3"/>
    <x v="3"/>
    <x v="24"/>
    <x v="3"/>
    <x v="331"/>
    <x v="0"/>
    <x v="2"/>
    <x v="0"/>
  </r>
  <r>
    <x v="337"/>
    <x v="8"/>
    <x v="7"/>
    <x v="20"/>
    <x v="0"/>
    <x v="332"/>
    <x v="0"/>
    <x v="0"/>
    <x v="1"/>
  </r>
  <r>
    <x v="338"/>
    <x v="6"/>
    <x v="0"/>
    <x v="16"/>
    <x v="0"/>
    <x v="333"/>
    <x v="0"/>
    <x v="0"/>
    <x v="8"/>
  </r>
  <r>
    <x v="339"/>
    <x v="6"/>
    <x v="4"/>
    <x v="12"/>
    <x v="1"/>
    <x v="334"/>
    <x v="0"/>
    <x v="0"/>
    <x v="2"/>
  </r>
  <r>
    <x v="340"/>
    <x v="6"/>
    <x v="0"/>
    <x v="19"/>
    <x v="0"/>
    <x v="335"/>
    <x v="0"/>
    <x v="2"/>
    <x v="8"/>
  </r>
  <r>
    <x v="341"/>
    <x v="6"/>
    <x v="6"/>
    <x v="24"/>
    <x v="1"/>
    <x v="336"/>
    <x v="0"/>
    <x v="0"/>
    <x v="0"/>
  </r>
  <r>
    <x v="342"/>
    <x v="6"/>
    <x v="3"/>
    <x v="24"/>
    <x v="1"/>
    <x v="337"/>
    <x v="0"/>
    <x v="0"/>
    <x v="0"/>
  </r>
  <r>
    <x v="343"/>
    <x v="14"/>
    <x v="1"/>
    <x v="2"/>
    <x v="0"/>
    <x v="338"/>
    <x v="1"/>
    <x v="2"/>
    <x v="2"/>
  </r>
  <r>
    <x v="344"/>
    <x v="11"/>
    <x v="4"/>
    <x v="24"/>
    <x v="0"/>
    <x v="339"/>
    <x v="1"/>
    <x v="1"/>
    <x v="5"/>
  </r>
  <r>
    <x v="345"/>
    <x v="11"/>
    <x v="0"/>
    <x v="5"/>
    <x v="1"/>
    <x v="340"/>
    <x v="0"/>
    <x v="0"/>
    <x v="2"/>
  </r>
  <r>
    <x v="346"/>
    <x v="3"/>
    <x v="7"/>
    <x v="19"/>
    <x v="3"/>
    <x v="341"/>
    <x v="0"/>
    <x v="1"/>
    <x v="12"/>
  </r>
  <r>
    <x v="347"/>
    <x v="12"/>
    <x v="0"/>
    <x v="28"/>
    <x v="0"/>
    <x v="342"/>
    <x v="0"/>
    <x v="0"/>
    <x v="2"/>
  </r>
  <r>
    <x v="348"/>
    <x v="8"/>
    <x v="1"/>
    <x v="17"/>
    <x v="1"/>
    <x v="343"/>
    <x v="0"/>
    <x v="2"/>
    <x v="1"/>
  </r>
  <r>
    <x v="349"/>
    <x v="12"/>
    <x v="4"/>
    <x v="16"/>
    <x v="0"/>
    <x v="344"/>
    <x v="0"/>
    <x v="2"/>
    <x v="7"/>
  </r>
  <r>
    <x v="350"/>
    <x v="12"/>
    <x v="1"/>
    <x v="14"/>
    <x v="0"/>
    <x v="345"/>
    <x v="0"/>
    <x v="1"/>
    <x v="11"/>
  </r>
  <r>
    <x v="351"/>
    <x v="6"/>
    <x v="2"/>
    <x v="4"/>
    <x v="1"/>
    <x v="346"/>
    <x v="1"/>
    <x v="0"/>
    <x v="12"/>
  </r>
  <r>
    <x v="352"/>
    <x v="14"/>
    <x v="3"/>
    <x v="5"/>
    <x v="2"/>
    <x v="347"/>
    <x v="0"/>
    <x v="1"/>
    <x v="0"/>
  </r>
  <r>
    <x v="353"/>
    <x v="1"/>
    <x v="7"/>
    <x v="13"/>
    <x v="0"/>
    <x v="348"/>
    <x v="0"/>
    <x v="1"/>
    <x v="2"/>
  </r>
  <r>
    <x v="354"/>
    <x v="4"/>
    <x v="2"/>
    <x v="29"/>
    <x v="0"/>
    <x v="349"/>
    <x v="0"/>
    <x v="0"/>
    <x v="1"/>
  </r>
  <r>
    <x v="355"/>
    <x v="1"/>
    <x v="7"/>
    <x v="15"/>
    <x v="0"/>
    <x v="350"/>
    <x v="0"/>
    <x v="2"/>
    <x v="0"/>
  </r>
  <r>
    <x v="356"/>
    <x v="8"/>
    <x v="4"/>
    <x v="10"/>
    <x v="1"/>
    <x v="351"/>
    <x v="0"/>
    <x v="1"/>
    <x v="2"/>
  </r>
  <r>
    <x v="357"/>
    <x v="8"/>
    <x v="1"/>
    <x v="2"/>
    <x v="0"/>
    <x v="352"/>
    <x v="0"/>
    <x v="2"/>
    <x v="8"/>
  </r>
  <r>
    <x v="358"/>
    <x v="8"/>
    <x v="6"/>
    <x v="23"/>
    <x v="1"/>
    <x v="353"/>
    <x v="0"/>
    <x v="0"/>
    <x v="0"/>
  </r>
  <r>
    <x v="359"/>
    <x v="8"/>
    <x v="7"/>
    <x v="3"/>
    <x v="1"/>
    <x v="354"/>
    <x v="0"/>
    <x v="0"/>
    <x v="0"/>
  </r>
  <r>
    <x v="360"/>
    <x v="9"/>
    <x v="0"/>
    <x v="25"/>
    <x v="3"/>
    <x v="355"/>
    <x v="0"/>
    <x v="2"/>
    <x v="9"/>
  </r>
  <r>
    <x v="361"/>
    <x v="8"/>
    <x v="4"/>
    <x v="11"/>
    <x v="1"/>
    <x v="356"/>
    <x v="0"/>
    <x v="2"/>
    <x v="2"/>
  </r>
  <r>
    <x v="362"/>
    <x v="3"/>
    <x v="4"/>
    <x v="9"/>
    <x v="0"/>
    <x v="357"/>
    <x v="0"/>
    <x v="2"/>
    <x v="2"/>
  </r>
  <r>
    <x v="363"/>
    <x v="18"/>
    <x v="6"/>
    <x v="3"/>
    <x v="2"/>
    <x v="358"/>
    <x v="0"/>
    <x v="1"/>
    <x v="0"/>
  </r>
  <r>
    <x v="364"/>
    <x v="10"/>
    <x v="2"/>
    <x v="4"/>
    <x v="2"/>
    <x v="359"/>
    <x v="0"/>
    <x v="1"/>
    <x v="2"/>
  </r>
  <r>
    <x v="365"/>
    <x v="17"/>
    <x v="3"/>
    <x v="10"/>
    <x v="2"/>
    <x v="360"/>
    <x v="0"/>
    <x v="1"/>
    <x v="2"/>
  </r>
  <r>
    <x v="366"/>
    <x v="12"/>
    <x v="0"/>
    <x v="7"/>
    <x v="0"/>
    <x v="361"/>
    <x v="0"/>
    <x v="1"/>
    <x v="7"/>
  </r>
  <r>
    <x v="367"/>
    <x v="1"/>
    <x v="7"/>
    <x v="8"/>
    <x v="1"/>
    <x v="362"/>
    <x v="0"/>
    <x v="2"/>
    <x v="0"/>
  </r>
  <r>
    <x v="368"/>
    <x v="9"/>
    <x v="2"/>
    <x v="9"/>
    <x v="2"/>
    <x v="363"/>
    <x v="0"/>
    <x v="0"/>
    <x v="5"/>
  </r>
  <r>
    <x v="369"/>
    <x v="8"/>
    <x v="3"/>
    <x v="11"/>
    <x v="3"/>
    <x v="364"/>
    <x v="1"/>
    <x v="0"/>
    <x v="2"/>
  </r>
  <r>
    <x v="370"/>
    <x v="8"/>
    <x v="3"/>
    <x v="14"/>
    <x v="1"/>
    <x v="365"/>
    <x v="3"/>
    <x v="2"/>
    <x v="3"/>
  </r>
  <r>
    <x v="371"/>
    <x v="7"/>
    <x v="3"/>
    <x v="12"/>
    <x v="3"/>
    <x v="366"/>
    <x v="0"/>
    <x v="2"/>
    <x v="0"/>
  </r>
  <r>
    <x v="372"/>
    <x v="2"/>
    <x v="3"/>
    <x v="25"/>
    <x v="3"/>
    <x v="367"/>
    <x v="1"/>
    <x v="0"/>
    <x v="1"/>
  </r>
  <r>
    <x v="373"/>
    <x v="12"/>
    <x v="6"/>
    <x v="18"/>
    <x v="0"/>
    <x v="368"/>
    <x v="0"/>
    <x v="2"/>
    <x v="1"/>
  </r>
  <r>
    <x v="374"/>
    <x v="15"/>
    <x v="7"/>
    <x v="21"/>
    <x v="2"/>
    <x v="369"/>
    <x v="0"/>
    <x v="1"/>
    <x v="0"/>
  </r>
  <r>
    <x v="375"/>
    <x v="0"/>
    <x v="4"/>
    <x v="12"/>
    <x v="0"/>
    <x v="370"/>
    <x v="0"/>
    <x v="0"/>
    <x v="2"/>
  </r>
  <r>
    <x v="376"/>
    <x v="11"/>
    <x v="3"/>
    <x v="18"/>
    <x v="0"/>
    <x v="371"/>
    <x v="0"/>
    <x v="0"/>
    <x v="1"/>
  </r>
  <r>
    <x v="377"/>
    <x v="4"/>
    <x v="7"/>
    <x v="0"/>
    <x v="0"/>
    <x v="372"/>
    <x v="0"/>
    <x v="0"/>
    <x v="8"/>
  </r>
  <r>
    <x v="378"/>
    <x v="4"/>
    <x v="2"/>
    <x v="25"/>
    <x v="1"/>
    <x v="373"/>
    <x v="0"/>
    <x v="1"/>
    <x v="0"/>
  </r>
  <r>
    <x v="379"/>
    <x v="19"/>
    <x v="7"/>
    <x v="23"/>
    <x v="1"/>
    <x v="374"/>
    <x v="0"/>
    <x v="1"/>
    <x v="0"/>
  </r>
  <r>
    <x v="380"/>
    <x v="15"/>
    <x v="6"/>
    <x v="14"/>
    <x v="2"/>
    <x v="375"/>
    <x v="0"/>
    <x v="1"/>
    <x v="1"/>
  </r>
  <r>
    <x v="381"/>
    <x v="4"/>
    <x v="6"/>
    <x v="29"/>
    <x v="1"/>
    <x v="376"/>
    <x v="0"/>
    <x v="0"/>
    <x v="2"/>
  </r>
  <r>
    <x v="382"/>
    <x v="3"/>
    <x v="1"/>
    <x v="20"/>
    <x v="3"/>
    <x v="377"/>
    <x v="0"/>
    <x v="2"/>
    <x v="1"/>
  </r>
  <r>
    <x v="383"/>
    <x v="18"/>
    <x v="4"/>
    <x v="3"/>
    <x v="2"/>
    <x v="378"/>
    <x v="0"/>
    <x v="2"/>
    <x v="0"/>
  </r>
  <r>
    <x v="384"/>
    <x v="7"/>
    <x v="2"/>
    <x v="19"/>
    <x v="2"/>
    <x v="379"/>
    <x v="0"/>
    <x v="0"/>
    <x v="2"/>
  </r>
  <r>
    <x v="385"/>
    <x v="6"/>
    <x v="1"/>
    <x v="6"/>
    <x v="1"/>
    <x v="380"/>
    <x v="0"/>
    <x v="2"/>
    <x v="1"/>
  </r>
  <r>
    <x v="386"/>
    <x v="7"/>
    <x v="6"/>
    <x v="8"/>
    <x v="2"/>
    <x v="381"/>
    <x v="0"/>
    <x v="2"/>
    <x v="2"/>
  </r>
  <r>
    <x v="387"/>
    <x v="15"/>
    <x v="1"/>
    <x v="6"/>
    <x v="2"/>
    <x v="382"/>
    <x v="0"/>
    <x v="1"/>
    <x v="0"/>
  </r>
  <r>
    <x v="388"/>
    <x v="16"/>
    <x v="7"/>
    <x v="20"/>
    <x v="2"/>
    <x v="383"/>
    <x v="0"/>
    <x v="1"/>
    <x v="0"/>
  </r>
  <r>
    <x v="389"/>
    <x v="20"/>
    <x v="2"/>
    <x v="10"/>
    <x v="2"/>
    <x v="384"/>
    <x v="0"/>
    <x v="1"/>
    <x v="0"/>
  </r>
  <r>
    <x v="390"/>
    <x v="0"/>
    <x v="1"/>
    <x v="17"/>
    <x v="0"/>
    <x v="385"/>
    <x v="3"/>
    <x v="2"/>
    <x v="10"/>
  </r>
  <r>
    <x v="391"/>
    <x v="16"/>
    <x v="1"/>
    <x v="26"/>
    <x v="2"/>
    <x v="386"/>
    <x v="0"/>
    <x v="0"/>
    <x v="2"/>
  </r>
  <r>
    <x v="392"/>
    <x v="0"/>
    <x v="3"/>
    <x v="10"/>
    <x v="1"/>
    <x v="387"/>
    <x v="1"/>
    <x v="1"/>
    <x v="2"/>
  </r>
  <r>
    <x v="393"/>
    <x v="21"/>
    <x v="0"/>
    <x v="19"/>
    <x v="2"/>
    <x v="388"/>
    <x v="0"/>
    <x v="0"/>
    <x v="0"/>
  </r>
  <r>
    <x v="394"/>
    <x v="12"/>
    <x v="0"/>
    <x v="23"/>
    <x v="0"/>
    <x v="389"/>
    <x v="0"/>
    <x v="2"/>
    <x v="11"/>
  </r>
  <r>
    <x v="395"/>
    <x v="19"/>
    <x v="4"/>
    <x v="10"/>
    <x v="1"/>
    <x v="390"/>
    <x v="0"/>
    <x v="2"/>
    <x v="0"/>
  </r>
  <r>
    <x v="396"/>
    <x v="4"/>
    <x v="7"/>
    <x v="27"/>
    <x v="3"/>
    <x v="391"/>
    <x v="0"/>
    <x v="0"/>
    <x v="2"/>
  </r>
  <r>
    <x v="397"/>
    <x v="15"/>
    <x v="6"/>
    <x v="14"/>
    <x v="2"/>
    <x v="392"/>
    <x v="0"/>
    <x v="0"/>
    <x v="0"/>
  </r>
  <r>
    <x v="398"/>
    <x v="13"/>
    <x v="4"/>
    <x v="24"/>
    <x v="0"/>
    <x v="393"/>
    <x v="0"/>
    <x v="2"/>
    <x v="0"/>
  </r>
  <r>
    <x v="399"/>
    <x v="9"/>
    <x v="1"/>
    <x v="16"/>
    <x v="0"/>
    <x v="394"/>
    <x v="0"/>
    <x v="2"/>
    <x v="7"/>
  </r>
  <r>
    <x v="400"/>
    <x v="18"/>
    <x v="4"/>
    <x v="5"/>
    <x v="2"/>
    <x v="395"/>
    <x v="0"/>
    <x v="2"/>
    <x v="0"/>
  </r>
  <r>
    <x v="401"/>
    <x v="11"/>
    <x v="6"/>
    <x v="12"/>
    <x v="0"/>
    <x v="396"/>
    <x v="0"/>
    <x v="0"/>
    <x v="8"/>
  </r>
  <r>
    <x v="402"/>
    <x v="1"/>
    <x v="2"/>
    <x v="12"/>
    <x v="0"/>
    <x v="397"/>
    <x v="0"/>
    <x v="2"/>
    <x v="1"/>
  </r>
  <r>
    <x v="403"/>
    <x v="18"/>
    <x v="3"/>
    <x v="0"/>
    <x v="2"/>
    <x v="398"/>
    <x v="0"/>
    <x v="2"/>
    <x v="0"/>
  </r>
  <r>
    <x v="404"/>
    <x v="14"/>
    <x v="7"/>
    <x v="13"/>
    <x v="0"/>
    <x v="399"/>
    <x v="0"/>
    <x v="2"/>
    <x v="0"/>
  </r>
  <r>
    <x v="405"/>
    <x v="14"/>
    <x v="6"/>
    <x v="22"/>
    <x v="0"/>
    <x v="400"/>
    <x v="0"/>
    <x v="1"/>
    <x v="0"/>
  </r>
  <r>
    <x v="406"/>
    <x v="14"/>
    <x v="7"/>
    <x v="18"/>
    <x v="0"/>
    <x v="401"/>
    <x v="0"/>
    <x v="0"/>
    <x v="2"/>
  </r>
  <r>
    <x v="407"/>
    <x v="11"/>
    <x v="1"/>
    <x v="27"/>
    <x v="1"/>
    <x v="402"/>
    <x v="0"/>
    <x v="1"/>
    <x v="0"/>
  </r>
  <r>
    <x v="408"/>
    <x v="17"/>
    <x v="7"/>
    <x v="18"/>
    <x v="2"/>
    <x v="403"/>
    <x v="0"/>
    <x v="0"/>
    <x v="0"/>
  </r>
  <r>
    <x v="409"/>
    <x v="19"/>
    <x v="4"/>
    <x v="2"/>
    <x v="1"/>
    <x v="404"/>
    <x v="0"/>
    <x v="1"/>
    <x v="0"/>
  </r>
  <r>
    <x v="410"/>
    <x v="15"/>
    <x v="6"/>
    <x v="13"/>
    <x v="2"/>
    <x v="405"/>
    <x v="0"/>
    <x v="0"/>
    <x v="0"/>
  </r>
  <r>
    <x v="411"/>
    <x v="7"/>
    <x v="2"/>
    <x v="18"/>
    <x v="0"/>
    <x v="406"/>
    <x v="0"/>
    <x v="0"/>
    <x v="1"/>
  </r>
  <r>
    <x v="412"/>
    <x v="19"/>
    <x v="3"/>
    <x v="7"/>
    <x v="1"/>
    <x v="407"/>
    <x v="0"/>
    <x v="0"/>
    <x v="1"/>
  </r>
  <r>
    <x v="413"/>
    <x v="11"/>
    <x v="6"/>
    <x v="8"/>
    <x v="3"/>
    <x v="408"/>
    <x v="1"/>
    <x v="2"/>
    <x v="2"/>
  </r>
  <r>
    <x v="414"/>
    <x v="14"/>
    <x v="6"/>
    <x v="11"/>
    <x v="0"/>
    <x v="409"/>
    <x v="1"/>
    <x v="1"/>
    <x v="5"/>
  </r>
  <r>
    <x v="415"/>
    <x v="3"/>
    <x v="2"/>
    <x v="19"/>
    <x v="0"/>
    <x v="410"/>
    <x v="0"/>
    <x v="0"/>
    <x v="7"/>
  </r>
  <r>
    <x v="416"/>
    <x v="3"/>
    <x v="7"/>
    <x v="14"/>
    <x v="2"/>
    <x v="411"/>
    <x v="0"/>
    <x v="2"/>
    <x v="5"/>
  </r>
  <r>
    <x v="417"/>
    <x v="16"/>
    <x v="2"/>
    <x v="18"/>
    <x v="0"/>
    <x v="412"/>
    <x v="3"/>
    <x v="1"/>
    <x v="1"/>
  </r>
  <r>
    <x v="418"/>
    <x v="14"/>
    <x v="0"/>
    <x v="22"/>
    <x v="1"/>
    <x v="413"/>
    <x v="0"/>
    <x v="0"/>
    <x v="0"/>
  </r>
  <r>
    <x v="419"/>
    <x v="8"/>
    <x v="7"/>
    <x v="29"/>
    <x v="3"/>
    <x v="414"/>
    <x v="3"/>
    <x v="0"/>
    <x v="1"/>
  </r>
  <r>
    <x v="420"/>
    <x v="9"/>
    <x v="0"/>
    <x v="2"/>
    <x v="0"/>
    <x v="415"/>
    <x v="0"/>
    <x v="2"/>
    <x v="1"/>
  </r>
  <r>
    <x v="421"/>
    <x v="1"/>
    <x v="3"/>
    <x v="10"/>
    <x v="0"/>
    <x v="416"/>
    <x v="0"/>
    <x v="2"/>
    <x v="1"/>
  </r>
  <r>
    <x v="422"/>
    <x v="19"/>
    <x v="6"/>
    <x v="3"/>
    <x v="1"/>
    <x v="417"/>
    <x v="0"/>
    <x v="2"/>
    <x v="0"/>
  </r>
  <r>
    <x v="423"/>
    <x v="6"/>
    <x v="1"/>
    <x v="18"/>
    <x v="2"/>
    <x v="418"/>
    <x v="1"/>
    <x v="0"/>
    <x v="2"/>
  </r>
  <r>
    <x v="424"/>
    <x v="20"/>
    <x v="0"/>
    <x v="16"/>
    <x v="2"/>
    <x v="419"/>
    <x v="0"/>
    <x v="2"/>
    <x v="0"/>
  </r>
  <r>
    <x v="425"/>
    <x v="10"/>
    <x v="0"/>
    <x v="23"/>
    <x v="3"/>
    <x v="420"/>
    <x v="0"/>
    <x v="2"/>
    <x v="8"/>
  </r>
  <r>
    <x v="426"/>
    <x v="5"/>
    <x v="2"/>
    <x v="21"/>
    <x v="0"/>
    <x v="421"/>
    <x v="0"/>
    <x v="0"/>
    <x v="2"/>
  </r>
  <r>
    <x v="427"/>
    <x v="15"/>
    <x v="7"/>
    <x v="18"/>
    <x v="0"/>
    <x v="422"/>
    <x v="1"/>
    <x v="1"/>
    <x v="0"/>
  </r>
  <r>
    <x v="428"/>
    <x v="1"/>
    <x v="3"/>
    <x v="7"/>
    <x v="0"/>
    <x v="423"/>
    <x v="0"/>
    <x v="0"/>
    <x v="8"/>
  </r>
  <r>
    <x v="429"/>
    <x v="1"/>
    <x v="1"/>
    <x v="20"/>
    <x v="1"/>
    <x v="424"/>
    <x v="0"/>
    <x v="2"/>
    <x v="0"/>
  </r>
  <r>
    <x v="430"/>
    <x v="7"/>
    <x v="0"/>
    <x v="23"/>
    <x v="0"/>
    <x v="425"/>
    <x v="0"/>
    <x v="0"/>
    <x v="11"/>
  </r>
  <r>
    <x v="431"/>
    <x v="4"/>
    <x v="0"/>
    <x v="20"/>
    <x v="1"/>
    <x v="426"/>
    <x v="0"/>
    <x v="2"/>
    <x v="1"/>
  </r>
  <r>
    <x v="432"/>
    <x v="16"/>
    <x v="0"/>
    <x v="7"/>
    <x v="0"/>
    <x v="427"/>
    <x v="0"/>
    <x v="0"/>
    <x v="0"/>
  </r>
  <r>
    <x v="433"/>
    <x v="8"/>
    <x v="6"/>
    <x v="17"/>
    <x v="3"/>
    <x v="428"/>
    <x v="0"/>
    <x v="2"/>
    <x v="0"/>
  </r>
  <r>
    <x v="434"/>
    <x v="8"/>
    <x v="3"/>
    <x v="26"/>
    <x v="3"/>
    <x v="429"/>
    <x v="0"/>
    <x v="2"/>
    <x v="2"/>
  </r>
  <r>
    <x v="435"/>
    <x v="16"/>
    <x v="1"/>
    <x v="12"/>
    <x v="0"/>
    <x v="430"/>
    <x v="0"/>
    <x v="2"/>
    <x v="2"/>
  </r>
  <r>
    <x v="436"/>
    <x v="16"/>
    <x v="1"/>
    <x v="5"/>
    <x v="0"/>
    <x v="431"/>
    <x v="0"/>
    <x v="2"/>
    <x v="0"/>
  </r>
  <r>
    <x v="437"/>
    <x v="13"/>
    <x v="0"/>
    <x v="23"/>
    <x v="2"/>
    <x v="432"/>
    <x v="0"/>
    <x v="1"/>
    <x v="0"/>
  </r>
  <r>
    <x v="438"/>
    <x v="10"/>
    <x v="3"/>
    <x v="2"/>
    <x v="2"/>
    <x v="433"/>
    <x v="0"/>
    <x v="1"/>
    <x v="3"/>
  </r>
  <r>
    <x v="439"/>
    <x v="0"/>
    <x v="7"/>
    <x v="20"/>
    <x v="1"/>
    <x v="434"/>
    <x v="1"/>
    <x v="0"/>
    <x v="1"/>
  </r>
  <r>
    <x v="440"/>
    <x v="21"/>
    <x v="0"/>
    <x v="15"/>
    <x v="2"/>
    <x v="435"/>
    <x v="0"/>
    <x v="1"/>
    <x v="0"/>
  </r>
  <r>
    <x v="441"/>
    <x v="22"/>
    <x v="1"/>
    <x v="23"/>
    <x v="2"/>
    <x v="436"/>
    <x v="0"/>
    <x v="1"/>
    <x v="0"/>
  </r>
  <r>
    <x v="442"/>
    <x v="1"/>
    <x v="4"/>
    <x v="9"/>
    <x v="1"/>
    <x v="437"/>
    <x v="1"/>
    <x v="0"/>
    <x v="3"/>
  </r>
  <r>
    <x v="443"/>
    <x v="15"/>
    <x v="1"/>
    <x v="1"/>
    <x v="2"/>
    <x v="438"/>
    <x v="0"/>
    <x v="1"/>
    <x v="0"/>
  </r>
  <r>
    <x v="444"/>
    <x v="1"/>
    <x v="6"/>
    <x v="2"/>
    <x v="3"/>
    <x v="439"/>
    <x v="0"/>
    <x v="1"/>
    <x v="0"/>
  </r>
  <r>
    <x v="445"/>
    <x v="4"/>
    <x v="3"/>
    <x v="10"/>
    <x v="3"/>
    <x v="440"/>
    <x v="1"/>
    <x v="0"/>
    <x v="1"/>
  </r>
  <r>
    <x v="446"/>
    <x v="22"/>
    <x v="3"/>
    <x v="25"/>
    <x v="2"/>
    <x v="441"/>
    <x v="0"/>
    <x v="1"/>
    <x v="0"/>
  </r>
  <r>
    <x v="447"/>
    <x v="5"/>
    <x v="7"/>
    <x v="14"/>
    <x v="0"/>
    <x v="442"/>
    <x v="0"/>
    <x v="1"/>
    <x v="1"/>
  </r>
  <r>
    <x v="448"/>
    <x v="16"/>
    <x v="4"/>
    <x v="5"/>
    <x v="1"/>
    <x v="443"/>
    <x v="1"/>
    <x v="2"/>
    <x v="0"/>
  </r>
  <r>
    <x v="449"/>
    <x v="16"/>
    <x v="4"/>
    <x v="10"/>
    <x v="1"/>
    <x v="444"/>
    <x v="0"/>
    <x v="0"/>
    <x v="2"/>
  </r>
  <r>
    <x v="450"/>
    <x v="11"/>
    <x v="6"/>
    <x v="27"/>
    <x v="1"/>
    <x v="445"/>
    <x v="0"/>
    <x v="0"/>
    <x v="1"/>
  </r>
  <r>
    <x v="451"/>
    <x v="14"/>
    <x v="6"/>
    <x v="19"/>
    <x v="0"/>
    <x v="446"/>
    <x v="0"/>
    <x v="1"/>
    <x v="1"/>
  </r>
  <r>
    <x v="452"/>
    <x v="0"/>
    <x v="2"/>
    <x v="14"/>
    <x v="0"/>
    <x v="447"/>
    <x v="0"/>
    <x v="0"/>
    <x v="8"/>
  </r>
  <r>
    <x v="453"/>
    <x v="0"/>
    <x v="2"/>
    <x v="13"/>
    <x v="1"/>
    <x v="448"/>
    <x v="0"/>
    <x v="1"/>
    <x v="2"/>
  </r>
  <r>
    <x v="454"/>
    <x v="0"/>
    <x v="6"/>
    <x v="6"/>
    <x v="1"/>
    <x v="449"/>
    <x v="0"/>
    <x v="2"/>
    <x v="0"/>
  </r>
  <r>
    <x v="455"/>
    <x v="2"/>
    <x v="1"/>
    <x v="9"/>
    <x v="0"/>
    <x v="450"/>
    <x v="0"/>
    <x v="1"/>
    <x v="1"/>
  </r>
  <r>
    <x v="456"/>
    <x v="21"/>
    <x v="3"/>
    <x v="25"/>
    <x v="2"/>
    <x v="451"/>
    <x v="0"/>
    <x v="2"/>
    <x v="1"/>
  </r>
  <r>
    <x v="457"/>
    <x v="13"/>
    <x v="2"/>
    <x v="22"/>
    <x v="0"/>
    <x v="452"/>
    <x v="0"/>
    <x v="0"/>
    <x v="0"/>
  </r>
  <r>
    <x v="458"/>
    <x v="4"/>
    <x v="7"/>
    <x v="28"/>
    <x v="0"/>
    <x v="453"/>
    <x v="0"/>
    <x v="2"/>
    <x v="7"/>
  </r>
  <r>
    <x v="459"/>
    <x v="6"/>
    <x v="3"/>
    <x v="19"/>
    <x v="3"/>
    <x v="454"/>
    <x v="0"/>
    <x v="2"/>
    <x v="1"/>
  </r>
  <r>
    <x v="460"/>
    <x v="2"/>
    <x v="4"/>
    <x v="10"/>
    <x v="2"/>
    <x v="455"/>
    <x v="0"/>
    <x v="1"/>
    <x v="2"/>
  </r>
  <r>
    <x v="461"/>
    <x v="0"/>
    <x v="2"/>
    <x v="3"/>
    <x v="1"/>
    <x v="456"/>
    <x v="1"/>
    <x v="1"/>
    <x v="5"/>
  </r>
  <r>
    <x v="462"/>
    <x v="14"/>
    <x v="1"/>
    <x v="28"/>
    <x v="1"/>
    <x v="457"/>
    <x v="0"/>
    <x v="2"/>
    <x v="1"/>
  </r>
  <r>
    <x v="463"/>
    <x v="14"/>
    <x v="4"/>
    <x v="5"/>
    <x v="1"/>
    <x v="458"/>
    <x v="1"/>
    <x v="1"/>
    <x v="1"/>
  </r>
  <r>
    <x v="464"/>
    <x v="23"/>
    <x v="2"/>
    <x v="25"/>
    <x v="2"/>
    <x v="459"/>
    <x v="0"/>
    <x v="0"/>
    <x v="0"/>
  </r>
  <r>
    <x v="465"/>
    <x v="4"/>
    <x v="7"/>
    <x v="10"/>
    <x v="2"/>
    <x v="460"/>
    <x v="1"/>
    <x v="2"/>
    <x v="2"/>
  </r>
  <r>
    <x v="466"/>
    <x v="22"/>
    <x v="1"/>
    <x v="4"/>
    <x v="2"/>
    <x v="461"/>
    <x v="0"/>
    <x v="1"/>
    <x v="1"/>
  </r>
  <r>
    <x v="467"/>
    <x v="0"/>
    <x v="2"/>
    <x v="14"/>
    <x v="3"/>
    <x v="462"/>
    <x v="1"/>
    <x v="2"/>
    <x v="0"/>
  </r>
  <r>
    <x v="468"/>
    <x v="12"/>
    <x v="2"/>
    <x v="26"/>
    <x v="0"/>
    <x v="463"/>
    <x v="0"/>
    <x v="1"/>
    <x v="11"/>
  </r>
  <r>
    <x v="469"/>
    <x v="10"/>
    <x v="1"/>
    <x v="22"/>
    <x v="2"/>
    <x v="464"/>
    <x v="0"/>
    <x v="0"/>
    <x v="1"/>
  </r>
  <r>
    <x v="470"/>
    <x v="15"/>
    <x v="4"/>
    <x v="11"/>
    <x v="0"/>
    <x v="465"/>
    <x v="0"/>
    <x v="1"/>
    <x v="1"/>
  </r>
  <r>
    <x v="471"/>
    <x v="11"/>
    <x v="1"/>
    <x v="24"/>
    <x v="1"/>
    <x v="466"/>
    <x v="0"/>
    <x v="1"/>
    <x v="8"/>
  </r>
  <r>
    <x v="472"/>
    <x v="11"/>
    <x v="7"/>
    <x v="9"/>
    <x v="3"/>
    <x v="467"/>
    <x v="0"/>
    <x v="1"/>
    <x v="0"/>
  </r>
  <r>
    <x v="473"/>
    <x v="14"/>
    <x v="2"/>
    <x v="5"/>
    <x v="0"/>
    <x v="468"/>
    <x v="0"/>
    <x v="1"/>
    <x v="8"/>
  </r>
  <r>
    <x v="474"/>
    <x v="11"/>
    <x v="1"/>
    <x v="5"/>
    <x v="3"/>
    <x v="469"/>
    <x v="0"/>
    <x v="2"/>
    <x v="0"/>
  </r>
  <r>
    <x v="475"/>
    <x v="14"/>
    <x v="3"/>
    <x v="2"/>
    <x v="1"/>
    <x v="470"/>
    <x v="0"/>
    <x v="2"/>
    <x v="0"/>
  </r>
  <r>
    <x v="476"/>
    <x v="16"/>
    <x v="6"/>
    <x v="13"/>
    <x v="0"/>
    <x v="471"/>
    <x v="0"/>
    <x v="0"/>
    <x v="1"/>
  </r>
  <r>
    <x v="477"/>
    <x v="6"/>
    <x v="1"/>
    <x v="7"/>
    <x v="2"/>
    <x v="472"/>
    <x v="0"/>
    <x v="2"/>
    <x v="2"/>
  </r>
  <r>
    <x v="478"/>
    <x v="23"/>
    <x v="2"/>
    <x v="7"/>
    <x v="2"/>
    <x v="473"/>
    <x v="0"/>
    <x v="2"/>
    <x v="0"/>
  </r>
  <r>
    <x v="479"/>
    <x v="15"/>
    <x v="0"/>
    <x v="14"/>
    <x v="2"/>
    <x v="474"/>
    <x v="0"/>
    <x v="2"/>
    <x v="0"/>
  </r>
  <r>
    <x v="480"/>
    <x v="18"/>
    <x v="6"/>
    <x v="20"/>
    <x v="0"/>
    <x v="475"/>
    <x v="1"/>
    <x v="2"/>
    <x v="0"/>
  </r>
  <r>
    <x v="481"/>
    <x v="18"/>
    <x v="0"/>
    <x v="2"/>
    <x v="0"/>
    <x v="476"/>
    <x v="0"/>
    <x v="2"/>
    <x v="2"/>
  </r>
  <r>
    <x v="482"/>
    <x v="15"/>
    <x v="3"/>
    <x v="25"/>
    <x v="0"/>
    <x v="477"/>
    <x v="0"/>
    <x v="1"/>
    <x v="0"/>
  </r>
  <r>
    <x v="483"/>
    <x v="0"/>
    <x v="6"/>
    <x v="21"/>
    <x v="0"/>
    <x v="478"/>
    <x v="0"/>
    <x v="0"/>
    <x v="13"/>
  </r>
  <r>
    <x v="484"/>
    <x v="11"/>
    <x v="4"/>
    <x v="7"/>
    <x v="3"/>
    <x v="479"/>
    <x v="1"/>
    <x v="1"/>
    <x v="12"/>
  </r>
  <r>
    <x v="485"/>
    <x v="1"/>
    <x v="3"/>
    <x v="6"/>
    <x v="3"/>
    <x v="480"/>
    <x v="0"/>
    <x v="0"/>
    <x v="1"/>
  </r>
  <r>
    <x v="486"/>
    <x v="1"/>
    <x v="4"/>
    <x v="29"/>
    <x v="3"/>
    <x v="481"/>
    <x v="0"/>
    <x v="2"/>
    <x v="1"/>
  </r>
  <r>
    <x v="487"/>
    <x v="11"/>
    <x v="7"/>
    <x v="26"/>
    <x v="3"/>
    <x v="482"/>
    <x v="1"/>
    <x v="2"/>
    <x v="5"/>
  </r>
  <r>
    <x v="488"/>
    <x v="11"/>
    <x v="7"/>
    <x v="18"/>
    <x v="3"/>
    <x v="483"/>
    <x v="0"/>
    <x v="0"/>
    <x v="12"/>
  </r>
  <r>
    <x v="489"/>
    <x v="14"/>
    <x v="3"/>
    <x v="28"/>
    <x v="1"/>
    <x v="484"/>
    <x v="3"/>
    <x v="2"/>
    <x v="10"/>
  </r>
  <r>
    <x v="490"/>
    <x v="11"/>
    <x v="2"/>
    <x v="13"/>
    <x v="2"/>
    <x v="485"/>
    <x v="3"/>
    <x v="2"/>
    <x v="0"/>
  </r>
  <r>
    <x v="491"/>
    <x v="16"/>
    <x v="6"/>
    <x v="26"/>
    <x v="1"/>
    <x v="486"/>
    <x v="0"/>
    <x v="0"/>
    <x v="1"/>
  </r>
  <r>
    <x v="492"/>
    <x v="16"/>
    <x v="0"/>
    <x v="21"/>
    <x v="1"/>
    <x v="487"/>
    <x v="0"/>
    <x v="0"/>
    <x v="1"/>
  </r>
  <r>
    <x v="493"/>
    <x v="14"/>
    <x v="0"/>
    <x v="6"/>
    <x v="3"/>
    <x v="488"/>
    <x v="1"/>
    <x v="0"/>
    <x v="0"/>
  </r>
  <r>
    <x v="494"/>
    <x v="7"/>
    <x v="1"/>
    <x v="4"/>
    <x v="2"/>
    <x v="489"/>
    <x v="0"/>
    <x v="2"/>
    <x v="1"/>
  </r>
  <r>
    <x v="495"/>
    <x v="9"/>
    <x v="0"/>
    <x v="14"/>
    <x v="0"/>
    <x v="490"/>
    <x v="0"/>
    <x v="2"/>
    <x v="1"/>
  </r>
  <r>
    <x v="496"/>
    <x v="0"/>
    <x v="0"/>
    <x v="8"/>
    <x v="0"/>
    <x v="491"/>
    <x v="0"/>
    <x v="0"/>
    <x v="1"/>
  </r>
  <r>
    <x v="497"/>
    <x v="15"/>
    <x v="2"/>
    <x v="9"/>
    <x v="0"/>
    <x v="492"/>
    <x v="0"/>
    <x v="1"/>
    <x v="12"/>
  </r>
  <r>
    <x v="498"/>
    <x v="6"/>
    <x v="7"/>
    <x v="2"/>
    <x v="4"/>
    <x v="493"/>
    <x v="3"/>
    <x v="2"/>
    <x v="0"/>
  </r>
  <r>
    <x v="499"/>
    <x v="23"/>
    <x v="3"/>
    <x v="3"/>
    <x v="2"/>
    <x v="494"/>
    <x v="0"/>
    <x v="0"/>
    <x v="0"/>
  </r>
  <r>
    <x v="500"/>
    <x v="24"/>
    <x v="2"/>
    <x v="25"/>
    <x v="3"/>
    <x v="495"/>
    <x v="0"/>
    <x v="0"/>
    <x v="0"/>
  </r>
  <r>
    <x v="501"/>
    <x v="12"/>
    <x v="7"/>
    <x v="24"/>
    <x v="0"/>
    <x v="496"/>
    <x v="0"/>
    <x v="0"/>
    <x v="14"/>
  </r>
  <r>
    <x v="502"/>
    <x v="17"/>
    <x v="4"/>
    <x v="16"/>
    <x v="2"/>
    <x v="497"/>
    <x v="0"/>
    <x v="0"/>
    <x v="1"/>
  </r>
  <r>
    <x v="503"/>
    <x v="15"/>
    <x v="4"/>
    <x v="27"/>
    <x v="0"/>
    <x v="498"/>
    <x v="0"/>
    <x v="2"/>
    <x v="12"/>
  </r>
  <r>
    <x v="504"/>
    <x v="0"/>
    <x v="6"/>
    <x v="2"/>
    <x v="1"/>
    <x v="499"/>
    <x v="0"/>
    <x v="2"/>
    <x v="1"/>
  </r>
  <r>
    <x v="505"/>
    <x v="1"/>
    <x v="2"/>
    <x v="7"/>
    <x v="3"/>
    <x v="500"/>
    <x v="0"/>
    <x v="1"/>
    <x v="2"/>
  </r>
  <r>
    <x v="506"/>
    <x v="15"/>
    <x v="2"/>
    <x v="2"/>
    <x v="1"/>
    <x v="501"/>
    <x v="0"/>
    <x v="2"/>
    <x v="2"/>
  </r>
  <r>
    <x v="507"/>
    <x v="16"/>
    <x v="1"/>
    <x v="17"/>
    <x v="0"/>
    <x v="502"/>
    <x v="0"/>
    <x v="1"/>
    <x v="8"/>
  </r>
  <r>
    <x v="508"/>
    <x v="9"/>
    <x v="4"/>
    <x v="12"/>
    <x v="4"/>
    <x v="503"/>
    <x v="0"/>
    <x v="2"/>
    <x v="8"/>
  </r>
  <r>
    <x v="509"/>
    <x v="16"/>
    <x v="3"/>
    <x v="4"/>
    <x v="1"/>
    <x v="504"/>
    <x v="0"/>
    <x v="2"/>
    <x v="0"/>
  </r>
  <r>
    <x v="510"/>
    <x v="8"/>
    <x v="4"/>
    <x v="22"/>
    <x v="3"/>
    <x v="505"/>
    <x v="0"/>
    <x v="2"/>
    <x v="8"/>
  </r>
  <r>
    <x v="511"/>
    <x v="13"/>
    <x v="3"/>
    <x v="14"/>
    <x v="0"/>
    <x v="506"/>
    <x v="0"/>
    <x v="2"/>
    <x v="1"/>
  </r>
  <r>
    <x v="512"/>
    <x v="10"/>
    <x v="0"/>
    <x v="24"/>
    <x v="0"/>
    <x v="507"/>
    <x v="0"/>
    <x v="0"/>
    <x v="2"/>
  </r>
  <r>
    <x v="513"/>
    <x v="2"/>
    <x v="2"/>
    <x v="7"/>
    <x v="2"/>
    <x v="508"/>
    <x v="0"/>
    <x v="1"/>
    <x v="1"/>
  </r>
  <r>
    <x v="514"/>
    <x v="20"/>
    <x v="2"/>
    <x v="12"/>
    <x v="0"/>
    <x v="509"/>
    <x v="3"/>
    <x v="1"/>
    <x v="2"/>
  </r>
  <r>
    <x v="515"/>
    <x v="8"/>
    <x v="7"/>
    <x v="22"/>
    <x v="2"/>
    <x v="510"/>
    <x v="0"/>
    <x v="1"/>
    <x v="12"/>
  </r>
  <r>
    <x v="516"/>
    <x v="16"/>
    <x v="6"/>
    <x v="16"/>
    <x v="1"/>
    <x v="511"/>
    <x v="1"/>
    <x v="0"/>
    <x v="5"/>
  </r>
  <r>
    <x v="517"/>
    <x v="16"/>
    <x v="3"/>
    <x v="9"/>
    <x v="3"/>
    <x v="512"/>
    <x v="0"/>
    <x v="2"/>
    <x v="2"/>
  </r>
  <r>
    <x v="518"/>
    <x v="16"/>
    <x v="0"/>
    <x v="2"/>
    <x v="3"/>
    <x v="513"/>
    <x v="0"/>
    <x v="1"/>
    <x v="0"/>
  </r>
  <r>
    <x v="519"/>
    <x v="25"/>
    <x v="7"/>
    <x v="14"/>
    <x v="3"/>
    <x v="514"/>
    <x v="0"/>
    <x v="1"/>
    <x v="0"/>
  </r>
  <r>
    <x v="520"/>
    <x v="12"/>
    <x v="7"/>
    <x v="6"/>
    <x v="0"/>
    <x v="515"/>
    <x v="0"/>
    <x v="1"/>
    <x v="11"/>
  </r>
  <r>
    <x v="521"/>
    <x v="16"/>
    <x v="3"/>
    <x v="6"/>
    <x v="3"/>
    <x v="516"/>
    <x v="1"/>
    <x v="0"/>
    <x v="0"/>
  </r>
  <r>
    <x v="522"/>
    <x v="12"/>
    <x v="2"/>
    <x v="12"/>
    <x v="5"/>
    <x v="517"/>
    <x v="0"/>
    <x v="0"/>
    <x v="2"/>
  </r>
  <r>
    <x v="523"/>
    <x v="26"/>
    <x v="4"/>
    <x v="6"/>
    <x v="3"/>
    <x v="518"/>
    <x v="0"/>
    <x v="0"/>
    <x v="0"/>
  </r>
  <r>
    <x v="524"/>
    <x v="19"/>
    <x v="6"/>
    <x v="8"/>
    <x v="1"/>
    <x v="519"/>
    <x v="0"/>
    <x v="0"/>
    <x v="2"/>
  </r>
  <r>
    <x v="525"/>
    <x v="0"/>
    <x v="7"/>
    <x v="0"/>
    <x v="1"/>
    <x v="520"/>
    <x v="0"/>
    <x v="0"/>
    <x v="8"/>
  </r>
  <r>
    <x v="526"/>
    <x v="0"/>
    <x v="3"/>
    <x v="13"/>
    <x v="1"/>
    <x v="521"/>
    <x v="0"/>
    <x v="2"/>
    <x v="8"/>
  </r>
  <r>
    <x v="527"/>
    <x v="11"/>
    <x v="6"/>
    <x v="8"/>
    <x v="3"/>
    <x v="522"/>
    <x v="0"/>
    <x v="1"/>
    <x v="1"/>
  </r>
  <r>
    <x v="528"/>
    <x v="24"/>
    <x v="0"/>
    <x v="24"/>
    <x v="3"/>
    <x v="523"/>
    <x v="0"/>
    <x v="0"/>
    <x v="1"/>
  </r>
  <r>
    <x v="529"/>
    <x v="18"/>
    <x v="3"/>
    <x v="16"/>
    <x v="2"/>
    <x v="524"/>
    <x v="0"/>
    <x v="1"/>
    <x v="0"/>
  </r>
  <r>
    <x v="530"/>
    <x v="14"/>
    <x v="7"/>
    <x v="8"/>
    <x v="1"/>
    <x v="525"/>
    <x v="0"/>
    <x v="0"/>
    <x v="1"/>
  </r>
  <r>
    <x v="531"/>
    <x v="9"/>
    <x v="1"/>
    <x v="18"/>
    <x v="0"/>
    <x v="526"/>
    <x v="0"/>
    <x v="0"/>
    <x v="11"/>
  </r>
  <r>
    <x v="532"/>
    <x v="17"/>
    <x v="2"/>
    <x v="16"/>
    <x v="1"/>
    <x v="527"/>
    <x v="0"/>
    <x v="2"/>
    <x v="2"/>
  </r>
  <r>
    <x v="533"/>
    <x v="17"/>
    <x v="3"/>
    <x v="24"/>
    <x v="1"/>
    <x v="528"/>
    <x v="0"/>
    <x v="2"/>
    <x v="0"/>
  </r>
  <r>
    <x v="534"/>
    <x v="17"/>
    <x v="1"/>
    <x v="12"/>
    <x v="1"/>
    <x v="529"/>
    <x v="1"/>
    <x v="1"/>
    <x v="2"/>
  </r>
  <r>
    <x v="535"/>
    <x v="0"/>
    <x v="6"/>
    <x v="25"/>
    <x v="3"/>
    <x v="530"/>
    <x v="0"/>
    <x v="0"/>
    <x v="0"/>
  </r>
  <r>
    <x v="536"/>
    <x v="17"/>
    <x v="3"/>
    <x v="3"/>
    <x v="1"/>
    <x v="531"/>
    <x v="1"/>
    <x v="0"/>
    <x v="2"/>
  </r>
  <r>
    <x v="537"/>
    <x v="13"/>
    <x v="6"/>
    <x v="5"/>
    <x v="1"/>
    <x v="532"/>
    <x v="0"/>
    <x v="0"/>
    <x v="2"/>
  </r>
  <r>
    <x v="538"/>
    <x v="13"/>
    <x v="4"/>
    <x v="0"/>
    <x v="1"/>
    <x v="533"/>
    <x v="0"/>
    <x v="0"/>
    <x v="0"/>
  </r>
  <r>
    <x v="539"/>
    <x v="17"/>
    <x v="2"/>
    <x v="12"/>
    <x v="2"/>
    <x v="534"/>
    <x v="0"/>
    <x v="0"/>
    <x v="0"/>
  </r>
  <r>
    <x v="540"/>
    <x v="13"/>
    <x v="4"/>
    <x v="25"/>
    <x v="1"/>
    <x v="535"/>
    <x v="0"/>
    <x v="1"/>
    <x v="0"/>
  </r>
  <r>
    <x v="541"/>
    <x v="27"/>
    <x v="7"/>
    <x v="28"/>
    <x v="3"/>
    <x v="536"/>
    <x v="0"/>
    <x v="0"/>
    <x v="0"/>
  </r>
  <r>
    <x v="542"/>
    <x v="19"/>
    <x v="0"/>
    <x v="28"/>
    <x v="1"/>
    <x v="537"/>
    <x v="0"/>
    <x v="1"/>
    <x v="0"/>
  </r>
  <r>
    <x v="543"/>
    <x v="4"/>
    <x v="4"/>
    <x v="5"/>
    <x v="2"/>
    <x v="538"/>
    <x v="3"/>
    <x v="2"/>
    <x v="15"/>
  </r>
  <r>
    <x v="544"/>
    <x v="5"/>
    <x v="2"/>
    <x v="3"/>
    <x v="5"/>
    <x v="539"/>
    <x v="0"/>
    <x v="1"/>
    <x v="2"/>
  </r>
  <r>
    <x v="545"/>
    <x v="10"/>
    <x v="4"/>
    <x v="20"/>
    <x v="0"/>
    <x v="540"/>
    <x v="0"/>
    <x v="2"/>
    <x v="11"/>
  </r>
  <r>
    <x v="546"/>
    <x v="0"/>
    <x v="3"/>
    <x v="23"/>
    <x v="2"/>
    <x v="541"/>
    <x v="1"/>
    <x v="2"/>
    <x v="0"/>
  </r>
  <r>
    <x v="547"/>
    <x v="21"/>
    <x v="7"/>
    <x v="21"/>
    <x v="2"/>
    <x v="542"/>
    <x v="0"/>
    <x v="1"/>
    <x v="1"/>
  </r>
  <r>
    <x v="548"/>
    <x v="4"/>
    <x v="3"/>
    <x v="7"/>
    <x v="0"/>
    <x v="543"/>
    <x v="0"/>
    <x v="1"/>
    <x v="11"/>
  </r>
  <r>
    <x v="549"/>
    <x v="25"/>
    <x v="4"/>
    <x v="2"/>
    <x v="3"/>
    <x v="544"/>
    <x v="0"/>
    <x v="0"/>
    <x v="0"/>
  </r>
  <r>
    <x v="550"/>
    <x v="28"/>
    <x v="3"/>
    <x v="20"/>
    <x v="0"/>
    <x v="545"/>
    <x v="0"/>
    <x v="2"/>
    <x v="0"/>
  </r>
  <r>
    <x v="551"/>
    <x v="3"/>
    <x v="2"/>
    <x v="15"/>
    <x v="0"/>
    <x v="546"/>
    <x v="0"/>
    <x v="0"/>
    <x v="11"/>
  </r>
  <r>
    <x v="552"/>
    <x v="4"/>
    <x v="4"/>
    <x v="3"/>
    <x v="2"/>
    <x v="547"/>
    <x v="0"/>
    <x v="0"/>
    <x v="12"/>
  </r>
  <r>
    <x v="553"/>
    <x v="13"/>
    <x v="3"/>
    <x v="5"/>
    <x v="2"/>
    <x v="548"/>
    <x v="0"/>
    <x v="0"/>
    <x v="2"/>
  </r>
  <r>
    <x v="554"/>
    <x v="6"/>
    <x v="3"/>
    <x v="7"/>
    <x v="4"/>
    <x v="549"/>
    <x v="0"/>
    <x v="0"/>
    <x v="1"/>
  </r>
  <r>
    <x v="555"/>
    <x v="18"/>
    <x v="4"/>
    <x v="29"/>
    <x v="0"/>
    <x v="550"/>
    <x v="0"/>
    <x v="1"/>
    <x v="2"/>
  </r>
  <r>
    <x v="556"/>
    <x v="18"/>
    <x v="7"/>
    <x v="3"/>
    <x v="0"/>
    <x v="551"/>
    <x v="0"/>
    <x v="1"/>
    <x v="0"/>
  </r>
  <r>
    <x v="557"/>
    <x v="13"/>
    <x v="0"/>
    <x v="23"/>
    <x v="3"/>
    <x v="552"/>
    <x v="1"/>
    <x v="2"/>
    <x v="0"/>
  </r>
  <r>
    <x v="558"/>
    <x v="16"/>
    <x v="1"/>
    <x v="13"/>
    <x v="2"/>
    <x v="553"/>
    <x v="0"/>
    <x v="0"/>
    <x v="0"/>
  </r>
  <r>
    <x v="559"/>
    <x v="15"/>
    <x v="3"/>
    <x v="29"/>
    <x v="1"/>
    <x v="554"/>
    <x v="1"/>
    <x v="0"/>
    <x v="1"/>
  </r>
  <r>
    <x v="560"/>
    <x v="1"/>
    <x v="0"/>
    <x v="23"/>
    <x v="3"/>
    <x v="555"/>
    <x v="0"/>
    <x v="1"/>
    <x v="1"/>
  </r>
  <r>
    <x v="561"/>
    <x v="19"/>
    <x v="7"/>
    <x v="14"/>
    <x v="1"/>
    <x v="556"/>
    <x v="0"/>
    <x v="0"/>
    <x v="0"/>
  </r>
  <r>
    <x v="562"/>
    <x v="5"/>
    <x v="6"/>
    <x v="27"/>
    <x v="5"/>
    <x v="557"/>
    <x v="0"/>
    <x v="1"/>
    <x v="12"/>
  </r>
  <r>
    <x v="563"/>
    <x v="1"/>
    <x v="6"/>
    <x v="23"/>
    <x v="3"/>
    <x v="558"/>
    <x v="0"/>
    <x v="2"/>
    <x v="1"/>
  </r>
  <r>
    <x v="564"/>
    <x v="14"/>
    <x v="6"/>
    <x v="29"/>
    <x v="3"/>
    <x v="559"/>
    <x v="0"/>
    <x v="0"/>
    <x v="2"/>
  </r>
  <r>
    <x v="565"/>
    <x v="14"/>
    <x v="1"/>
    <x v="3"/>
    <x v="3"/>
    <x v="560"/>
    <x v="0"/>
    <x v="0"/>
    <x v="2"/>
  </r>
  <r>
    <x v="566"/>
    <x v="28"/>
    <x v="2"/>
    <x v="9"/>
    <x v="0"/>
    <x v="561"/>
    <x v="0"/>
    <x v="2"/>
    <x v="0"/>
  </r>
  <r>
    <x v="567"/>
    <x v="14"/>
    <x v="6"/>
    <x v="1"/>
    <x v="3"/>
    <x v="562"/>
    <x v="0"/>
    <x v="1"/>
    <x v="0"/>
  </r>
  <r>
    <x v="568"/>
    <x v="29"/>
    <x v="1"/>
    <x v="15"/>
    <x v="0"/>
    <x v="563"/>
    <x v="0"/>
    <x v="0"/>
    <x v="0"/>
  </r>
  <r>
    <x v="569"/>
    <x v="15"/>
    <x v="2"/>
    <x v="18"/>
    <x v="0"/>
    <x v="564"/>
    <x v="0"/>
    <x v="0"/>
    <x v="8"/>
  </r>
  <r>
    <x v="570"/>
    <x v="3"/>
    <x v="7"/>
    <x v="16"/>
    <x v="0"/>
    <x v="565"/>
    <x v="0"/>
    <x v="2"/>
    <x v="2"/>
  </r>
  <r>
    <x v="571"/>
    <x v="15"/>
    <x v="3"/>
    <x v="6"/>
    <x v="1"/>
    <x v="566"/>
    <x v="0"/>
    <x v="2"/>
    <x v="0"/>
  </r>
  <r>
    <x v="572"/>
    <x v="26"/>
    <x v="2"/>
    <x v="0"/>
    <x v="3"/>
    <x v="567"/>
    <x v="0"/>
    <x v="0"/>
    <x v="0"/>
  </r>
  <r>
    <x v="573"/>
    <x v="15"/>
    <x v="0"/>
    <x v="26"/>
    <x v="1"/>
    <x v="568"/>
    <x v="0"/>
    <x v="0"/>
    <x v="2"/>
  </r>
  <r>
    <x v="574"/>
    <x v="15"/>
    <x v="1"/>
    <x v="0"/>
    <x v="1"/>
    <x v="569"/>
    <x v="0"/>
    <x v="0"/>
    <x v="2"/>
  </r>
  <r>
    <x v="575"/>
    <x v="20"/>
    <x v="4"/>
    <x v="13"/>
    <x v="0"/>
    <x v="570"/>
    <x v="3"/>
    <x v="2"/>
    <x v="1"/>
  </r>
  <r>
    <x v="576"/>
    <x v="14"/>
    <x v="3"/>
    <x v="23"/>
    <x v="3"/>
    <x v="571"/>
    <x v="1"/>
    <x v="1"/>
    <x v="5"/>
  </r>
  <r>
    <x v="577"/>
    <x v="18"/>
    <x v="2"/>
    <x v="7"/>
    <x v="2"/>
    <x v="572"/>
    <x v="0"/>
    <x v="2"/>
    <x v="0"/>
  </r>
  <r>
    <x v="578"/>
    <x v="6"/>
    <x v="4"/>
    <x v="6"/>
    <x v="0"/>
    <x v="573"/>
    <x v="0"/>
    <x v="2"/>
    <x v="7"/>
  </r>
  <r>
    <x v="579"/>
    <x v="3"/>
    <x v="7"/>
    <x v="25"/>
    <x v="0"/>
    <x v="574"/>
    <x v="0"/>
    <x v="0"/>
    <x v="2"/>
  </r>
  <r>
    <x v="580"/>
    <x v="6"/>
    <x v="0"/>
    <x v="7"/>
    <x v="0"/>
    <x v="575"/>
    <x v="0"/>
    <x v="2"/>
    <x v="1"/>
  </r>
  <r>
    <x v="581"/>
    <x v="24"/>
    <x v="3"/>
    <x v="15"/>
    <x v="3"/>
    <x v="576"/>
    <x v="0"/>
    <x v="2"/>
    <x v="0"/>
  </r>
  <r>
    <x v="582"/>
    <x v="1"/>
    <x v="2"/>
    <x v="20"/>
    <x v="0"/>
    <x v="577"/>
    <x v="0"/>
    <x v="1"/>
    <x v="11"/>
  </r>
  <r>
    <x v="583"/>
    <x v="27"/>
    <x v="1"/>
    <x v="12"/>
    <x v="3"/>
    <x v="578"/>
    <x v="0"/>
    <x v="0"/>
    <x v="1"/>
  </r>
  <r>
    <x v="584"/>
    <x v="6"/>
    <x v="0"/>
    <x v="10"/>
    <x v="5"/>
    <x v="579"/>
    <x v="1"/>
    <x v="2"/>
    <x v="2"/>
  </r>
  <r>
    <x v="585"/>
    <x v="7"/>
    <x v="2"/>
    <x v="11"/>
    <x v="0"/>
    <x v="580"/>
    <x v="0"/>
    <x v="2"/>
    <x v="14"/>
  </r>
  <r>
    <x v="586"/>
    <x v="17"/>
    <x v="1"/>
    <x v="14"/>
    <x v="1"/>
    <x v="581"/>
    <x v="0"/>
    <x v="2"/>
    <x v="1"/>
  </r>
  <r>
    <x v="587"/>
    <x v="15"/>
    <x v="1"/>
    <x v="5"/>
    <x v="3"/>
    <x v="582"/>
    <x v="0"/>
    <x v="0"/>
    <x v="0"/>
  </r>
  <r>
    <x v="588"/>
    <x v="17"/>
    <x v="3"/>
    <x v="2"/>
    <x v="1"/>
    <x v="583"/>
    <x v="3"/>
    <x v="2"/>
    <x v="1"/>
  </r>
  <r>
    <x v="589"/>
    <x v="15"/>
    <x v="3"/>
    <x v="21"/>
    <x v="2"/>
    <x v="584"/>
    <x v="0"/>
    <x v="1"/>
    <x v="0"/>
  </r>
  <r>
    <x v="590"/>
    <x v="1"/>
    <x v="4"/>
    <x v="23"/>
    <x v="2"/>
    <x v="585"/>
    <x v="0"/>
    <x v="2"/>
    <x v="0"/>
  </r>
  <r>
    <x v="591"/>
    <x v="21"/>
    <x v="6"/>
    <x v="12"/>
    <x v="2"/>
    <x v="586"/>
    <x v="0"/>
    <x v="1"/>
    <x v="0"/>
  </r>
  <r>
    <x v="592"/>
    <x v="16"/>
    <x v="6"/>
    <x v="12"/>
    <x v="1"/>
    <x v="587"/>
    <x v="0"/>
    <x v="2"/>
    <x v="8"/>
  </r>
  <r>
    <x v="593"/>
    <x v="16"/>
    <x v="7"/>
    <x v="0"/>
    <x v="3"/>
    <x v="588"/>
    <x v="0"/>
    <x v="2"/>
    <x v="2"/>
  </r>
  <r>
    <x v="594"/>
    <x v="14"/>
    <x v="6"/>
    <x v="7"/>
    <x v="2"/>
    <x v="589"/>
    <x v="0"/>
    <x v="2"/>
    <x v="1"/>
  </r>
  <r>
    <x v="595"/>
    <x v="21"/>
    <x v="7"/>
    <x v="25"/>
    <x v="2"/>
    <x v="590"/>
    <x v="0"/>
    <x v="1"/>
    <x v="0"/>
  </r>
  <r>
    <x v="596"/>
    <x v="25"/>
    <x v="3"/>
    <x v="8"/>
    <x v="3"/>
    <x v="591"/>
    <x v="0"/>
    <x v="2"/>
    <x v="0"/>
  </r>
  <r>
    <x v="597"/>
    <x v="9"/>
    <x v="2"/>
    <x v="19"/>
    <x v="0"/>
    <x v="592"/>
    <x v="0"/>
    <x v="2"/>
    <x v="16"/>
  </r>
  <r>
    <x v="598"/>
    <x v="22"/>
    <x v="7"/>
    <x v="18"/>
    <x v="2"/>
    <x v="593"/>
    <x v="0"/>
    <x v="2"/>
    <x v="1"/>
  </r>
  <r>
    <x v="599"/>
    <x v="1"/>
    <x v="2"/>
    <x v="17"/>
    <x v="2"/>
    <x v="594"/>
    <x v="1"/>
    <x v="0"/>
    <x v="12"/>
  </r>
  <r>
    <x v="600"/>
    <x v="7"/>
    <x v="4"/>
    <x v="5"/>
    <x v="0"/>
    <x v="595"/>
    <x v="0"/>
    <x v="1"/>
    <x v="1"/>
  </r>
  <r>
    <x v="601"/>
    <x v="4"/>
    <x v="2"/>
    <x v="19"/>
    <x v="0"/>
    <x v="596"/>
    <x v="0"/>
    <x v="2"/>
    <x v="7"/>
  </r>
  <r>
    <x v="602"/>
    <x v="17"/>
    <x v="2"/>
    <x v="7"/>
    <x v="0"/>
    <x v="597"/>
    <x v="0"/>
    <x v="1"/>
    <x v="8"/>
  </r>
  <r>
    <x v="603"/>
    <x v="17"/>
    <x v="4"/>
    <x v="9"/>
    <x v="1"/>
    <x v="598"/>
    <x v="0"/>
    <x v="2"/>
    <x v="2"/>
  </r>
  <r>
    <x v="604"/>
    <x v="17"/>
    <x v="0"/>
    <x v="16"/>
    <x v="1"/>
    <x v="599"/>
    <x v="0"/>
    <x v="2"/>
    <x v="0"/>
  </r>
  <r>
    <x v="605"/>
    <x v="17"/>
    <x v="3"/>
    <x v="0"/>
    <x v="1"/>
    <x v="600"/>
    <x v="0"/>
    <x v="0"/>
    <x v="2"/>
  </r>
  <r>
    <x v="606"/>
    <x v="16"/>
    <x v="0"/>
    <x v="19"/>
    <x v="2"/>
    <x v="601"/>
    <x v="1"/>
    <x v="0"/>
    <x v="2"/>
  </r>
  <r>
    <x v="607"/>
    <x v="13"/>
    <x v="1"/>
    <x v="22"/>
    <x v="3"/>
    <x v="602"/>
    <x v="0"/>
    <x v="2"/>
    <x v="1"/>
  </r>
  <r>
    <x v="608"/>
    <x v="13"/>
    <x v="0"/>
    <x v="11"/>
    <x v="3"/>
    <x v="603"/>
    <x v="0"/>
    <x v="2"/>
    <x v="1"/>
  </r>
  <r>
    <x v="609"/>
    <x v="18"/>
    <x v="7"/>
    <x v="22"/>
    <x v="0"/>
    <x v="604"/>
    <x v="0"/>
    <x v="2"/>
    <x v="1"/>
  </r>
  <r>
    <x v="610"/>
    <x v="18"/>
    <x v="3"/>
    <x v="4"/>
    <x v="0"/>
    <x v="605"/>
    <x v="0"/>
    <x v="2"/>
    <x v="1"/>
  </r>
  <r>
    <x v="611"/>
    <x v="18"/>
    <x v="7"/>
    <x v="4"/>
    <x v="0"/>
    <x v="606"/>
    <x v="0"/>
    <x v="0"/>
    <x v="1"/>
  </r>
  <r>
    <x v="612"/>
    <x v="17"/>
    <x v="3"/>
    <x v="5"/>
    <x v="2"/>
    <x v="607"/>
    <x v="0"/>
    <x v="2"/>
    <x v="0"/>
  </r>
  <r>
    <x v="613"/>
    <x v="28"/>
    <x v="1"/>
    <x v="8"/>
    <x v="0"/>
    <x v="608"/>
    <x v="0"/>
    <x v="2"/>
    <x v="1"/>
  </r>
  <r>
    <x v="614"/>
    <x v="9"/>
    <x v="6"/>
    <x v="12"/>
    <x v="0"/>
    <x v="609"/>
    <x v="0"/>
    <x v="2"/>
    <x v="16"/>
  </r>
  <r>
    <x v="615"/>
    <x v="10"/>
    <x v="3"/>
    <x v="0"/>
    <x v="0"/>
    <x v="610"/>
    <x v="0"/>
    <x v="0"/>
    <x v="1"/>
  </r>
  <r>
    <x v="616"/>
    <x v="11"/>
    <x v="1"/>
    <x v="2"/>
    <x v="2"/>
    <x v="611"/>
    <x v="0"/>
    <x v="2"/>
    <x v="1"/>
  </r>
  <r>
    <x v="617"/>
    <x v="28"/>
    <x v="3"/>
    <x v="24"/>
    <x v="0"/>
    <x v="612"/>
    <x v="0"/>
    <x v="1"/>
    <x v="1"/>
  </r>
  <r>
    <x v="618"/>
    <x v="0"/>
    <x v="2"/>
    <x v="14"/>
    <x v="2"/>
    <x v="613"/>
    <x v="0"/>
    <x v="1"/>
    <x v="2"/>
  </r>
  <r>
    <x v="619"/>
    <x v="14"/>
    <x v="6"/>
    <x v="13"/>
    <x v="3"/>
    <x v="614"/>
    <x v="0"/>
    <x v="1"/>
    <x v="1"/>
  </r>
  <r>
    <x v="620"/>
    <x v="30"/>
    <x v="4"/>
    <x v="21"/>
    <x v="0"/>
    <x v="615"/>
    <x v="0"/>
    <x v="0"/>
    <x v="0"/>
  </r>
  <r>
    <x v="621"/>
    <x v="13"/>
    <x v="1"/>
    <x v="15"/>
    <x v="1"/>
    <x v="616"/>
    <x v="0"/>
    <x v="0"/>
    <x v="8"/>
  </r>
  <r>
    <x v="622"/>
    <x v="11"/>
    <x v="4"/>
    <x v="15"/>
    <x v="0"/>
    <x v="617"/>
    <x v="0"/>
    <x v="1"/>
    <x v="2"/>
  </r>
  <r>
    <x v="623"/>
    <x v="18"/>
    <x v="2"/>
    <x v="5"/>
    <x v="1"/>
    <x v="618"/>
    <x v="0"/>
    <x v="2"/>
    <x v="1"/>
  </r>
  <r>
    <x v="624"/>
    <x v="13"/>
    <x v="1"/>
    <x v="14"/>
    <x v="3"/>
    <x v="619"/>
    <x v="0"/>
    <x v="1"/>
    <x v="2"/>
  </r>
  <r>
    <x v="625"/>
    <x v="18"/>
    <x v="0"/>
    <x v="12"/>
    <x v="1"/>
    <x v="620"/>
    <x v="0"/>
    <x v="0"/>
    <x v="1"/>
  </r>
  <r>
    <x v="626"/>
    <x v="21"/>
    <x v="2"/>
    <x v="5"/>
    <x v="0"/>
    <x v="621"/>
    <x v="0"/>
    <x v="0"/>
    <x v="2"/>
  </r>
  <r>
    <x v="627"/>
    <x v="15"/>
    <x v="6"/>
    <x v="26"/>
    <x v="1"/>
    <x v="622"/>
    <x v="0"/>
    <x v="0"/>
    <x v="1"/>
  </r>
  <r>
    <x v="628"/>
    <x v="13"/>
    <x v="1"/>
    <x v="19"/>
    <x v="2"/>
    <x v="623"/>
    <x v="0"/>
    <x v="0"/>
    <x v="0"/>
  </r>
  <r>
    <x v="629"/>
    <x v="21"/>
    <x v="3"/>
    <x v="28"/>
    <x v="0"/>
    <x v="624"/>
    <x v="0"/>
    <x v="2"/>
    <x v="0"/>
  </r>
  <r>
    <x v="630"/>
    <x v="21"/>
    <x v="6"/>
    <x v="5"/>
    <x v="0"/>
    <x v="625"/>
    <x v="0"/>
    <x v="2"/>
    <x v="0"/>
  </r>
  <r>
    <x v="631"/>
    <x v="20"/>
    <x v="4"/>
    <x v="29"/>
    <x v="2"/>
    <x v="626"/>
    <x v="0"/>
    <x v="1"/>
    <x v="0"/>
  </r>
  <r>
    <x v="632"/>
    <x v="31"/>
    <x v="3"/>
    <x v="3"/>
    <x v="1"/>
    <x v="627"/>
    <x v="0"/>
    <x v="0"/>
    <x v="1"/>
  </r>
  <r>
    <x v="633"/>
    <x v="23"/>
    <x v="3"/>
    <x v="3"/>
    <x v="0"/>
    <x v="628"/>
    <x v="0"/>
    <x v="0"/>
    <x v="0"/>
  </r>
  <r>
    <x v="634"/>
    <x v="14"/>
    <x v="0"/>
    <x v="19"/>
    <x v="2"/>
    <x v="629"/>
    <x v="0"/>
    <x v="1"/>
    <x v="1"/>
  </r>
  <r>
    <x v="635"/>
    <x v="0"/>
    <x v="3"/>
    <x v="17"/>
    <x v="2"/>
    <x v="630"/>
    <x v="1"/>
    <x v="1"/>
    <x v="12"/>
  </r>
  <r>
    <x v="636"/>
    <x v="27"/>
    <x v="2"/>
    <x v="26"/>
    <x v="3"/>
    <x v="631"/>
    <x v="0"/>
    <x v="2"/>
    <x v="1"/>
  </r>
  <r>
    <x v="637"/>
    <x v="23"/>
    <x v="6"/>
    <x v="22"/>
    <x v="0"/>
    <x v="632"/>
    <x v="1"/>
    <x v="2"/>
    <x v="0"/>
  </r>
  <r>
    <x v="638"/>
    <x v="18"/>
    <x v="4"/>
    <x v="22"/>
    <x v="0"/>
    <x v="633"/>
    <x v="0"/>
    <x v="2"/>
    <x v="8"/>
  </r>
  <r>
    <x v="639"/>
    <x v="29"/>
    <x v="7"/>
    <x v="18"/>
    <x v="0"/>
    <x v="634"/>
    <x v="0"/>
    <x v="2"/>
    <x v="0"/>
  </r>
  <r>
    <x v="640"/>
    <x v="18"/>
    <x v="4"/>
    <x v="24"/>
    <x v="0"/>
    <x v="635"/>
    <x v="0"/>
    <x v="2"/>
    <x v="8"/>
  </r>
  <r>
    <x v="641"/>
    <x v="18"/>
    <x v="0"/>
    <x v="8"/>
    <x v="1"/>
    <x v="636"/>
    <x v="0"/>
    <x v="0"/>
    <x v="2"/>
  </r>
  <r>
    <x v="642"/>
    <x v="18"/>
    <x v="3"/>
    <x v="1"/>
    <x v="1"/>
    <x v="637"/>
    <x v="0"/>
    <x v="0"/>
    <x v="0"/>
  </r>
  <r>
    <x v="643"/>
    <x v="21"/>
    <x v="6"/>
    <x v="9"/>
    <x v="1"/>
    <x v="638"/>
    <x v="0"/>
    <x v="2"/>
    <x v="0"/>
  </r>
  <r>
    <x v="644"/>
    <x v="21"/>
    <x v="6"/>
    <x v="17"/>
    <x v="1"/>
    <x v="639"/>
    <x v="0"/>
    <x v="0"/>
    <x v="2"/>
  </r>
  <r>
    <x v="645"/>
    <x v="15"/>
    <x v="0"/>
    <x v="7"/>
    <x v="2"/>
    <x v="640"/>
    <x v="0"/>
    <x v="2"/>
    <x v="1"/>
  </r>
  <r>
    <x v="646"/>
    <x v="19"/>
    <x v="1"/>
    <x v="15"/>
    <x v="1"/>
    <x v="641"/>
    <x v="0"/>
    <x v="2"/>
    <x v="0"/>
  </r>
  <r>
    <x v="647"/>
    <x v="24"/>
    <x v="4"/>
    <x v="15"/>
    <x v="3"/>
    <x v="642"/>
    <x v="0"/>
    <x v="2"/>
    <x v="1"/>
  </r>
  <r>
    <x v="648"/>
    <x v="7"/>
    <x v="3"/>
    <x v="12"/>
    <x v="0"/>
    <x v="643"/>
    <x v="0"/>
    <x v="0"/>
    <x v="14"/>
  </r>
  <r>
    <x v="649"/>
    <x v="28"/>
    <x v="3"/>
    <x v="14"/>
    <x v="0"/>
    <x v="644"/>
    <x v="0"/>
    <x v="0"/>
    <x v="0"/>
  </r>
  <r>
    <x v="650"/>
    <x v="20"/>
    <x v="3"/>
    <x v="16"/>
    <x v="2"/>
    <x v="645"/>
    <x v="0"/>
    <x v="1"/>
    <x v="1"/>
  </r>
  <r>
    <x v="651"/>
    <x v="18"/>
    <x v="1"/>
    <x v="27"/>
    <x v="3"/>
    <x v="646"/>
    <x v="1"/>
    <x v="1"/>
    <x v="0"/>
  </r>
  <r>
    <x v="652"/>
    <x v="22"/>
    <x v="7"/>
    <x v="28"/>
    <x v="2"/>
    <x v="647"/>
    <x v="0"/>
    <x v="1"/>
    <x v="0"/>
  </r>
  <r>
    <x v="653"/>
    <x v="15"/>
    <x v="1"/>
    <x v="14"/>
    <x v="1"/>
    <x v="648"/>
    <x v="0"/>
    <x v="0"/>
    <x v="8"/>
  </r>
  <r>
    <x v="654"/>
    <x v="27"/>
    <x v="3"/>
    <x v="20"/>
    <x v="3"/>
    <x v="649"/>
    <x v="0"/>
    <x v="0"/>
    <x v="0"/>
  </r>
  <r>
    <x v="655"/>
    <x v="11"/>
    <x v="1"/>
    <x v="21"/>
    <x v="5"/>
    <x v="650"/>
    <x v="0"/>
    <x v="0"/>
    <x v="2"/>
  </r>
  <r>
    <x v="656"/>
    <x v="17"/>
    <x v="4"/>
    <x v="0"/>
    <x v="1"/>
    <x v="651"/>
    <x v="0"/>
    <x v="0"/>
    <x v="1"/>
  </r>
  <r>
    <x v="657"/>
    <x v="22"/>
    <x v="2"/>
    <x v="26"/>
    <x v="0"/>
    <x v="652"/>
    <x v="0"/>
    <x v="0"/>
    <x v="2"/>
  </r>
  <r>
    <x v="658"/>
    <x v="27"/>
    <x v="3"/>
    <x v="3"/>
    <x v="3"/>
    <x v="653"/>
    <x v="0"/>
    <x v="1"/>
    <x v="0"/>
  </r>
  <r>
    <x v="659"/>
    <x v="22"/>
    <x v="3"/>
    <x v="28"/>
    <x v="0"/>
    <x v="654"/>
    <x v="0"/>
    <x v="1"/>
    <x v="0"/>
  </r>
  <r>
    <x v="660"/>
    <x v="21"/>
    <x v="6"/>
    <x v="8"/>
    <x v="2"/>
    <x v="655"/>
    <x v="0"/>
    <x v="2"/>
    <x v="0"/>
  </r>
  <r>
    <x v="661"/>
    <x v="30"/>
    <x v="7"/>
    <x v="13"/>
    <x v="0"/>
    <x v="656"/>
    <x v="0"/>
    <x v="1"/>
    <x v="0"/>
  </r>
  <r>
    <x v="662"/>
    <x v="0"/>
    <x v="1"/>
    <x v="28"/>
    <x v="2"/>
    <x v="657"/>
    <x v="0"/>
    <x v="0"/>
    <x v="1"/>
  </r>
  <r>
    <x v="663"/>
    <x v="28"/>
    <x v="0"/>
    <x v="19"/>
    <x v="0"/>
    <x v="658"/>
    <x v="0"/>
    <x v="2"/>
    <x v="1"/>
  </r>
  <r>
    <x v="664"/>
    <x v="19"/>
    <x v="2"/>
    <x v="21"/>
    <x v="0"/>
    <x v="659"/>
    <x v="0"/>
    <x v="0"/>
    <x v="0"/>
  </r>
  <r>
    <x v="665"/>
    <x v="1"/>
    <x v="1"/>
    <x v="28"/>
    <x v="4"/>
    <x v="660"/>
    <x v="0"/>
    <x v="1"/>
    <x v="2"/>
  </r>
  <r>
    <x v="666"/>
    <x v="19"/>
    <x v="6"/>
    <x v="1"/>
    <x v="0"/>
    <x v="661"/>
    <x v="1"/>
    <x v="0"/>
    <x v="0"/>
  </r>
  <r>
    <x v="667"/>
    <x v="32"/>
    <x v="4"/>
    <x v="14"/>
    <x v="0"/>
    <x v="662"/>
    <x v="0"/>
    <x v="1"/>
    <x v="0"/>
  </r>
  <r>
    <x v="668"/>
    <x v="17"/>
    <x v="7"/>
    <x v="11"/>
    <x v="3"/>
    <x v="663"/>
    <x v="3"/>
    <x v="2"/>
    <x v="1"/>
  </r>
  <r>
    <x v="669"/>
    <x v="30"/>
    <x v="6"/>
    <x v="27"/>
    <x v="0"/>
    <x v="664"/>
    <x v="0"/>
    <x v="0"/>
    <x v="0"/>
  </r>
  <r>
    <x v="670"/>
    <x v="1"/>
    <x v="2"/>
    <x v="23"/>
    <x v="0"/>
    <x v="665"/>
    <x v="0"/>
    <x v="1"/>
    <x v="11"/>
  </r>
  <r>
    <x v="671"/>
    <x v="22"/>
    <x v="6"/>
    <x v="1"/>
    <x v="0"/>
    <x v="666"/>
    <x v="0"/>
    <x v="0"/>
    <x v="4"/>
  </r>
  <r>
    <x v="672"/>
    <x v="9"/>
    <x v="1"/>
    <x v="5"/>
    <x v="0"/>
    <x v="667"/>
    <x v="0"/>
    <x v="0"/>
    <x v="16"/>
  </r>
  <r>
    <x v="673"/>
    <x v="24"/>
    <x v="3"/>
    <x v="14"/>
    <x v="3"/>
    <x v="668"/>
    <x v="0"/>
    <x v="0"/>
    <x v="0"/>
  </r>
  <r>
    <x v="674"/>
    <x v="30"/>
    <x v="1"/>
    <x v="24"/>
    <x v="0"/>
    <x v="669"/>
    <x v="0"/>
    <x v="2"/>
    <x v="0"/>
  </r>
  <r>
    <x v="675"/>
    <x v="5"/>
    <x v="0"/>
    <x v="12"/>
    <x v="0"/>
    <x v="670"/>
    <x v="0"/>
    <x v="2"/>
    <x v="14"/>
  </r>
  <r>
    <x v="676"/>
    <x v="32"/>
    <x v="3"/>
    <x v="3"/>
    <x v="0"/>
    <x v="671"/>
    <x v="0"/>
    <x v="0"/>
    <x v="1"/>
  </r>
  <r>
    <x v="677"/>
    <x v="17"/>
    <x v="0"/>
    <x v="3"/>
    <x v="3"/>
    <x v="672"/>
    <x v="0"/>
    <x v="0"/>
    <x v="0"/>
  </r>
  <r>
    <x v="678"/>
    <x v="4"/>
    <x v="6"/>
    <x v="4"/>
    <x v="0"/>
    <x v="673"/>
    <x v="0"/>
    <x v="2"/>
    <x v="7"/>
  </r>
  <r>
    <x v="679"/>
    <x v="17"/>
    <x v="3"/>
    <x v="1"/>
    <x v="3"/>
    <x v="674"/>
    <x v="0"/>
    <x v="2"/>
    <x v="0"/>
  </r>
  <r>
    <x v="680"/>
    <x v="20"/>
    <x v="2"/>
    <x v="14"/>
    <x v="2"/>
    <x v="675"/>
    <x v="0"/>
    <x v="1"/>
    <x v="0"/>
  </r>
  <r>
    <x v="681"/>
    <x v="21"/>
    <x v="1"/>
    <x v="12"/>
    <x v="1"/>
    <x v="676"/>
    <x v="0"/>
    <x v="0"/>
    <x v="1"/>
  </r>
  <r>
    <x v="682"/>
    <x v="1"/>
    <x v="7"/>
    <x v="11"/>
    <x v="0"/>
    <x v="677"/>
    <x v="0"/>
    <x v="2"/>
    <x v="11"/>
  </r>
  <r>
    <x v="683"/>
    <x v="23"/>
    <x v="0"/>
    <x v="26"/>
    <x v="0"/>
    <x v="678"/>
    <x v="0"/>
    <x v="1"/>
    <x v="2"/>
  </r>
  <r>
    <x v="684"/>
    <x v="23"/>
    <x v="4"/>
    <x v="27"/>
    <x v="0"/>
    <x v="679"/>
    <x v="0"/>
    <x v="1"/>
    <x v="0"/>
  </r>
  <r>
    <x v="685"/>
    <x v="17"/>
    <x v="0"/>
    <x v="7"/>
    <x v="2"/>
    <x v="680"/>
    <x v="1"/>
    <x v="0"/>
    <x v="2"/>
  </r>
  <r>
    <x v="686"/>
    <x v="1"/>
    <x v="6"/>
    <x v="2"/>
    <x v="0"/>
    <x v="681"/>
    <x v="0"/>
    <x v="2"/>
    <x v="7"/>
  </r>
  <r>
    <x v="687"/>
    <x v="11"/>
    <x v="0"/>
    <x v="1"/>
    <x v="0"/>
    <x v="682"/>
    <x v="0"/>
    <x v="1"/>
    <x v="1"/>
  </r>
  <r>
    <x v="688"/>
    <x v="17"/>
    <x v="0"/>
    <x v="10"/>
    <x v="2"/>
    <x v="683"/>
    <x v="1"/>
    <x v="2"/>
    <x v="0"/>
  </r>
  <r>
    <x v="689"/>
    <x v="12"/>
    <x v="6"/>
    <x v="2"/>
    <x v="0"/>
    <x v="684"/>
    <x v="0"/>
    <x v="2"/>
    <x v="1"/>
  </r>
  <r>
    <x v="690"/>
    <x v="9"/>
    <x v="0"/>
    <x v="21"/>
    <x v="0"/>
    <x v="685"/>
    <x v="0"/>
    <x v="1"/>
    <x v="14"/>
  </r>
  <r>
    <x v="691"/>
    <x v="24"/>
    <x v="6"/>
    <x v="16"/>
    <x v="0"/>
    <x v="686"/>
    <x v="0"/>
    <x v="0"/>
    <x v="0"/>
  </r>
  <r>
    <x v="692"/>
    <x v="24"/>
    <x v="0"/>
    <x v="27"/>
    <x v="0"/>
    <x v="687"/>
    <x v="1"/>
    <x v="0"/>
    <x v="2"/>
  </r>
  <r>
    <x v="693"/>
    <x v="13"/>
    <x v="0"/>
    <x v="12"/>
    <x v="2"/>
    <x v="688"/>
    <x v="0"/>
    <x v="2"/>
    <x v="2"/>
  </r>
  <r>
    <x v="694"/>
    <x v="21"/>
    <x v="3"/>
    <x v="11"/>
    <x v="1"/>
    <x v="689"/>
    <x v="0"/>
    <x v="0"/>
    <x v="0"/>
  </r>
  <r>
    <x v="695"/>
    <x v="21"/>
    <x v="1"/>
    <x v="20"/>
    <x v="1"/>
    <x v="690"/>
    <x v="0"/>
    <x v="2"/>
    <x v="0"/>
  </r>
  <r>
    <x v="696"/>
    <x v="33"/>
    <x v="2"/>
    <x v="22"/>
    <x v="0"/>
    <x v="691"/>
    <x v="0"/>
    <x v="0"/>
    <x v="0"/>
  </r>
  <r>
    <x v="697"/>
    <x v="24"/>
    <x v="7"/>
    <x v="23"/>
    <x v="0"/>
    <x v="692"/>
    <x v="0"/>
    <x v="2"/>
    <x v="2"/>
  </r>
  <r>
    <x v="698"/>
    <x v="28"/>
    <x v="7"/>
    <x v="20"/>
    <x v="0"/>
    <x v="693"/>
    <x v="0"/>
    <x v="0"/>
    <x v="0"/>
  </r>
  <r>
    <x v="699"/>
    <x v="15"/>
    <x v="2"/>
    <x v="23"/>
    <x v="3"/>
    <x v="694"/>
    <x v="0"/>
    <x v="1"/>
    <x v="1"/>
  </r>
  <r>
    <x v="700"/>
    <x v="28"/>
    <x v="6"/>
    <x v="17"/>
    <x v="0"/>
    <x v="695"/>
    <x v="0"/>
    <x v="2"/>
    <x v="0"/>
  </r>
  <r>
    <x v="701"/>
    <x v="24"/>
    <x v="6"/>
    <x v="26"/>
    <x v="3"/>
    <x v="696"/>
    <x v="0"/>
    <x v="0"/>
    <x v="0"/>
  </r>
  <r>
    <x v="702"/>
    <x v="13"/>
    <x v="6"/>
    <x v="25"/>
    <x v="4"/>
    <x v="697"/>
    <x v="0"/>
    <x v="1"/>
    <x v="2"/>
  </r>
  <r>
    <x v="703"/>
    <x v="8"/>
    <x v="0"/>
    <x v="13"/>
    <x v="0"/>
    <x v="698"/>
    <x v="0"/>
    <x v="0"/>
    <x v="1"/>
  </r>
  <r>
    <x v="704"/>
    <x v="11"/>
    <x v="1"/>
    <x v="26"/>
    <x v="0"/>
    <x v="699"/>
    <x v="0"/>
    <x v="2"/>
    <x v="2"/>
  </r>
  <r>
    <x v="705"/>
    <x v="21"/>
    <x v="3"/>
    <x v="27"/>
    <x v="1"/>
    <x v="700"/>
    <x v="1"/>
    <x v="1"/>
    <x v="5"/>
  </r>
  <r>
    <x v="706"/>
    <x v="25"/>
    <x v="6"/>
    <x v="26"/>
    <x v="3"/>
    <x v="701"/>
    <x v="0"/>
    <x v="2"/>
    <x v="1"/>
  </r>
  <r>
    <x v="707"/>
    <x v="21"/>
    <x v="7"/>
    <x v="10"/>
    <x v="1"/>
    <x v="702"/>
    <x v="3"/>
    <x v="1"/>
    <x v="10"/>
  </r>
  <r>
    <x v="708"/>
    <x v="21"/>
    <x v="0"/>
    <x v="22"/>
    <x v="3"/>
    <x v="703"/>
    <x v="3"/>
    <x v="2"/>
    <x v="2"/>
  </r>
  <r>
    <x v="709"/>
    <x v="33"/>
    <x v="2"/>
    <x v="0"/>
    <x v="0"/>
    <x v="704"/>
    <x v="0"/>
    <x v="2"/>
    <x v="0"/>
  </r>
  <r>
    <x v="710"/>
    <x v="4"/>
    <x v="3"/>
    <x v="0"/>
    <x v="0"/>
    <x v="705"/>
    <x v="0"/>
    <x v="0"/>
    <x v="14"/>
  </r>
  <r>
    <x v="711"/>
    <x v="20"/>
    <x v="0"/>
    <x v="27"/>
    <x v="1"/>
    <x v="706"/>
    <x v="0"/>
    <x v="1"/>
    <x v="1"/>
  </r>
  <r>
    <x v="712"/>
    <x v="14"/>
    <x v="0"/>
    <x v="22"/>
    <x v="2"/>
    <x v="707"/>
    <x v="0"/>
    <x v="2"/>
    <x v="8"/>
  </r>
  <r>
    <x v="713"/>
    <x v="22"/>
    <x v="6"/>
    <x v="20"/>
    <x v="1"/>
    <x v="708"/>
    <x v="0"/>
    <x v="0"/>
    <x v="1"/>
  </r>
  <r>
    <x v="714"/>
    <x v="22"/>
    <x v="1"/>
    <x v="25"/>
    <x v="1"/>
    <x v="709"/>
    <x v="1"/>
    <x v="2"/>
    <x v="1"/>
  </r>
  <r>
    <x v="715"/>
    <x v="16"/>
    <x v="6"/>
    <x v="14"/>
    <x v="2"/>
    <x v="710"/>
    <x v="0"/>
    <x v="0"/>
    <x v="1"/>
  </r>
  <r>
    <x v="716"/>
    <x v="34"/>
    <x v="1"/>
    <x v="0"/>
    <x v="0"/>
    <x v="711"/>
    <x v="0"/>
    <x v="2"/>
    <x v="2"/>
  </r>
  <r>
    <x v="717"/>
    <x v="27"/>
    <x v="3"/>
    <x v="16"/>
    <x v="3"/>
    <x v="712"/>
    <x v="0"/>
    <x v="1"/>
    <x v="0"/>
  </r>
  <r>
    <x v="718"/>
    <x v="35"/>
    <x v="4"/>
    <x v="8"/>
    <x v="3"/>
    <x v="713"/>
    <x v="0"/>
    <x v="0"/>
    <x v="0"/>
  </r>
  <r>
    <x v="719"/>
    <x v="33"/>
    <x v="7"/>
    <x v="10"/>
    <x v="0"/>
    <x v="714"/>
    <x v="0"/>
    <x v="0"/>
    <x v="1"/>
  </r>
  <r>
    <x v="720"/>
    <x v="29"/>
    <x v="1"/>
    <x v="19"/>
    <x v="0"/>
    <x v="715"/>
    <x v="0"/>
    <x v="0"/>
    <x v="0"/>
  </r>
  <r>
    <x v="721"/>
    <x v="20"/>
    <x v="7"/>
    <x v="21"/>
    <x v="2"/>
    <x v="716"/>
    <x v="0"/>
    <x v="1"/>
    <x v="1"/>
  </r>
  <r>
    <x v="722"/>
    <x v="21"/>
    <x v="7"/>
    <x v="19"/>
    <x v="2"/>
    <x v="717"/>
    <x v="0"/>
    <x v="1"/>
    <x v="0"/>
  </r>
  <r>
    <x v="723"/>
    <x v="20"/>
    <x v="6"/>
    <x v="0"/>
    <x v="2"/>
    <x v="718"/>
    <x v="0"/>
    <x v="2"/>
    <x v="1"/>
  </r>
  <r>
    <x v="724"/>
    <x v="33"/>
    <x v="7"/>
    <x v="16"/>
    <x v="0"/>
    <x v="719"/>
    <x v="0"/>
    <x v="2"/>
    <x v="1"/>
  </r>
  <r>
    <x v="725"/>
    <x v="15"/>
    <x v="1"/>
    <x v="5"/>
    <x v="2"/>
    <x v="720"/>
    <x v="0"/>
    <x v="0"/>
    <x v="0"/>
  </r>
  <r>
    <x v="726"/>
    <x v="19"/>
    <x v="1"/>
    <x v="12"/>
    <x v="0"/>
    <x v="721"/>
    <x v="0"/>
    <x v="1"/>
    <x v="0"/>
  </r>
  <r>
    <x v="727"/>
    <x v="19"/>
    <x v="7"/>
    <x v="5"/>
    <x v="0"/>
    <x v="722"/>
    <x v="0"/>
    <x v="0"/>
    <x v="2"/>
  </r>
  <r>
    <x v="728"/>
    <x v="15"/>
    <x v="7"/>
    <x v="29"/>
    <x v="2"/>
    <x v="723"/>
    <x v="0"/>
    <x v="1"/>
    <x v="2"/>
  </r>
  <r>
    <x v="729"/>
    <x v="20"/>
    <x v="0"/>
    <x v="12"/>
    <x v="3"/>
    <x v="724"/>
    <x v="0"/>
    <x v="1"/>
    <x v="1"/>
  </r>
  <r>
    <x v="44"/>
    <x v="20"/>
    <x v="4"/>
    <x v="4"/>
    <x v="3"/>
    <x v="725"/>
    <x v="3"/>
    <x v="2"/>
    <x v="1"/>
  </r>
  <r>
    <x v="730"/>
    <x v="20"/>
    <x v="3"/>
    <x v="12"/>
    <x v="3"/>
    <x v="725"/>
    <x v="0"/>
    <x v="2"/>
    <x v="1"/>
  </r>
  <r>
    <x v="731"/>
    <x v="7"/>
    <x v="3"/>
    <x v="23"/>
    <x v="0"/>
    <x v="726"/>
    <x v="0"/>
    <x v="2"/>
    <x v="14"/>
  </r>
  <r>
    <x v="732"/>
    <x v="0"/>
    <x v="6"/>
    <x v="8"/>
    <x v="0"/>
    <x v="727"/>
    <x v="0"/>
    <x v="1"/>
    <x v="11"/>
  </r>
  <r>
    <x v="733"/>
    <x v="30"/>
    <x v="2"/>
    <x v="7"/>
    <x v="0"/>
    <x v="728"/>
    <x v="0"/>
    <x v="2"/>
    <x v="0"/>
  </r>
  <r>
    <x v="734"/>
    <x v="27"/>
    <x v="3"/>
    <x v="11"/>
    <x v="3"/>
    <x v="729"/>
    <x v="0"/>
    <x v="2"/>
    <x v="0"/>
  </r>
  <r>
    <x v="735"/>
    <x v="22"/>
    <x v="6"/>
    <x v="20"/>
    <x v="1"/>
    <x v="730"/>
    <x v="0"/>
    <x v="1"/>
    <x v="2"/>
  </r>
  <r>
    <x v="736"/>
    <x v="25"/>
    <x v="7"/>
    <x v="23"/>
    <x v="0"/>
    <x v="731"/>
    <x v="0"/>
    <x v="1"/>
    <x v="2"/>
  </r>
  <r>
    <x v="737"/>
    <x v="30"/>
    <x v="1"/>
    <x v="20"/>
    <x v="0"/>
    <x v="732"/>
    <x v="0"/>
    <x v="2"/>
    <x v="0"/>
  </r>
  <r>
    <x v="738"/>
    <x v="30"/>
    <x v="3"/>
    <x v="26"/>
    <x v="0"/>
    <x v="733"/>
    <x v="0"/>
    <x v="2"/>
    <x v="1"/>
  </r>
  <r>
    <x v="739"/>
    <x v="33"/>
    <x v="7"/>
    <x v="20"/>
    <x v="0"/>
    <x v="734"/>
    <x v="0"/>
    <x v="2"/>
    <x v="0"/>
  </r>
  <r>
    <x v="740"/>
    <x v="4"/>
    <x v="7"/>
    <x v="17"/>
    <x v="0"/>
    <x v="735"/>
    <x v="0"/>
    <x v="1"/>
    <x v="14"/>
  </r>
  <r>
    <x v="741"/>
    <x v="21"/>
    <x v="3"/>
    <x v="22"/>
    <x v="2"/>
    <x v="736"/>
    <x v="0"/>
    <x v="1"/>
    <x v="0"/>
  </r>
  <r>
    <x v="742"/>
    <x v="19"/>
    <x v="2"/>
    <x v="1"/>
    <x v="1"/>
    <x v="737"/>
    <x v="3"/>
    <x v="0"/>
    <x v="0"/>
  </r>
  <r>
    <x v="743"/>
    <x v="1"/>
    <x v="7"/>
    <x v="25"/>
    <x v="0"/>
    <x v="738"/>
    <x v="0"/>
    <x v="1"/>
    <x v="7"/>
  </r>
  <r>
    <x v="744"/>
    <x v="19"/>
    <x v="1"/>
    <x v="18"/>
    <x v="1"/>
    <x v="739"/>
    <x v="0"/>
    <x v="1"/>
    <x v="2"/>
  </r>
  <r>
    <x v="745"/>
    <x v="19"/>
    <x v="6"/>
    <x v="9"/>
    <x v="1"/>
    <x v="740"/>
    <x v="0"/>
    <x v="0"/>
    <x v="0"/>
  </r>
  <r>
    <x v="746"/>
    <x v="8"/>
    <x v="0"/>
    <x v="6"/>
    <x v="0"/>
    <x v="741"/>
    <x v="0"/>
    <x v="0"/>
    <x v="11"/>
  </r>
  <r>
    <x v="747"/>
    <x v="28"/>
    <x v="3"/>
    <x v="17"/>
    <x v="0"/>
    <x v="742"/>
    <x v="0"/>
    <x v="1"/>
    <x v="0"/>
  </r>
  <r>
    <x v="748"/>
    <x v="34"/>
    <x v="3"/>
    <x v="6"/>
    <x v="0"/>
    <x v="743"/>
    <x v="0"/>
    <x v="2"/>
    <x v="1"/>
  </r>
  <r>
    <x v="749"/>
    <x v="9"/>
    <x v="0"/>
    <x v="3"/>
    <x v="0"/>
    <x v="744"/>
    <x v="0"/>
    <x v="2"/>
    <x v="2"/>
  </r>
  <r>
    <x v="750"/>
    <x v="20"/>
    <x v="1"/>
    <x v="11"/>
    <x v="3"/>
    <x v="745"/>
    <x v="0"/>
    <x v="1"/>
    <x v="2"/>
  </r>
  <r>
    <x v="751"/>
    <x v="20"/>
    <x v="4"/>
    <x v="21"/>
    <x v="3"/>
    <x v="746"/>
    <x v="0"/>
    <x v="1"/>
    <x v="0"/>
  </r>
  <r>
    <x v="752"/>
    <x v="16"/>
    <x v="6"/>
    <x v="2"/>
    <x v="2"/>
    <x v="747"/>
    <x v="0"/>
    <x v="2"/>
    <x v="8"/>
  </r>
  <r>
    <x v="753"/>
    <x v="18"/>
    <x v="3"/>
    <x v="22"/>
    <x v="2"/>
    <x v="748"/>
    <x v="0"/>
    <x v="2"/>
    <x v="0"/>
  </r>
  <r>
    <x v="754"/>
    <x v="22"/>
    <x v="7"/>
    <x v="27"/>
    <x v="3"/>
    <x v="749"/>
    <x v="0"/>
    <x v="1"/>
    <x v="0"/>
  </r>
  <r>
    <x v="755"/>
    <x v="22"/>
    <x v="6"/>
    <x v="11"/>
    <x v="3"/>
    <x v="750"/>
    <x v="1"/>
    <x v="2"/>
    <x v="0"/>
  </r>
  <r>
    <x v="756"/>
    <x v="24"/>
    <x v="7"/>
    <x v="1"/>
    <x v="0"/>
    <x v="751"/>
    <x v="0"/>
    <x v="1"/>
    <x v="1"/>
  </r>
  <r>
    <x v="757"/>
    <x v="13"/>
    <x v="2"/>
    <x v="18"/>
    <x v="2"/>
    <x v="752"/>
    <x v="0"/>
    <x v="2"/>
    <x v="1"/>
  </r>
  <r>
    <x v="758"/>
    <x v="8"/>
    <x v="0"/>
    <x v="15"/>
    <x v="0"/>
    <x v="753"/>
    <x v="0"/>
    <x v="0"/>
    <x v="11"/>
  </r>
  <r>
    <x v="759"/>
    <x v="33"/>
    <x v="1"/>
    <x v="0"/>
    <x v="0"/>
    <x v="754"/>
    <x v="0"/>
    <x v="1"/>
    <x v="0"/>
  </r>
  <r>
    <x v="760"/>
    <x v="21"/>
    <x v="6"/>
    <x v="2"/>
    <x v="1"/>
    <x v="755"/>
    <x v="0"/>
    <x v="1"/>
    <x v="1"/>
  </r>
  <r>
    <x v="761"/>
    <x v="35"/>
    <x v="1"/>
    <x v="14"/>
    <x v="3"/>
    <x v="756"/>
    <x v="0"/>
    <x v="2"/>
    <x v="0"/>
  </r>
  <r>
    <x v="762"/>
    <x v="23"/>
    <x v="6"/>
    <x v="19"/>
    <x v="1"/>
    <x v="757"/>
    <x v="3"/>
    <x v="2"/>
    <x v="1"/>
  </r>
  <r>
    <x v="763"/>
    <x v="6"/>
    <x v="6"/>
    <x v="25"/>
    <x v="0"/>
    <x v="758"/>
    <x v="0"/>
    <x v="2"/>
    <x v="11"/>
  </r>
  <r>
    <x v="764"/>
    <x v="23"/>
    <x v="7"/>
    <x v="13"/>
    <x v="1"/>
    <x v="759"/>
    <x v="0"/>
    <x v="1"/>
    <x v="1"/>
  </r>
  <r>
    <x v="765"/>
    <x v="17"/>
    <x v="3"/>
    <x v="0"/>
    <x v="3"/>
    <x v="760"/>
    <x v="0"/>
    <x v="0"/>
    <x v="8"/>
  </r>
  <r>
    <x v="766"/>
    <x v="20"/>
    <x v="4"/>
    <x v="23"/>
    <x v="3"/>
    <x v="761"/>
    <x v="3"/>
    <x v="0"/>
    <x v="10"/>
  </r>
  <r>
    <x v="767"/>
    <x v="33"/>
    <x v="6"/>
    <x v="4"/>
    <x v="0"/>
    <x v="762"/>
    <x v="0"/>
    <x v="1"/>
    <x v="0"/>
  </r>
  <r>
    <x v="768"/>
    <x v="32"/>
    <x v="6"/>
    <x v="12"/>
    <x v="0"/>
    <x v="763"/>
    <x v="0"/>
    <x v="0"/>
    <x v="0"/>
  </r>
  <r>
    <x v="769"/>
    <x v="17"/>
    <x v="3"/>
    <x v="6"/>
    <x v="2"/>
    <x v="764"/>
    <x v="0"/>
    <x v="2"/>
    <x v="2"/>
  </r>
  <r>
    <x v="770"/>
    <x v="35"/>
    <x v="4"/>
    <x v="1"/>
    <x v="3"/>
    <x v="765"/>
    <x v="0"/>
    <x v="0"/>
    <x v="0"/>
  </r>
  <r>
    <x v="771"/>
    <x v="31"/>
    <x v="6"/>
    <x v="16"/>
    <x v="1"/>
    <x v="766"/>
    <x v="0"/>
    <x v="0"/>
    <x v="0"/>
  </r>
  <r>
    <x v="772"/>
    <x v="20"/>
    <x v="0"/>
    <x v="12"/>
    <x v="2"/>
    <x v="767"/>
    <x v="1"/>
    <x v="2"/>
    <x v="0"/>
  </r>
  <r>
    <x v="773"/>
    <x v="21"/>
    <x v="6"/>
    <x v="9"/>
    <x v="3"/>
    <x v="768"/>
    <x v="1"/>
    <x v="0"/>
    <x v="1"/>
  </r>
  <r>
    <x v="774"/>
    <x v="21"/>
    <x v="1"/>
    <x v="5"/>
    <x v="3"/>
    <x v="769"/>
    <x v="0"/>
    <x v="0"/>
    <x v="1"/>
  </r>
  <r>
    <x v="775"/>
    <x v="19"/>
    <x v="0"/>
    <x v="3"/>
    <x v="1"/>
    <x v="770"/>
    <x v="0"/>
    <x v="2"/>
    <x v="0"/>
  </r>
  <r>
    <x v="776"/>
    <x v="24"/>
    <x v="2"/>
    <x v="26"/>
    <x v="0"/>
    <x v="771"/>
    <x v="0"/>
    <x v="0"/>
    <x v="2"/>
  </r>
  <r>
    <x v="777"/>
    <x v="33"/>
    <x v="4"/>
    <x v="5"/>
    <x v="0"/>
    <x v="772"/>
    <x v="0"/>
    <x v="2"/>
    <x v="0"/>
  </r>
  <r>
    <x v="778"/>
    <x v="23"/>
    <x v="7"/>
    <x v="0"/>
    <x v="1"/>
    <x v="773"/>
    <x v="0"/>
    <x v="0"/>
    <x v="2"/>
  </r>
  <r>
    <x v="779"/>
    <x v="23"/>
    <x v="6"/>
    <x v="13"/>
    <x v="1"/>
    <x v="774"/>
    <x v="0"/>
    <x v="2"/>
    <x v="0"/>
  </r>
  <r>
    <x v="780"/>
    <x v="11"/>
    <x v="0"/>
    <x v="15"/>
    <x v="0"/>
    <x v="775"/>
    <x v="0"/>
    <x v="1"/>
    <x v="11"/>
  </r>
  <r>
    <x v="781"/>
    <x v="35"/>
    <x v="7"/>
    <x v="29"/>
    <x v="3"/>
    <x v="776"/>
    <x v="0"/>
    <x v="1"/>
    <x v="0"/>
  </r>
  <r>
    <x v="782"/>
    <x v="23"/>
    <x v="6"/>
    <x v="8"/>
    <x v="2"/>
    <x v="777"/>
    <x v="0"/>
    <x v="1"/>
    <x v="0"/>
  </r>
  <r>
    <x v="783"/>
    <x v="23"/>
    <x v="7"/>
    <x v="24"/>
    <x v="2"/>
    <x v="778"/>
    <x v="0"/>
    <x v="2"/>
    <x v="1"/>
  </r>
  <r>
    <x v="784"/>
    <x v="34"/>
    <x v="4"/>
    <x v="28"/>
    <x v="0"/>
    <x v="779"/>
    <x v="0"/>
    <x v="0"/>
    <x v="0"/>
  </r>
  <r>
    <x v="785"/>
    <x v="18"/>
    <x v="4"/>
    <x v="14"/>
    <x v="2"/>
    <x v="780"/>
    <x v="0"/>
    <x v="0"/>
    <x v="1"/>
  </r>
  <r>
    <x v="786"/>
    <x v="13"/>
    <x v="6"/>
    <x v="19"/>
    <x v="2"/>
    <x v="781"/>
    <x v="0"/>
    <x v="2"/>
    <x v="8"/>
  </r>
  <r>
    <x v="787"/>
    <x v="36"/>
    <x v="4"/>
    <x v="20"/>
    <x v="0"/>
    <x v="782"/>
    <x v="1"/>
    <x v="2"/>
    <x v="0"/>
  </r>
  <r>
    <x v="788"/>
    <x v="21"/>
    <x v="3"/>
    <x v="4"/>
    <x v="1"/>
    <x v="783"/>
    <x v="0"/>
    <x v="2"/>
    <x v="8"/>
  </r>
  <r>
    <x v="789"/>
    <x v="19"/>
    <x v="0"/>
    <x v="4"/>
    <x v="0"/>
    <x v="784"/>
    <x v="0"/>
    <x v="1"/>
    <x v="1"/>
  </r>
  <r>
    <x v="790"/>
    <x v="21"/>
    <x v="7"/>
    <x v="16"/>
    <x v="3"/>
    <x v="785"/>
    <x v="0"/>
    <x v="0"/>
    <x v="2"/>
  </r>
  <r>
    <x v="791"/>
    <x v="23"/>
    <x v="1"/>
    <x v="12"/>
    <x v="3"/>
    <x v="786"/>
    <x v="0"/>
    <x v="1"/>
    <x v="0"/>
  </r>
  <r>
    <x v="792"/>
    <x v="23"/>
    <x v="4"/>
    <x v="7"/>
    <x v="1"/>
    <x v="787"/>
    <x v="1"/>
    <x v="2"/>
    <x v="5"/>
  </r>
  <r>
    <x v="793"/>
    <x v="23"/>
    <x v="1"/>
    <x v="15"/>
    <x v="3"/>
    <x v="788"/>
    <x v="0"/>
    <x v="0"/>
    <x v="2"/>
  </r>
  <r>
    <x v="794"/>
    <x v="23"/>
    <x v="6"/>
    <x v="13"/>
    <x v="1"/>
    <x v="789"/>
    <x v="1"/>
    <x v="2"/>
    <x v="3"/>
  </r>
  <r>
    <x v="795"/>
    <x v="29"/>
    <x v="6"/>
    <x v="7"/>
    <x v="0"/>
    <x v="790"/>
    <x v="0"/>
    <x v="1"/>
    <x v="0"/>
  </r>
  <r>
    <x v="796"/>
    <x v="12"/>
    <x v="3"/>
    <x v="6"/>
    <x v="0"/>
    <x v="791"/>
    <x v="0"/>
    <x v="1"/>
    <x v="1"/>
  </r>
  <r>
    <x v="797"/>
    <x v="16"/>
    <x v="2"/>
    <x v="19"/>
    <x v="2"/>
    <x v="792"/>
    <x v="0"/>
    <x v="2"/>
    <x v="11"/>
  </r>
  <r>
    <x v="798"/>
    <x v="21"/>
    <x v="4"/>
    <x v="26"/>
    <x v="3"/>
    <x v="793"/>
    <x v="0"/>
    <x v="0"/>
    <x v="4"/>
  </r>
  <r>
    <x v="799"/>
    <x v="33"/>
    <x v="1"/>
    <x v="26"/>
    <x v="0"/>
    <x v="794"/>
    <x v="0"/>
    <x v="0"/>
    <x v="0"/>
  </r>
  <r>
    <x v="800"/>
    <x v="21"/>
    <x v="0"/>
    <x v="5"/>
    <x v="2"/>
    <x v="795"/>
    <x v="1"/>
    <x v="2"/>
    <x v="0"/>
  </r>
  <r>
    <x v="801"/>
    <x v="13"/>
    <x v="1"/>
    <x v="11"/>
    <x v="5"/>
    <x v="796"/>
    <x v="0"/>
    <x v="1"/>
    <x v="0"/>
  </r>
  <r>
    <x v="802"/>
    <x v="23"/>
    <x v="3"/>
    <x v="3"/>
    <x v="2"/>
    <x v="797"/>
    <x v="0"/>
    <x v="2"/>
    <x v="0"/>
  </r>
  <r>
    <x v="803"/>
    <x v="19"/>
    <x v="3"/>
    <x v="17"/>
    <x v="1"/>
    <x v="798"/>
    <x v="1"/>
    <x v="1"/>
    <x v="1"/>
  </r>
  <r>
    <x v="804"/>
    <x v="13"/>
    <x v="7"/>
    <x v="4"/>
    <x v="5"/>
    <x v="799"/>
    <x v="1"/>
    <x v="1"/>
    <x v="2"/>
  </r>
  <r>
    <x v="805"/>
    <x v="20"/>
    <x v="0"/>
    <x v="0"/>
    <x v="3"/>
    <x v="800"/>
    <x v="0"/>
    <x v="0"/>
    <x v="1"/>
  </r>
  <r>
    <x v="806"/>
    <x v="36"/>
    <x v="0"/>
    <x v="2"/>
    <x v="0"/>
    <x v="801"/>
    <x v="1"/>
    <x v="1"/>
    <x v="1"/>
  </r>
  <r>
    <x v="807"/>
    <x v="32"/>
    <x v="4"/>
    <x v="8"/>
    <x v="0"/>
    <x v="802"/>
    <x v="0"/>
    <x v="1"/>
    <x v="0"/>
  </r>
  <r>
    <x v="808"/>
    <x v="22"/>
    <x v="2"/>
    <x v="8"/>
    <x v="3"/>
    <x v="803"/>
    <x v="1"/>
    <x v="0"/>
    <x v="1"/>
  </r>
  <r>
    <x v="809"/>
    <x v="11"/>
    <x v="2"/>
    <x v="2"/>
    <x v="0"/>
    <x v="804"/>
    <x v="0"/>
    <x v="1"/>
    <x v="1"/>
  </r>
  <r>
    <x v="810"/>
    <x v="27"/>
    <x v="7"/>
    <x v="27"/>
    <x v="3"/>
    <x v="805"/>
    <x v="0"/>
    <x v="0"/>
    <x v="0"/>
  </r>
  <r>
    <x v="811"/>
    <x v="36"/>
    <x v="0"/>
    <x v="14"/>
    <x v="0"/>
    <x v="806"/>
    <x v="1"/>
    <x v="1"/>
    <x v="1"/>
  </r>
  <r>
    <x v="812"/>
    <x v="18"/>
    <x v="6"/>
    <x v="15"/>
    <x v="2"/>
    <x v="807"/>
    <x v="1"/>
    <x v="2"/>
    <x v="5"/>
  </r>
  <r>
    <x v="813"/>
    <x v="18"/>
    <x v="2"/>
    <x v="16"/>
    <x v="2"/>
    <x v="808"/>
    <x v="1"/>
    <x v="1"/>
    <x v="5"/>
  </r>
  <r>
    <x v="814"/>
    <x v="33"/>
    <x v="2"/>
    <x v="17"/>
    <x v="0"/>
    <x v="809"/>
    <x v="0"/>
    <x v="1"/>
    <x v="0"/>
  </r>
  <r>
    <x v="815"/>
    <x v="37"/>
    <x v="4"/>
    <x v="0"/>
    <x v="0"/>
    <x v="810"/>
    <x v="1"/>
    <x v="2"/>
    <x v="0"/>
  </r>
  <r>
    <x v="816"/>
    <x v="15"/>
    <x v="7"/>
    <x v="23"/>
    <x v="2"/>
    <x v="811"/>
    <x v="0"/>
    <x v="2"/>
    <x v="8"/>
  </r>
  <r>
    <x v="817"/>
    <x v="19"/>
    <x v="3"/>
    <x v="27"/>
    <x v="1"/>
    <x v="812"/>
    <x v="0"/>
    <x v="0"/>
    <x v="0"/>
  </r>
  <r>
    <x v="818"/>
    <x v="19"/>
    <x v="3"/>
    <x v="28"/>
    <x v="1"/>
    <x v="813"/>
    <x v="0"/>
    <x v="0"/>
    <x v="2"/>
  </r>
  <r>
    <x v="819"/>
    <x v="19"/>
    <x v="7"/>
    <x v="26"/>
    <x v="1"/>
    <x v="814"/>
    <x v="0"/>
    <x v="1"/>
    <x v="0"/>
  </r>
  <r>
    <x v="820"/>
    <x v="24"/>
    <x v="1"/>
    <x v="29"/>
    <x v="3"/>
    <x v="815"/>
    <x v="0"/>
    <x v="2"/>
    <x v="0"/>
  </r>
  <r>
    <x v="821"/>
    <x v="20"/>
    <x v="4"/>
    <x v="18"/>
    <x v="2"/>
    <x v="816"/>
    <x v="1"/>
    <x v="0"/>
    <x v="1"/>
  </r>
  <r>
    <x v="822"/>
    <x v="14"/>
    <x v="2"/>
    <x v="7"/>
    <x v="5"/>
    <x v="817"/>
    <x v="3"/>
    <x v="2"/>
    <x v="10"/>
  </r>
  <r>
    <x v="823"/>
    <x v="31"/>
    <x v="6"/>
    <x v="17"/>
    <x v="1"/>
    <x v="818"/>
    <x v="0"/>
    <x v="1"/>
    <x v="1"/>
  </r>
  <r>
    <x v="824"/>
    <x v="11"/>
    <x v="0"/>
    <x v="26"/>
    <x v="0"/>
    <x v="819"/>
    <x v="0"/>
    <x v="2"/>
    <x v="11"/>
  </r>
  <r>
    <x v="825"/>
    <x v="25"/>
    <x v="0"/>
    <x v="21"/>
    <x v="0"/>
    <x v="820"/>
    <x v="1"/>
    <x v="1"/>
    <x v="5"/>
  </r>
  <r>
    <x v="826"/>
    <x v="10"/>
    <x v="1"/>
    <x v="1"/>
    <x v="0"/>
    <x v="821"/>
    <x v="0"/>
    <x v="1"/>
    <x v="1"/>
  </r>
  <r>
    <x v="827"/>
    <x v="26"/>
    <x v="2"/>
    <x v="21"/>
    <x v="3"/>
    <x v="822"/>
    <x v="0"/>
    <x v="1"/>
    <x v="0"/>
  </r>
  <r>
    <x v="828"/>
    <x v="25"/>
    <x v="1"/>
    <x v="6"/>
    <x v="1"/>
    <x v="823"/>
    <x v="0"/>
    <x v="2"/>
    <x v="2"/>
  </r>
  <r>
    <x v="829"/>
    <x v="19"/>
    <x v="2"/>
    <x v="11"/>
    <x v="1"/>
    <x v="824"/>
    <x v="0"/>
    <x v="2"/>
    <x v="4"/>
  </r>
  <r>
    <x v="830"/>
    <x v="27"/>
    <x v="6"/>
    <x v="16"/>
    <x v="3"/>
    <x v="825"/>
    <x v="0"/>
    <x v="1"/>
    <x v="0"/>
  </r>
  <r>
    <x v="831"/>
    <x v="34"/>
    <x v="7"/>
    <x v="29"/>
    <x v="0"/>
    <x v="826"/>
    <x v="0"/>
    <x v="2"/>
    <x v="0"/>
  </r>
  <r>
    <x v="832"/>
    <x v="19"/>
    <x v="2"/>
    <x v="29"/>
    <x v="3"/>
    <x v="827"/>
    <x v="0"/>
    <x v="2"/>
    <x v="2"/>
  </r>
  <r>
    <x v="833"/>
    <x v="9"/>
    <x v="4"/>
    <x v="18"/>
    <x v="0"/>
    <x v="828"/>
    <x v="0"/>
    <x v="1"/>
    <x v="1"/>
  </r>
  <r>
    <x v="834"/>
    <x v="20"/>
    <x v="3"/>
    <x v="23"/>
    <x v="3"/>
    <x v="829"/>
    <x v="0"/>
    <x v="1"/>
    <x v="8"/>
  </r>
  <r>
    <x v="835"/>
    <x v="13"/>
    <x v="4"/>
    <x v="27"/>
    <x v="2"/>
    <x v="830"/>
    <x v="0"/>
    <x v="0"/>
    <x v="8"/>
  </r>
  <r>
    <x v="836"/>
    <x v="21"/>
    <x v="3"/>
    <x v="16"/>
    <x v="3"/>
    <x v="831"/>
    <x v="0"/>
    <x v="0"/>
    <x v="1"/>
  </r>
  <r>
    <x v="837"/>
    <x v="27"/>
    <x v="1"/>
    <x v="7"/>
    <x v="3"/>
    <x v="832"/>
    <x v="0"/>
    <x v="2"/>
    <x v="0"/>
  </r>
  <r>
    <x v="838"/>
    <x v="24"/>
    <x v="6"/>
    <x v="1"/>
    <x v="1"/>
    <x v="833"/>
    <x v="0"/>
    <x v="2"/>
    <x v="1"/>
  </r>
  <r>
    <x v="839"/>
    <x v="24"/>
    <x v="7"/>
    <x v="16"/>
    <x v="3"/>
    <x v="834"/>
    <x v="0"/>
    <x v="0"/>
    <x v="0"/>
  </r>
  <r>
    <x v="840"/>
    <x v="27"/>
    <x v="4"/>
    <x v="21"/>
    <x v="0"/>
    <x v="835"/>
    <x v="3"/>
    <x v="2"/>
    <x v="1"/>
  </r>
  <r>
    <x v="841"/>
    <x v="24"/>
    <x v="6"/>
    <x v="14"/>
    <x v="3"/>
    <x v="836"/>
    <x v="0"/>
    <x v="2"/>
    <x v="0"/>
  </r>
  <r>
    <x v="842"/>
    <x v="31"/>
    <x v="2"/>
    <x v="28"/>
    <x v="1"/>
    <x v="837"/>
    <x v="0"/>
    <x v="0"/>
    <x v="0"/>
  </r>
  <r>
    <x v="843"/>
    <x v="20"/>
    <x v="4"/>
    <x v="23"/>
    <x v="2"/>
    <x v="838"/>
    <x v="0"/>
    <x v="2"/>
    <x v="4"/>
  </r>
  <r>
    <x v="844"/>
    <x v="23"/>
    <x v="7"/>
    <x v="14"/>
    <x v="3"/>
    <x v="839"/>
    <x v="1"/>
    <x v="1"/>
    <x v="1"/>
  </r>
  <r>
    <x v="845"/>
    <x v="23"/>
    <x v="3"/>
    <x v="5"/>
    <x v="2"/>
    <x v="840"/>
    <x v="0"/>
    <x v="1"/>
    <x v="0"/>
  </r>
  <r>
    <x v="846"/>
    <x v="34"/>
    <x v="0"/>
    <x v="19"/>
    <x v="0"/>
    <x v="841"/>
    <x v="0"/>
    <x v="0"/>
    <x v="0"/>
  </r>
  <r>
    <x v="847"/>
    <x v="27"/>
    <x v="2"/>
    <x v="24"/>
    <x v="3"/>
    <x v="842"/>
    <x v="0"/>
    <x v="2"/>
    <x v="0"/>
  </r>
  <r>
    <x v="848"/>
    <x v="4"/>
    <x v="7"/>
    <x v="7"/>
    <x v="0"/>
    <x v="843"/>
    <x v="0"/>
    <x v="0"/>
    <x v="1"/>
  </r>
  <r>
    <x v="849"/>
    <x v="24"/>
    <x v="0"/>
    <x v="9"/>
    <x v="1"/>
    <x v="844"/>
    <x v="0"/>
    <x v="1"/>
    <x v="2"/>
  </r>
  <r>
    <x v="850"/>
    <x v="24"/>
    <x v="7"/>
    <x v="12"/>
    <x v="1"/>
    <x v="845"/>
    <x v="0"/>
    <x v="0"/>
    <x v="0"/>
  </r>
  <r>
    <x v="851"/>
    <x v="24"/>
    <x v="0"/>
    <x v="27"/>
    <x v="0"/>
    <x v="846"/>
    <x v="0"/>
    <x v="1"/>
    <x v="8"/>
  </r>
  <r>
    <x v="852"/>
    <x v="24"/>
    <x v="2"/>
    <x v="13"/>
    <x v="1"/>
    <x v="847"/>
    <x v="0"/>
    <x v="0"/>
    <x v="2"/>
  </r>
  <r>
    <x v="853"/>
    <x v="27"/>
    <x v="2"/>
    <x v="18"/>
    <x v="3"/>
    <x v="848"/>
    <x v="0"/>
    <x v="2"/>
    <x v="0"/>
  </r>
  <r>
    <x v="854"/>
    <x v="23"/>
    <x v="7"/>
    <x v="19"/>
    <x v="1"/>
    <x v="849"/>
    <x v="0"/>
    <x v="0"/>
    <x v="8"/>
  </r>
  <r>
    <x v="855"/>
    <x v="0"/>
    <x v="2"/>
    <x v="14"/>
    <x v="0"/>
    <x v="850"/>
    <x v="0"/>
    <x v="2"/>
    <x v="1"/>
  </r>
  <r>
    <x v="856"/>
    <x v="17"/>
    <x v="6"/>
    <x v="20"/>
    <x v="2"/>
    <x v="851"/>
    <x v="0"/>
    <x v="1"/>
    <x v="1"/>
  </r>
  <r>
    <x v="857"/>
    <x v="36"/>
    <x v="2"/>
    <x v="7"/>
    <x v="0"/>
    <x v="852"/>
    <x v="1"/>
    <x v="2"/>
    <x v="0"/>
  </r>
  <r>
    <x v="858"/>
    <x v="1"/>
    <x v="6"/>
    <x v="5"/>
    <x v="0"/>
    <x v="853"/>
    <x v="0"/>
    <x v="2"/>
    <x v="11"/>
  </r>
  <r>
    <x v="859"/>
    <x v="21"/>
    <x v="0"/>
    <x v="15"/>
    <x v="3"/>
    <x v="854"/>
    <x v="0"/>
    <x v="1"/>
    <x v="8"/>
  </r>
  <r>
    <x v="860"/>
    <x v="7"/>
    <x v="6"/>
    <x v="26"/>
    <x v="0"/>
    <x v="855"/>
    <x v="0"/>
    <x v="1"/>
    <x v="16"/>
  </r>
  <r>
    <x v="861"/>
    <x v="21"/>
    <x v="1"/>
    <x v="27"/>
    <x v="3"/>
    <x v="856"/>
    <x v="0"/>
    <x v="2"/>
    <x v="8"/>
  </r>
  <r>
    <x v="862"/>
    <x v="35"/>
    <x v="2"/>
    <x v="18"/>
    <x v="0"/>
    <x v="857"/>
    <x v="1"/>
    <x v="2"/>
    <x v="2"/>
  </r>
  <r>
    <x v="863"/>
    <x v="27"/>
    <x v="0"/>
    <x v="1"/>
    <x v="1"/>
    <x v="858"/>
    <x v="0"/>
    <x v="0"/>
    <x v="0"/>
  </r>
  <r>
    <x v="864"/>
    <x v="21"/>
    <x v="2"/>
    <x v="7"/>
    <x v="2"/>
    <x v="859"/>
    <x v="0"/>
    <x v="2"/>
    <x v="2"/>
  </r>
  <r>
    <x v="865"/>
    <x v="27"/>
    <x v="3"/>
    <x v="19"/>
    <x v="1"/>
    <x v="860"/>
    <x v="1"/>
    <x v="2"/>
    <x v="0"/>
  </r>
  <r>
    <x v="866"/>
    <x v="19"/>
    <x v="0"/>
    <x v="17"/>
    <x v="1"/>
    <x v="861"/>
    <x v="0"/>
    <x v="1"/>
    <x v="1"/>
  </r>
  <r>
    <x v="867"/>
    <x v="24"/>
    <x v="2"/>
    <x v="12"/>
    <x v="3"/>
    <x v="862"/>
    <x v="0"/>
    <x v="2"/>
    <x v="2"/>
  </r>
  <r>
    <x v="868"/>
    <x v="24"/>
    <x v="7"/>
    <x v="15"/>
    <x v="3"/>
    <x v="863"/>
    <x v="0"/>
    <x v="1"/>
    <x v="0"/>
  </r>
  <r>
    <x v="869"/>
    <x v="24"/>
    <x v="3"/>
    <x v="1"/>
    <x v="3"/>
    <x v="864"/>
    <x v="0"/>
    <x v="0"/>
    <x v="0"/>
  </r>
  <r>
    <x v="870"/>
    <x v="23"/>
    <x v="6"/>
    <x v="25"/>
    <x v="3"/>
    <x v="865"/>
    <x v="1"/>
    <x v="2"/>
    <x v="5"/>
  </r>
  <r>
    <x v="871"/>
    <x v="31"/>
    <x v="0"/>
    <x v="11"/>
    <x v="1"/>
    <x v="866"/>
    <x v="0"/>
    <x v="0"/>
    <x v="0"/>
  </r>
  <r>
    <x v="872"/>
    <x v="36"/>
    <x v="6"/>
    <x v="9"/>
    <x v="0"/>
    <x v="867"/>
    <x v="1"/>
    <x v="0"/>
    <x v="0"/>
  </r>
  <r>
    <x v="873"/>
    <x v="23"/>
    <x v="3"/>
    <x v="10"/>
    <x v="2"/>
    <x v="868"/>
    <x v="1"/>
    <x v="2"/>
    <x v="2"/>
  </r>
  <r>
    <x v="874"/>
    <x v="22"/>
    <x v="6"/>
    <x v="20"/>
    <x v="3"/>
    <x v="869"/>
    <x v="0"/>
    <x v="0"/>
    <x v="1"/>
  </r>
  <r>
    <x v="875"/>
    <x v="22"/>
    <x v="1"/>
    <x v="27"/>
    <x v="3"/>
    <x v="870"/>
    <x v="0"/>
    <x v="0"/>
    <x v="1"/>
  </r>
  <r>
    <x v="876"/>
    <x v="14"/>
    <x v="2"/>
    <x v="13"/>
    <x v="2"/>
    <x v="871"/>
    <x v="0"/>
    <x v="2"/>
    <x v="11"/>
  </r>
  <r>
    <x v="877"/>
    <x v="26"/>
    <x v="3"/>
    <x v="21"/>
    <x v="0"/>
    <x v="872"/>
    <x v="1"/>
    <x v="0"/>
    <x v="1"/>
  </r>
  <r>
    <x v="878"/>
    <x v="18"/>
    <x v="0"/>
    <x v="2"/>
    <x v="2"/>
    <x v="873"/>
    <x v="0"/>
    <x v="1"/>
    <x v="8"/>
  </r>
  <r>
    <x v="879"/>
    <x v="18"/>
    <x v="3"/>
    <x v="24"/>
    <x v="4"/>
    <x v="874"/>
    <x v="0"/>
    <x v="0"/>
    <x v="0"/>
  </r>
  <r>
    <x v="880"/>
    <x v="23"/>
    <x v="0"/>
    <x v="18"/>
    <x v="2"/>
    <x v="875"/>
    <x v="0"/>
    <x v="1"/>
    <x v="0"/>
  </r>
  <r>
    <x v="881"/>
    <x v="19"/>
    <x v="6"/>
    <x v="10"/>
    <x v="3"/>
    <x v="876"/>
    <x v="1"/>
    <x v="2"/>
    <x v="1"/>
  </r>
  <r>
    <x v="882"/>
    <x v="19"/>
    <x v="2"/>
    <x v="2"/>
    <x v="3"/>
    <x v="877"/>
    <x v="1"/>
    <x v="0"/>
    <x v="1"/>
  </r>
  <r>
    <x v="883"/>
    <x v="29"/>
    <x v="7"/>
    <x v="22"/>
    <x v="0"/>
    <x v="878"/>
    <x v="0"/>
    <x v="2"/>
    <x v="0"/>
  </r>
  <r>
    <x v="884"/>
    <x v="19"/>
    <x v="6"/>
    <x v="6"/>
    <x v="3"/>
    <x v="879"/>
    <x v="1"/>
    <x v="0"/>
    <x v="1"/>
  </r>
  <r>
    <x v="885"/>
    <x v="35"/>
    <x v="4"/>
    <x v="14"/>
    <x v="3"/>
    <x v="880"/>
    <x v="0"/>
    <x v="1"/>
    <x v="0"/>
  </r>
  <r>
    <x v="886"/>
    <x v="20"/>
    <x v="1"/>
    <x v="24"/>
    <x v="2"/>
    <x v="881"/>
    <x v="0"/>
    <x v="1"/>
    <x v="1"/>
  </r>
  <r>
    <x v="887"/>
    <x v="37"/>
    <x v="4"/>
    <x v="9"/>
    <x v="0"/>
    <x v="882"/>
    <x v="1"/>
    <x v="1"/>
    <x v="1"/>
  </r>
  <r>
    <x v="888"/>
    <x v="38"/>
    <x v="2"/>
    <x v="19"/>
    <x v="0"/>
    <x v="883"/>
    <x v="1"/>
    <x v="0"/>
    <x v="0"/>
  </r>
  <r>
    <x v="889"/>
    <x v="38"/>
    <x v="2"/>
    <x v="22"/>
    <x v="0"/>
    <x v="884"/>
    <x v="1"/>
    <x v="1"/>
    <x v="0"/>
  </r>
  <r>
    <x v="890"/>
    <x v="30"/>
    <x v="6"/>
    <x v="20"/>
    <x v="0"/>
    <x v="885"/>
    <x v="0"/>
    <x v="0"/>
    <x v="1"/>
  </r>
  <r>
    <x v="891"/>
    <x v="38"/>
    <x v="0"/>
    <x v="20"/>
    <x v="0"/>
    <x v="886"/>
    <x v="1"/>
    <x v="0"/>
    <x v="1"/>
  </r>
  <r>
    <x v="892"/>
    <x v="9"/>
    <x v="1"/>
    <x v="21"/>
    <x v="0"/>
    <x v="887"/>
    <x v="0"/>
    <x v="2"/>
    <x v="8"/>
  </r>
  <r>
    <x v="893"/>
    <x v="25"/>
    <x v="2"/>
    <x v="11"/>
    <x v="0"/>
    <x v="888"/>
    <x v="0"/>
    <x v="0"/>
    <x v="8"/>
  </r>
  <r>
    <x v="894"/>
    <x v="21"/>
    <x v="0"/>
    <x v="22"/>
    <x v="2"/>
    <x v="889"/>
    <x v="0"/>
    <x v="1"/>
    <x v="1"/>
  </r>
  <r>
    <x v="895"/>
    <x v="25"/>
    <x v="3"/>
    <x v="11"/>
    <x v="1"/>
    <x v="890"/>
    <x v="0"/>
    <x v="0"/>
    <x v="2"/>
  </r>
  <r>
    <x v="896"/>
    <x v="18"/>
    <x v="2"/>
    <x v="21"/>
    <x v="2"/>
    <x v="891"/>
    <x v="0"/>
    <x v="2"/>
    <x v="1"/>
  </r>
  <r>
    <x v="897"/>
    <x v="26"/>
    <x v="4"/>
    <x v="14"/>
    <x v="0"/>
    <x v="892"/>
    <x v="0"/>
    <x v="1"/>
    <x v="2"/>
  </r>
  <r>
    <x v="898"/>
    <x v="25"/>
    <x v="2"/>
    <x v="9"/>
    <x v="1"/>
    <x v="893"/>
    <x v="0"/>
    <x v="1"/>
    <x v="0"/>
  </r>
  <r>
    <x v="899"/>
    <x v="26"/>
    <x v="4"/>
    <x v="5"/>
    <x v="0"/>
    <x v="894"/>
    <x v="0"/>
    <x v="1"/>
    <x v="2"/>
  </r>
  <r>
    <x v="900"/>
    <x v="1"/>
    <x v="7"/>
    <x v="16"/>
    <x v="0"/>
    <x v="895"/>
    <x v="0"/>
    <x v="2"/>
    <x v="11"/>
  </r>
  <r>
    <x v="901"/>
    <x v="22"/>
    <x v="2"/>
    <x v="27"/>
    <x v="2"/>
    <x v="896"/>
    <x v="0"/>
    <x v="2"/>
    <x v="1"/>
  </r>
  <r>
    <x v="902"/>
    <x v="19"/>
    <x v="0"/>
    <x v="25"/>
    <x v="1"/>
    <x v="897"/>
    <x v="0"/>
    <x v="0"/>
    <x v="8"/>
  </r>
  <r>
    <x v="903"/>
    <x v="38"/>
    <x v="4"/>
    <x v="0"/>
    <x v="0"/>
    <x v="898"/>
    <x v="1"/>
    <x v="0"/>
    <x v="0"/>
  </r>
  <r>
    <x v="904"/>
    <x v="19"/>
    <x v="1"/>
    <x v="18"/>
    <x v="3"/>
    <x v="899"/>
    <x v="0"/>
    <x v="1"/>
    <x v="2"/>
  </r>
  <r>
    <x v="905"/>
    <x v="1"/>
    <x v="0"/>
    <x v="12"/>
    <x v="0"/>
    <x v="900"/>
    <x v="0"/>
    <x v="2"/>
    <x v="14"/>
  </r>
  <r>
    <x v="906"/>
    <x v="38"/>
    <x v="4"/>
    <x v="16"/>
    <x v="0"/>
    <x v="901"/>
    <x v="1"/>
    <x v="2"/>
    <x v="0"/>
  </r>
  <r>
    <x v="907"/>
    <x v="22"/>
    <x v="3"/>
    <x v="11"/>
    <x v="2"/>
    <x v="902"/>
    <x v="0"/>
    <x v="2"/>
    <x v="2"/>
  </r>
  <r>
    <x v="908"/>
    <x v="27"/>
    <x v="1"/>
    <x v="8"/>
    <x v="0"/>
    <x v="903"/>
    <x v="0"/>
    <x v="2"/>
    <x v="1"/>
  </r>
  <r>
    <x v="909"/>
    <x v="27"/>
    <x v="4"/>
    <x v="24"/>
    <x v="0"/>
    <x v="904"/>
    <x v="0"/>
    <x v="0"/>
    <x v="1"/>
  </r>
  <r>
    <x v="910"/>
    <x v="26"/>
    <x v="6"/>
    <x v="22"/>
    <x v="1"/>
    <x v="905"/>
    <x v="1"/>
    <x v="2"/>
    <x v="2"/>
  </r>
  <r>
    <x v="911"/>
    <x v="25"/>
    <x v="3"/>
    <x v="5"/>
    <x v="3"/>
    <x v="906"/>
    <x v="1"/>
    <x v="2"/>
    <x v="2"/>
  </r>
  <r>
    <x v="912"/>
    <x v="24"/>
    <x v="0"/>
    <x v="15"/>
    <x v="1"/>
    <x v="907"/>
    <x v="0"/>
    <x v="0"/>
    <x v="1"/>
  </r>
  <r>
    <x v="913"/>
    <x v="26"/>
    <x v="3"/>
    <x v="22"/>
    <x v="1"/>
    <x v="908"/>
    <x v="1"/>
    <x v="1"/>
    <x v="2"/>
  </r>
  <r>
    <x v="914"/>
    <x v="26"/>
    <x v="3"/>
    <x v="1"/>
    <x v="0"/>
    <x v="909"/>
    <x v="1"/>
    <x v="0"/>
    <x v="12"/>
  </r>
  <r>
    <x v="915"/>
    <x v="3"/>
    <x v="2"/>
    <x v="5"/>
    <x v="0"/>
    <x v="910"/>
    <x v="0"/>
    <x v="2"/>
    <x v="1"/>
  </r>
  <r>
    <x v="916"/>
    <x v="39"/>
    <x v="6"/>
    <x v="6"/>
    <x v="0"/>
    <x v="911"/>
    <x v="1"/>
    <x v="0"/>
    <x v="0"/>
  </r>
  <r>
    <x v="917"/>
    <x v="8"/>
    <x v="2"/>
    <x v="10"/>
    <x v="0"/>
    <x v="912"/>
    <x v="0"/>
    <x v="0"/>
    <x v="1"/>
  </r>
  <r>
    <x v="918"/>
    <x v="15"/>
    <x v="4"/>
    <x v="21"/>
    <x v="2"/>
    <x v="913"/>
    <x v="0"/>
    <x v="0"/>
    <x v="7"/>
  </r>
  <r>
    <x v="919"/>
    <x v="6"/>
    <x v="7"/>
    <x v="13"/>
    <x v="0"/>
    <x v="914"/>
    <x v="0"/>
    <x v="1"/>
    <x v="1"/>
  </r>
  <r>
    <x v="920"/>
    <x v="22"/>
    <x v="0"/>
    <x v="23"/>
    <x v="4"/>
    <x v="915"/>
    <x v="1"/>
    <x v="2"/>
    <x v="2"/>
  </r>
  <r>
    <x v="921"/>
    <x v="27"/>
    <x v="7"/>
    <x v="14"/>
    <x v="1"/>
    <x v="916"/>
    <x v="0"/>
    <x v="0"/>
    <x v="1"/>
  </r>
  <r>
    <x v="922"/>
    <x v="35"/>
    <x v="7"/>
    <x v="23"/>
    <x v="0"/>
    <x v="917"/>
    <x v="1"/>
    <x v="1"/>
    <x v="1"/>
  </r>
  <r>
    <x v="923"/>
    <x v="27"/>
    <x v="4"/>
    <x v="10"/>
    <x v="3"/>
    <x v="918"/>
    <x v="0"/>
    <x v="1"/>
    <x v="0"/>
  </r>
  <r>
    <x v="924"/>
    <x v="21"/>
    <x v="6"/>
    <x v="12"/>
    <x v="2"/>
    <x v="919"/>
    <x v="0"/>
    <x v="2"/>
    <x v="1"/>
  </r>
  <r>
    <x v="925"/>
    <x v="15"/>
    <x v="4"/>
    <x v="21"/>
    <x v="2"/>
    <x v="920"/>
    <x v="0"/>
    <x v="2"/>
    <x v="1"/>
  </r>
  <r>
    <x v="926"/>
    <x v="11"/>
    <x v="6"/>
    <x v="10"/>
    <x v="0"/>
    <x v="921"/>
    <x v="0"/>
    <x v="2"/>
    <x v="11"/>
  </r>
  <r>
    <x v="927"/>
    <x v="39"/>
    <x v="0"/>
    <x v="17"/>
    <x v="0"/>
    <x v="922"/>
    <x v="1"/>
    <x v="2"/>
    <x v="0"/>
  </r>
  <r>
    <x v="928"/>
    <x v="6"/>
    <x v="3"/>
    <x v="1"/>
    <x v="0"/>
    <x v="923"/>
    <x v="0"/>
    <x v="2"/>
    <x v="1"/>
  </r>
  <r>
    <x v="929"/>
    <x v="36"/>
    <x v="0"/>
    <x v="28"/>
    <x v="0"/>
    <x v="924"/>
    <x v="1"/>
    <x v="2"/>
    <x v="1"/>
  </r>
  <r>
    <x v="930"/>
    <x v="8"/>
    <x v="3"/>
    <x v="17"/>
    <x v="0"/>
    <x v="925"/>
    <x v="0"/>
    <x v="0"/>
    <x v="2"/>
  </r>
  <r>
    <x v="931"/>
    <x v="27"/>
    <x v="1"/>
    <x v="13"/>
    <x v="1"/>
    <x v="926"/>
    <x v="0"/>
    <x v="1"/>
    <x v="2"/>
  </r>
  <r>
    <x v="932"/>
    <x v="27"/>
    <x v="1"/>
    <x v="19"/>
    <x v="1"/>
    <x v="927"/>
    <x v="0"/>
    <x v="1"/>
    <x v="2"/>
  </r>
  <r>
    <x v="933"/>
    <x v="27"/>
    <x v="1"/>
    <x v="7"/>
    <x v="1"/>
    <x v="928"/>
    <x v="0"/>
    <x v="2"/>
    <x v="2"/>
  </r>
  <r>
    <x v="934"/>
    <x v="27"/>
    <x v="6"/>
    <x v="18"/>
    <x v="1"/>
    <x v="929"/>
    <x v="0"/>
    <x v="1"/>
    <x v="0"/>
  </r>
  <r>
    <x v="935"/>
    <x v="3"/>
    <x v="4"/>
    <x v="2"/>
    <x v="0"/>
    <x v="930"/>
    <x v="0"/>
    <x v="0"/>
    <x v="1"/>
  </r>
  <r>
    <x v="936"/>
    <x v="24"/>
    <x v="2"/>
    <x v="4"/>
    <x v="1"/>
    <x v="931"/>
    <x v="0"/>
    <x v="2"/>
    <x v="8"/>
  </r>
  <r>
    <x v="937"/>
    <x v="24"/>
    <x v="0"/>
    <x v="18"/>
    <x v="3"/>
    <x v="932"/>
    <x v="0"/>
    <x v="1"/>
    <x v="0"/>
  </r>
  <r>
    <x v="938"/>
    <x v="7"/>
    <x v="2"/>
    <x v="21"/>
    <x v="0"/>
    <x v="933"/>
    <x v="0"/>
    <x v="2"/>
    <x v="14"/>
  </r>
  <r>
    <x v="939"/>
    <x v="24"/>
    <x v="7"/>
    <x v="25"/>
    <x v="1"/>
    <x v="934"/>
    <x v="0"/>
    <x v="2"/>
    <x v="8"/>
  </r>
  <r>
    <x v="940"/>
    <x v="1"/>
    <x v="6"/>
    <x v="23"/>
    <x v="0"/>
    <x v="935"/>
    <x v="0"/>
    <x v="2"/>
    <x v="1"/>
  </r>
  <r>
    <x v="941"/>
    <x v="2"/>
    <x v="3"/>
    <x v="1"/>
    <x v="0"/>
    <x v="936"/>
    <x v="0"/>
    <x v="0"/>
    <x v="9"/>
  </r>
  <r>
    <x v="942"/>
    <x v="38"/>
    <x v="4"/>
    <x v="3"/>
    <x v="0"/>
    <x v="937"/>
    <x v="1"/>
    <x v="0"/>
    <x v="1"/>
  </r>
  <r>
    <x v="943"/>
    <x v="35"/>
    <x v="7"/>
    <x v="0"/>
    <x v="3"/>
    <x v="938"/>
    <x v="0"/>
    <x v="1"/>
    <x v="2"/>
  </r>
  <r>
    <x v="944"/>
    <x v="8"/>
    <x v="1"/>
    <x v="18"/>
    <x v="0"/>
    <x v="939"/>
    <x v="0"/>
    <x v="2"/>
    <x v="16"/>
  </r>
  <r>
    <x v="945"/>
    <x v="4"/>
    <x v="3"/>
    <x v="2"/>
    <x v="0"/>
    <x v="940"/>
    <x v="0"/>
    <x v="1"/>
    <x v="1"/>
  </r>
  <r>
    <x v="946"/>
    <x v="32"/>
    <x v="7"/>
    <x v="20"/>
    <x v="0"/>
    <x v="941"/>
    <x v="0"/>
    <x v="1"/>
    <x v="0"/>
  </r>
  <r>
    <x v="947"/>
    <x v="19"/>
    <x v="4"/>
    <x v="11"/>
    <x v="1"/>
    <x v="942"/>
    <x v="0"/>
    <x v="2"/>
    <x v="13"/>
  </r>
  <r>
    <x v="948"/>
    <x v="23"/>
    <x v="4"/>
    <x v="14"/>
    <x v="2"/>
    <x v="943"/>
    <x v="0"/>
    <x v="1"/>
    <x v="0"/>
  </r>
  <r>
    <x v="949"/>
    <x v="17"/>
    <x v="0"/>
    <x v="8"/>
    <x v="2"/>
    <x v="944"/>
    <x v="0"/>
    <x v="0"/>
    <x v="11"/>
  </r>
  <r>
    <x v="950"/>
    <x v="27"/>
    <x v="4"/>
    <x v="7"/>
    <x v="3"/>
    <x v="945"/>
    <x v="3"/>
    <x v="2"/>
    <x v="2"/>
  </r>
  <r>
    <x v="951"/>
    <x v="25"/>
    <x v="2"/>
    <x v="24"/>
    <x v="1"/>
    <x v="946"/>
    <x v="0"/>
    <x v="0"/>
    <x v="1"/>
  </r>
  <r>
    <x v="952"/>
    <x v="24"/>
    <x v="3"/>
    <x v="23"/>
    <x v="3"/>
    <x v="947"/>
    <x v="1"/>
    <x v="1"/>
    <x v="5"/>
  </r>
  <r>
    <x v="953"/>
    <x v="27"/>
    <x v="4"/>
    <x v="6"/>
    <x v="3"/>
    <x v="948"/>
    <x v="1"/>
    <x v="2"/>
    <x v="0"/>
  </r>
  <r>
    <x v="954"/>
    <x v="26"/>
    <x v="6"/>
    <x v="7"/>
    <x v="0"/>
    <x v="949"/>
    <x v="0"/>
    <x v="0"/>
    <x v="1"/>
  </r>
  <r>
    <x v="955"/>
    <x v="38"/>
    <x v="0"/>
    <x v="14"/>
    <x v="0"/>
    <x v="950"/>
    <x v="1"/>
    <x v="2"/>
    <x v="0"/>
  </r>
  <r>
    <x v="956"/>
    <x v="27"/>
    <x v="3"/>
    <x v="6"/>
    <x v="3"/>
    <x v="951"/>
    <x v="3"/>
    <x v="1"/>
    <x v="2"/>
  </r>
  <r>
    <x v="957"/>
    <x v="35"/>
    <x v="4"/>
    <x v="8"/>
    <x v="1"/>
    <x v="952"/>
    <x v="1"/>
    <x v="2"/>
    <x v="0"/>
  </r>
  <r>
    <x v="958"/>
    <x v="19"/>
    <x v="2"/>
    <x v="1"/>
    <x v="3"/>
    <x v="953"/>
    <x v="0"/>
    <x v="1"/>
    <x v="1"/>
  </r>
  <r>
    <x v="959"/>
    <x v="6"/>
    <x v="4"/>
    <x v="27"/>
    <x v="0"/>
    <x v="954"/>
    <x v="0"/>
    <x v="1"/>
    <x v="1"/>
  </r>
  <r>
    <x v="960"/>
    <x v="28"/>
    <x v="4"/>
    <x v="19"/>
    <x v="0"/>
    <x v="955"/>
    <x v="3"/>
    <x v="0"/>
    <x v="0"/>
  </r>
  <r>
    <x v="961"/>
    <x v="7"/>
    <x v="4"/>
    <x v="22"/>
    <x v="0"/>
    <x v="956"/>
    <x v="0"/>
    <x v="2"/>
    <x v="14"/>
  </r>
  <r>
    <x v="962"/>
    <x v="6"/>
    <x v="4"/>
    <x v="24"/>
    <x v="0"/>
    <x v="957"/>
    <x v="0"/>
    <x v="0"/>
    <x v="1"/>
  </r>
  <r>
    <x v="963"/>
    <x v="28"/>
    <x v="1"/>
    <x v="0"/>
    <x v="0"/>
    <x v="958"/>
    <x v="0"/>
    <x v="0"/>
    <x v="0"/>
  </r>
  <r>
    <x v="964"/>
    <x v="14"/>
    <x v="4"/>
    <x v="27"/>
    <x v="2"/>
    <x v="959"/>
    <x v="0"/>
    <x v="1"/>
    <x v="1"/>
  </r>
  <r>
    <x v="965"/>
    <x v="13"/>
    <x v="7"/>
    <x v="8"/>
    <x v="2"/>
    <x v="960"/>
    <x v="0"/>
    <x v="2"/>
    <x v="1"/>
  </r>
  <r>
    <x v="966"/>
    <x v="3"/>
    <x v="7"/>
    <x v="16"/>
    <x v="0"/>
    <x v="961"/>
    <x v="0"/>
    <x v="2"/>
    <x v="1"/>
  </r>
  <r>
    <x v="967"/>
    <x v="11"/>
    <x v="1"/>
    <x v="17"/>
    <x v="0"/>
    <x v="962"/>
    <x v="0"/>
    <x v="0"/>
    <x v="1"/>
  </r>
  <r>
    <x v="968"/>
    <x v="40"/>
    <x v="7"/>
    <x v="23"/>
    <x v="0"/>
    <x v="963"/>
    <x v="1"/>
    <x v="2"/>
    <x v="0"/>
  </r>
  <r>
    <x v="969"/>
    <x v="26"/>
    <x v="0"/>
    <x v="4"/>
    <x v="0"/>
    <x v="964"/>
    <x v="0"/>
    <x v="1"/>
    <x v="8"/>
  </r>
  <r>
    <x v="970"/>
    <x v="17"/>
    <x v="7"/>
    <x v="7"/>
    <x v="2"/>
    <x v="965"/>
    <x v="0"/>
    <x v="0"/>
    <x v="7"/>
  </r>
  <r>
    <x v="971"/>
    <x v="37"/>
    <x v="0"/>
    <x v="0"/>
    <x v="0"/>
    <x v="966"/>
    <x v="1"/>
    <x v="0"/>
    <x v="1"/>
  </r>
  <r>
    <x v="972"/>
    <x v="19"/>
    <x v="4"/>
    <x v="13"/>
    <x v="2"/>
    <x v="967"/>
    <x v="0"/>
    <x v="2"/>
    <x v="2"/>
  </r>
  <r>
    <x v="973"/>
    <x v="33"/>
    <x v="2"/>
    <x v="11"/>
    <x v="0"/>
    <x v="968"/>
    <x v="0"/>
    <x v="2"/>
    <x v="0"/>
  </r>
  <r>
    <x v="974"/>
    <x v="31"/>
    <x v="6"/>
    <x v="23"/>
    <x v="1"/>
    <x v="969"/>
    <x v="0"/>
    <x v="2"/>
    <x v="0"/>
  </r>
  <r>
    <x v="975"/>
    <x v="30"/>
    <x v="1"/>
    <x v="29"/>
    <x v="0"/>
    <x v="970"/>
    <x v="0"/>
    <x v="2"/>
    <x v="0"/>
  </r>
  <r>
    <x v="976"/>
    <x v="22"/>
    <x v="6"/>
    <x v="13"/>
    <x v="2"/>
    <x v="971"/>
    <x v="0"/>
    <x v="1"/>
    <x v="8"/>
  </r>
  <r>
    <x v="977"/>
    <x v="22"/>
    <x v="6"/>
    <x v="4"/>
    <x v="2"/>
    <x v="972"/>
    <x v="0"/>
    <x v="0"/>
    <x v="8"/>
  </r>
  <r>
    <x v="978"/>
    <x v="40"/>
    <x v="6"/>
    <x v="12"/>
    <x v="0"/>
    <x v="973"/>
    <x v="1"/>
    <x v="1"/>
    <x v="0"/>
  </r>
  <r>
    <x v="979"/>
    <x v="4"/>
    <x v="3"/>
    <x v="14"/>
    <x v="0"/>
    <x v="974"/>
    <x v="0"/>
    <x v="0"/>
    <x v="1"/>
  </r>
  <r>
    <x v="980"/>
    <x v="24"/>
    <x v="1"/>
    <x v="26"/>
    <x v="3"/>
    <x v="975"/>
    <x v="0"/>
    <x v="2"/>
    <x v="1"/>
  </r>
  <r>
    <x v="981"/>
    <x v="13"/>
    <x v="1"/>
    <x v="28"/>
    <x v="2"/>
    <x v="976"/>
    <x v="0"/>
    <x v="1"/>
    <x v="1"/>
  </r>
  <r>
    <x v="982"/>
    <x v="27"/>
    <x v="0"/>
    <x v="17"/>
    <x v="1"/>
    <x v="977"/>
    <x v="0"/>
    <x v="0"/>
    <x v="1"/>
  </r>
  <r>
    <x v="983"/>
    <x v="35"/>
    <x v="4"/>
    <x v="4"/>
    <x v="0"/>
    <x v="978"/>
    <x v="0"/>
    <x v="2"/>
    <x v="1"/>
  </r>
  <r>
    <x v="984"/>
    <x v="26"/>
    <x v="1"/>
    <x v="19"/>
    <x v="3"/>
    <x v="979"/>
    <x v="1"/>
    <x v="2"/>
    <x v="2"/>
  </r>
  <r>
    <x v="985"/>
    <x v="12"/>
    <x v="4"/>
    <x v="8"/>
    <x v="0"/>
    <x v="980"/>
    <x v="0"/>
    <x v="2"/>
    <x v="1"/>
  </r>
  <r>
    <x v="986"/>
    <x v="20"/>
    <x v="1"/>
    <x v="13"/>
    <x v="2"/>
    <x v="981"/>
    <x v="0"/>
    <x v="0"/>
    <x v="1"/>
  </r>
  <r>
    <x v="987"/>
    <x v="23"/>
    <x v="4"/>
    <x v="3"/>
    <x v="2"/>
    <x v="982"/>
    <x v="0"/>
    <x v="0"/>
    <x v="1"/>
  </r>
  <r>
    <x v="988"/>
    <x v="33"/>
    <x v="4"/>
    <x v="8"/>
    <x v="0"/>
    <x v="983"/>
    <x v="0"/>
    <x v="1"/>
    <x v="0"/>
  </r>
  <r>
    <x v="989"/>
    <x v="31"/>
    <x v="2"/>
    <x v="13"/>
    <x v="1"/>
    <x v="984"/>
    <x v="1"/>
    <x v="0"/>
    <x v="2"/>
  </r>
  <r>
    <x v="990"/>
    <x v="38"/>
    <x v="6"/>
    <x v="20"/>
    <x v="0"/>
    <x v="985"/>
    <x v="1"/>
    <x v="1"/>
    <x v="0"/>
  </r>
  <r>
    <x v="991"/>
    <x v="31"/>
    <x v="4"/>
    <x v="21"/>
    <x v="1"/>
    <x v="986"/>
    <x v="1"/>
    <x v="2"/>
    <x v="2"/>
  </r>
  <r>
    <x v="992"/>
    <x v="38"/>
    <x v="7"/>
    <x v="27"/>
    <x v="0"/>
    <x v="987"/>
    <x v="1"/>
    <x v="1"/>
    <x v="2"/>
  </r>
  <r>
    <x v="993"/>
    <x v="1"/>
    <x v="1"/>
    <x v="15"/>
    <x v="0"/>
    <x v="988"/>
    <x v="0"/>
    <x v="1"/>
    <x v="14"/>
  </r>
  <r>
    <x v="994"/>
    <x v="3"/>
    <x v="6"/>
    <x v="13"/>
    <x v="0"/>
    <x v="989"/>
    <x v="0"/>
    <x v="2"/>
    <x v="1"/>
  </r>
  <r>
    <x v="995"/>
    <x v="11"/>
    <x v="7"/>
    <x v="8"/>
    <x v="0"/>
    <x v="990"/>
    <x v="0"/>
    <x v="2"/>
    <x v="14"/>
  </r>
  <r>
    <x v="996"/>
    <x v="31"/>
    <x v="4"/>
    <x v="27"/>
    <x v="1"/>
    <x v="991"/>
    <x v="1"/>
    <x v="0"/>
    <x v="0"/>
  </r>
  <r>
    <x v="997"/>
    <x v="39"/>
    <x v="2"/>
    <x v="23"/>
    <x v="0"/>
    <x v="992"/>
    <x v="1"/>
    <x v="1"/>
    <x v="1"/>
  </r>
  <r>
    <x v="998"/>
    <x v="29"/>
    <x v="7"/>
    <x v="20"/>
    <x v="0"/>
    <x v="993"/>
    <x v="0"/>
    <x v="2"/>
    <x v="0"/>
  </r>
  <r>
    <x v="999"/>
    <x v="27"/>
    <x v="3"/>
    <x v="5"/>
    <x v="3"/>
    <x v="994"/>
    <x v="1"/>
    <x v="1"/>
    <x v="1"/>
  </r>
  <r>
    <x v="1000"/>
    <x v="29"/>
    <x v="4"/>
    <x v="25"/>
    <x v="0"/>
    <x v="995"/>
    <x v="1"/>
    <x v="1"/>
    <x v="2"/>
  </r>
  <r>
    <x v="1001"/>
    <x v="29"/>
    <x v="6"/>
    <x v="1"/>
    <x v="0"/>
    <x v="996"/>
    <x v="1"/>
    <x v="1"/>
    <x v="0"/>
  </r>
  <r>
    <x v="1002"/>
    <x v="29"/>
    <x v="3"/>
    <x v="28"/>
    <x v="0"/>
    <x v="997"/>
    <x v="0"/>
    <x v="2"/>
    <x v="0"/>
  </r>
  <r>
    <x v="1003"/>
    <x v="16"/>
    <x v="2"/>
    <x v="27"/>
    <x v="2"/>
    <x v="998"/>
    <x v="0"/>
    <x v="0"/>
    <x v="7"/>
  </r>
  <r>
    <x v="1004"/>
    <x v="23"/>
    <x v="2"/>
    <x v="13"/>
    <x v="4"/>
    <x v="999"/>
    <x v="1"/>
    <x v="0"/>
    <x v="1"/>
  </r>
  <r>
    <x v="1005"/>
    <x v="41"/>
    <x v="1"/>
    <x v="16"/>
    <x v="0"/>
    <x v="1000"/>
    <x v="1"/>
    <x v="1"/>
    <x v="0"/>
  </r>
  <r>
    <x v="1006"/>
    <x v="22"/>
    <x v="2"/>
    <x v="26"/>
    <x v="2"/>
    <x v="1001"/>
    <x v="0"/>
    <x v="2"/>
    <x v="13"/>
  </r>
  <r>
    <x v="1007"/>
    <x v="6"/>
    <x v="7"/>
    <x v="27"/>
    <x v="0"/>
    <x v="1002"/>
    <x v="0"/>
    <x v="1"/>
    <x v="14"/>
  </r>
  <r>
    <x v="1008"/>
    <x v="40"/>
    <x v="1"/>
    <x v="29"/>
    <x v="0"/>
    <x v="1003"/>
    <x v="1"/>
    <x v="0"/>
    <x v="0"/>
  </r>
  <r>
    <x v="1009"/>
    <x v="27"/>
    <x v="7"/>
    <x v="18"/>
    <x v="3"/>
    <x v="1004"/>
    <x v="0"/>
    <x v="0"/>
    <x v="0"/>
  </r>
  <r>
    <x v="1010"/>
    <x v="27"/>
    <x v="2"/>
    <x v="1"/>
    <x v="3"/>
    <x v="1005"/>
    <x v="0"/>
    <x v="2"/>
    <x v="0"/>
  </r>
  <r>
    <x v="1011"/>
    <x v="35"/>
    <x v="3"/>
    <x v="28"/>
    <x v="1"/>
    <x v="1006"/>
    <x v="0"/>
    <x v="0"/>
    <x v="0"/>
  </r>
  <r>
    <x v="1012"/>
    <x v="35"/>
    <x v="2"/>
    <x v="1"/>
    <x v="1"/>
    <x v="1007"/>
    <x v="0"/>
    <x v="2"/>
    <x v="0"/>
  </r>
  <r>
    <x v="1013"/>
    <x v="35"/>
    <x v="3"/>
    <x v="24"/>
    <x v="1"/>
    <x v="1008"/>
    <x v="0"/>
    <x v="2"/>
    <x v="0"/>
  </r>
  <r>
    <x v="1014"/>
    <x v="23"/>
    <x v="3"/>
    <x v="3"/>
    <x v="2"/>
    <x v="1009"/>
    <x v="0"/>
    <x v="2"/>
    <x v="8"/>
  </r>
  <r>
    <x v="1015"/>
    <x v="42"/>
    <x v="3"/>
    <x v="16"/>
    <x v="0"/>
    <x v="1010"/>
    <x v="1"/>
    <x v="0"/>
    <x v="0"/>
  </r>
  <r>
    <x v="1016"/>
    <x v="28"/>
    <x v="6"/>
    <x v="16"/>
    <x v="0"/>
    <x v="1011"/>
    <x v="0"/>
    <x v="1"/>
    <x v="2"/>
  </r>
  <r>
    <x v="1017"/>
    <x v="10"/>
    <x v="1"/>
    <x v="13"/>
    <x v="0"/>
    <x v="1012"/>
    <x v="0"/>
    <x v="1"/>
    <x v="9"/>
  </r>
  <r>
    <x v="1018"/>
    <x v="28"/>
    <x v="3"/>
    <x v="9"/>
    <x v="0"/>
    <x v="1013"/>
    <x v="0"/>
    <x v="2"/>
    <x v="2"/>
  </r>
  <r>
    <x v="1019"/>
    <x v="28"/>
    <x v="4"/>
    <x v="12"/>
    <x v="0"/>
    <x v="1014"/>
    <x v="0"/>
    <x v="2"/>
    <x v="0"/>
  </r>
  <r>
    <x v="1020"/>
    <x v="28"/>
    <x v="2"/>
    <x v="19"/>
    <x v="0"/>
    <x v="1015"/>
    <x v="0"/>
    <x v="0"/>
    <x v="0"/>
  </r>
  <r>
    <x v="1021"/>
    <x v="27"/>
    <x v="2"/>
    <x v="9"/>
    <x v="3"/>
    <x v="1016"/>
    <x v="1"/>
    <x v="0"/>
    <x v="5"/>
  </r>
  <r>
    <x v="1022"/>
    <x v="25"/>
    <x v="6"/>
    <x v="15"/>
    <x v="3"/>
    <x v="1017"/>
    <x v="0"/>
    <x v="2"/>
    <x v="1"/>
  </r>
  <r>
    <x v="1023"/>
    <x v="1"/>
    <x v="2"/>
    <x v="12"/>
    <x v="0"/>
    <x v="1018"/>
    <x v="0"/>
    <x v="1"/>
    <x v="1"/>
  </r>
  <r>
    <x v="1024"/>
    <x v="35"/>
    <x v="0"/>
    <x v="8"/>
    <x v="1"/>
    <x v="1019"/>
    <x v="1"/>
    <x v="2"/>
    <x v="5"/>
  </r>
  <r>
    <x v="1025"/>
    <x v="35"/>
    <x v="0"/>
    <x v="4"/>
    <x v="1"/>
    <x v="1020"/>
    <x v="1"/>
    <x v="2"/>
    <x v="5"/>
  </r>
  <r>
    <x v="1026"/>
    <x v="35"/>
    <x v="0"/>
    <x v="15"/>
    <x v="1"/>
    <x v="1021"/>
    <x v="1"/>
    <x v="1"/>
    <x v="5"/>
  </r>
  <r>
    <x v="1027"/>
    <x v="35"/>
    <x v="2"/>
    <x v="8"/>
    <x v="3"/>
    <x v="1022"/>
    <x v="0"/>
    <x v="1"/>
    <x v="0"/>
  </r>
  <r>
    <x v="1028"/>
    <x v="41"/>
    <x v="3"/>
    <x v="27"/>
    <x v="0"/>
    <x v="1023"/>
    <x v="1"/>
    <x v="0"/>
    <x v="1"/>
  </r>
  <r>
    <x v="1029"/>
    <x v="32"/>
    <x v="3"/>
    <x v="6"/>
    <x v="0"/>
    <x v="1024"/>
    <x v="0"/>
    <x v="0"/>
    <x v="0"/>
  </r>
  <r>
    <x v="1030"/>
    <x v="32"/>
    <x v="3"/>
    <x v="14"/>
    <x v="0"/>
    <x v="1025"/>
    <x v="0"/>
    <x v="0"/>
    <x v="0"/>
  </r>
  <r>
    <x v="1031"/>
    <x v="25"/>
    <x v="2"/>
    <x v="20"/>
    <x v="2"/>
    <x v="1026"/>
    <x v="0"/>
    <x v="2"/>
    <x v="1"/>
  </r>
  <r>
    <x v="1032"/>
    <x v="26"/>
    <x v="3"/>
    <x v="6"/>
    <x v="3"/>
    <x v="1027"/>
    <x v="1"/>
    <x v="1"/>
    <x v="1"/>
  </r>
  <r>
    <x v="1033"/>
    <x v="31"/>
    <x v="3"/>
    <x v="13"/>
    <x v="1"/>
    <x v="1028"/>
    <x v="1"/>
    <x v="2"/>
    <x v="1"/>
  </r>
  <r>
    <x v="1034"/>
    <x v="41"/>
    <x v="3"/>
    <x v="18"/>
    <x v="0"/>
    <x v="1029"/>
    <x v="1"/>
    <x v="2"/>
    <x v="0"/>
  </r>
  <r>
    <x v="1035"/>
    <x v="30"/>
    <x v="3"/>
    <x v="0"/>
    <x v="0"/>
    <x v="1030"/>
    <x v="0"/>
    <x v="0"/>
    <x v="0"/>
  </r>
  <r>
    <x v="1036"/>
    <x v="30"/>
    <x v="3"/>
    <x v="6"/>
    <x v="0"/>
    <x v="1031"/>
    <x v="1"/>
    <x v="1"/>
    <x v="2"/>
  </r>
  <r>
    <x v="1037"/>
    <x v="37"/>
    <x v="2"/>
    <x v="8"/>
    <x v="0"/>
    <x v="1032"/>
    <x v="1"/>
    <x v="1"/>
    <x v="0"/>
  </r>
  <r>
    <x v="1038"/>
    <x v="21"/>
    <x v="2"/>
    <x v="11"/>
    <x v="2"/>
    <x v="1033"/>
    <x v="0"/>
    <x v="2"/>
    <x v="7"/>
  </r>
  <r>
    <x v="1039"/>
    <x v="30"/>
    <x v="4"/>
    <x v="9"/>
    <x v="0"/>
    <x v="1034"/>
    <x v="0"/>
    <x v="0"/>
    <x v="2"/>
  </r>
  <r>
    <x v="1040"/>
    <x v="0"/>
    <x v="3"/>
    <x v="0"/>
    <x v="0"/>
    <x v="1035"/>
    <x v="0"/>
    <x v="2"/>
    <x v="1"/>
  </r>
  <r>
    <x v="1041"/>
    <x v="1"/>
    <x v="1"/>
    <x v="23"/>
    <x v="0"/>
    <x v="1036"/>
    <x v="0"/>
    <x v="1"/>
    <x v="1"/>
  </r>
  <r>
    <x v="1042"/>
    <x v="26"/>
    <x v="4"/>
    <x v="9"/>
    <x v="3"/>
    <x v="1037"/>
    <x v="0"/>
    <x v="2"/>
    <x v="0"/>
  </r>
  <r>
    <x v="1043"/>
    <x v="26"/>
    <x v="2"/>
    <x v="27"/>
    <x v="3"/>
    <x v="1038"/>
    <x v="0"/>
    <x v="1"/>
    <x v="0"/>
  </r>
  <r>
    <x v="1044"/>
    <x v="26"/>
    <x v="4"/>
    <x v="7"/>
    <x v="3"/>
    <x v="1039"/>
    <x v="0"/>
    <x v="0"/>
    <x v="2"/>
  </r>
  <r>
    <x v="1045"/>
    <x v="25"/>
    <x v="6"/>
    <x v="2"/>
    <x v="2"/>
    <x v="1040"/>
    <x v="0"/>
    <x v="2"/>
    <x v="2"/>
  </r>
  <r>
    <x v="1046"/>
    <x v="26"/>
    <x v="0"/>
    <x v="9"/>
    <x v="3"/>
    <x v="1041"/>
    <x v="0"/>
    <x v="2"/>
    <x v="0"/>
  </r>
  <r>
    <x v="1047"/>
    <x v="43"/>
    <x v="0"/>
    <x v="18"/>
    <x v="0"/>
    <x v="1042"/>
    <x v="0"/>
    <x v="0"/>
    <x v="8"/>
  </r>
  <r>
    <x v="1048"/>
    <x v="19"/>
    <x v="4"/>
    <x v="3"/>
    <x v="2"/>
    <x v="1043"/>
    <x v="0"/>
    <x v="0"/>
    <x v="8"/>
  </r>
  <r>
    <x v="1049"/>
    <x v="31"/>
    <x v="1"/>
    <x v="19"/>
    <x v="1"/>
    <x v="1044"/>
    <x v="0"/>
    <x v="0"/>
    <x v="2"/>
  </r>
  <r>
    <x v="1050"/>
    <x v="43"/>
    <x v="4"/>
    <x v="8"/>
    <x v="1"/>
    <x v="1045"/>
    <x v="0"/>
    <x v="1"/>
    <x v="0"/>
  </r>
  <r>
    <x v="1051"/>
    <x v="31"/>
    <x v="6"/>
    <x v="19"/>
    <x v="1"/>
    <x v="1046"/>
    <x v="0"/>
    <x v="2"/>
    <x v="2"/>
  </r>
  <r>
    <x v="1052"/>
    <x v="31"/>
    <x v="6"/>
    <x v="27"/>
    <x v="1"/>
    <x v="1047"/>
    <x v="0"/>
    <x v="1"/>
    <x v="2"/>
  </r>
  <r>
    <x v="1053"/>
    <x v="15"/>
    <x v="3"/>
    <x v="27"/>
    <x v="2"/>
    <x v="1048"/>
    <x v="0"/>
    <x v="1"/>
    <x v="1"/>
  </r>
  <r>
    <x v="1054"/>
    <x v="31"/>
    <x v="3"/>
    <x v="9"/>
    <x v="1"/>
    <x v="1049"/>
    <x v="0"/>
    <x v="0"/>
    <x v="0"/>
  </r>
  <r>
    <x v="1055"/>
    <x v="23"/>
    <x v="4"/>
    <x v="19"/>
    <x v="2"/>
    <x v="1050"/>
    <x v="0"/>
    <x v="2"/>
    <x v="11"/>
  </r>
  <r>
    <x v="1056"/>
    <x v="17"/>
    <x v="1"/>
    <x v="20"/>
    <x v="2"/>
    <x v="1051"/>
    <x v="0"/>
    <x v="2"/>
    <x v="11"/>
  </r>
  <r>
    <x v="1057"/>
    <x v="22"/>
    <x v="4"/>
    <x v="1"/>
    <x v="5"/>
    <x v="1052"/>
    <x v="0"/>
    <x v="1"/>
    <x v="0"/>
  </r>
  <r>
    <x v="1058"/>
    <x v="22"/>
    <x v="0"/>
    <x v="22"/>
    <x v="5"/>
    <x v="1053"/>
    <x v="0"/>
    <x v="0"/>
    <x v="0"/>
  </r>
  <r>
    <x v="1059"/>
    <x v="29"/>
    <x v="0"/>
    <x v="20"/>
    <x v="0"/>
    <x v="1054"/>
    <x v="0"/>
    <x v="1"/>
    <x v="0"/>
  </r>
  <r>
    <x v="1060"/>
    <x v="26"/>
    <x v="3"/>
    <x v="18"/>
    <x v="3"/>
    <x v="1055"/>
    <x v="0"/>
    <x v="1"/>
    <x v="4"/>
  </r>
  <r>
    <x v="1061"/>
    <x v="26"/>
    <x v="1"/>
    <x v="8"/>
    <x v="3"/>
    <x v="1056"/>
    <x v="1"/>
    <x v="2"/>
    <x v="5"/>
  </r>
  <r>
    <x v="1062"/>
    <x v="26"/>
    <x v="7"/>
    <x v="21"/>
    <x v="2"/>
    <x v="1057"/>
    <x v="0"/>
    <x v="2"/>
    <x v="0"/>
  </r>
  <r>
    <x v="1063"/>
    <x v="25"/>
    <x v="0"/>
    <x v="17"/>
    <x v="2"/>
    <x v="1058"/>
    <x v="3"/>
    <x v="2"/>
    <x v="10"/>
  </r>
  <r>
    <x v="1064"/>
    <x v="26"/>
    <x v="3"/>
    <x v="24"/>
    <x v="2"/>
    <x v="1059"/>
    <x v="0"/>
    <x v="0"/>
    <x v="2"/>
  </r>
  <r>
    <x v="1065"/>
    <x v="31"/>
    <x v="6"/>
    <x v="28"/>
    <x v="1"/>
    <x v="1060"/>
    <x v="0"/>
    <x v="2"/>
    <x v="12"/>
  </r>
  <r>
    <x v="1066"/>
    <x v="38"/>
    <x v="7"/>
    <x v="27"/>
    <x v="0"/>
    <x v="1061"/>
    <x v="1"/>
    <x v="2"/>
    <x v="1"/>
  </r>
  <r>
    <x v="1067"/>
    <x v="34"/>
    <x v="6"/>
    <x v="23"/>
    <x v="0"/>
    <x v="1062"/>
    <x v="0"/>
    <x v="0"/>
    <x v="0"/>
  </r>
  <r>
    <x v="1068"/>
    <x v="28"/>
    <x v="6"/>
    <x v="25"/>
    <x v="0"/>
    <x v="1063"/>
    <x v="0"/>
    <x v="1"/>
    <x v="1"/>
  </r>
  <r>
    <x v="1069"/>
    <x v="29"/>
    <x v="7"/>
    <x v="20"/>
    <x v="0"/>
    <x v="1064"/>
    <x v="0"/>
    <x v="1"/>
    <x v="12"/>
  </r>
  <r>
    <x v="1070"/>
    <x v="24"/>
    <x v="7"/>
    <x v="13"/>
    <x v="3"/>
    <x v="1065"/>
    <x v="0"/>
    <x v="0"/>
    <x v="11"/>
  </r>
  <r>
    <x v="1071"/>
    <x v="29"/>
    <x v="2"/>
    <x v="22"/>
    <x v="1"/>
    <x v="1066"/>
    <x v="1"/>
    <x v="0"/>
    <x v="2"/>
  </r>
  <r>
    <x v="1072"/>
    <x v="35"/>
    <x v="2"/>
    <x v="17"/>
    <x v="3"/>
    <x v="1067"/>
    <x v="0"/>
    <x v="0"/>
    <x v="1"/>
  </r>
  <r>
    <x v="1073"/>
    <x v="7"/>
    <x v="6"/>
    <x v="29"/>
    <x v="0"/>
    <x v="1068"/>
    <x v="0"/>
    <x v="0"/>
    <x v="2"/>
  </r>
  <r>
    <x v="1074"/>
    <x v="34"/>
    <x v="3"/>
    <x v="0"/>
    <x v="0"/>
    <x v="1069"/>
    <x v="0"/>
    <x v="1"/>
    <x v="0"/>
  </r>
  <r>
    <x v="1075"/>
    <x v="28"/>
    <x v="3"/>
    <x v="19"/>
    <x v="1"/>
    <x v="1070"/>
    <x v="0"/>
    <x v="0"/>
    <x v="1"/>
  </r>
  <r>
    <x v="1076"/>
    <x v="32"/>
    <x v="6"/>
    <x v="29"/>
    <x v="0"/>
    <x v="1071"/>
    <x v="0"/>
    <x v="0"/>
    <x v="2"/>
  </r>
  <r>
    <x v="1077"/>
    <x v="32"/>
    <x v="2"/>
    <x v="14"/>
    <x v="0"/>
    <x v="1072"/>
    <x v="0"/>
    <x v="1"/>
    <x v="2"/>
  </r>
  <r>
    <x v="1078"/>
    <x v="38"/>
    <x v="6"/>
    <x v="7"/>
    <x v="0"/>
    <x v="1073"/>
    <x v="1"/>
    <x v="2"/>
    <x v="0"/>
  </r>
  <r>
    <x v="1079"/>
    <x v="3"/>
    <x v="1"/>
    <x v="15"/>
    <x v="0"/>
    <x v="1074"/>
    <x v="0"/>
    <x v="0"/>
    <x v="9"/>
  </r>
  <r>
    <x v="1080"/>
    <x v="35"/>
    <x v="2"/>
    <x v="10"/>
    <x v="3"/>
    <x v="1075"/>
    <x v="0"/>
    <x v="1"/>
    <x v="2"/>
  </r>
  <r>
    <x v="1081"/>
    <x v="35"/>
    <x v="7"/>
    <x v="11"/>
    <x v="1"/>
    <x v="1076"/>
    <x v="0"/>
    <x v="0"/>
    <x v="8"/>
  </r>
  <r>
    <x v="1082"/>
    <x v="15"/>
    <x v="6"/>
    <x v="12"/>
    <x v="2"/>
    <x v="1077"/>
    <x v="0"/>
    <x v="1"/>
    <x v="7"/>
  </r>
  <r>
    <x v="1083"/>
    <x v="35"/>
    <x v="0"/>
    <x v="10"/>
    <x v="3"/>
    <x v="1078"/>
    <x v="0"/>
    <x v="0"/>
    <x v="2"/>
  </r>
  <r>
    <x v="1084"/>
    <x v="30"/>
    <x v="1"/>
    <x v="10"/>
    <x v="0"/>
    <x v="1079"/>
    <x v="1"/>
    <x v="1"/>
    <x v="1"/>
  </r>
  <r>
    <x v="1085"/>
    <x v="30"/>
    <x v="1"/>
    <x v="12"/>
    <x v="0"/>
    <x v="1080"/>
    <x v="1"/>
    <x v="2"/>
    <x v="1"/>
  </r>
  <r>
    <x v="1086"/>
    <x v="28"/>
    <x v="2"/>
    <x v="14"/>
    <x v="1"/>
    <x v="1081"/>
    <x v="0"/>
    <x v="0"/>
    <x v="0"/>
  </r>
  <r>
    <x v="1087"/>
    <x v="29"/>
    <x v="3"/>
    <x v="0"/>
    <x v="0"/>
    <x v="1082"/>
    <x v="0"/>
    <x v="0"/>
    <x v="1"/>
  </r>
  <r>
    <x v="1088"/>
    <x v="27"/>
    <x v="4"/>
    <x v="25"/>
    <x v="2"/>
    <x v="1083"/>
    <x v="0"/>
    <x v="0"/>
    <x v="12"/>
  </r>
  <r>
    <x v="1089"/>
    <x v="6"/>
    <x v="1"/>
    <x v="13"/>
    <x v="0"/>
    <x v="1084"/>
    <x v="0"/>
    <x v="2"/>
    <x v="1"/>
  </r>
  <r>
    <x v="1090"/>
    <x v="39"/>
    <x v="3"/>
    <x v="19"/>
    <x v="0"/>
    <x v="1085"/>
    <x v="1"/>
    <x v="2"/>
    <x v="0"/>
  </r>
  <r>
    <x v="1091"/>
    <x v="31"/>
    <x v="0"/>
    <x v="15"/>
    <x v="1"/>
    <x v="1086"/>
    <x v="0"/>
    <x v="2"/>
    <x v="1"/>
  </r>
  <r>
    <x v="1092"/>
    <x v="30"/>
    <x v="2"/>
    <x v="19"/>
    <x v="0"/>
    <x v="1087"/>
    <x v="0"/>
    <x v="1"/>
    <x v="2"/>
  </r>
  <r>
    <x v="1093"/>
    <x v="35"/>
    <x v="4"/>
    <x v="22"/>
    <x v="2"/>
    <x v="1088"/>
    <x v="1"/>
    <x v="2"/>
    <x v="0"/>
  </r>
  <r>
    <x v="1094"/>
    <x v="0"/>
    <x v="3"/>
    <x v="3"/>
    <x v="0"/>
    <x v="1089"/>
    <x v="0"/>
    <x v="0"/>
    <x v="14"/>
  </r>
  <r>
    <x v="1095"/>
    <x v="28"/>
    <x v="6"/>
    <x v="17"/>
    <x v="1"/>
    <x v="1090"/>
    <x v="1"/>
    <x v="2"/>
    <x v="5"/>
  </r>
  <r>
    <x v="1096"/>
    <x v="22"/>
    <x v="0"/>
    <x v="21"/>
    <x v="5"/>
    <x v="1091"/>
    <x v="0"/>
    <x v="0"/>
    <x v="1"/>
  </r>
  <r>
    <x v="1097"/>
    <x v="28"/>
    <x v="3"/>
    <x v="26"/>
    <x v="3"/>
    <x v="1092"/>
    <x v="1"/>
    <x v="2"/>
    <x v="2"/>
  </r>
  <r>
    <x v="1098"/>
    <x v="28"/>
    <x v="0"/>
    <x v="27"/>
    <x v="3"/>
    <x v="1093"/>
    <x v="0"/>
    <x v="2"/>
    <x v="0"/>
  </r>
  <r>
    <x v="1099"/>
    <x v="29"/>
    <x v="7"/>
    <x v="20"/>
    <x v="0"/>
    <x v="1094"/>
    <x v="0"/>
    <x v="1"/>
    <x v="1"/>
  </r>
  <r>
    <x v="1100"/>
    <x v="25"/>
    <x v="4"/>
    <x v="25"/>
    <x v="3"/>
    <x v="1095"/>
    <x v="0"/>
    <x v="1"/>
    <x v="7"/>
  </r>
  <r>
    <x v="1101"/>
    <x v="1"/>
    <x v="4"/>
    <x v="5"/>
    <x v="0"/>
    <x v="1096"/>
    <x v="0"/>
    <x v="0"/>
    <x v="14"/>
  </r>
  <r>
    <x v="1102"/>
    <x v="30"/>
    <x v="4"/>
    <x v="15"/>
    <x v="1"/>
    <x v="1097"/>
    <x v="0"/>
    <x v="2"/>
    <x v="0"/>
  </r>
  <r>
    <x v="1103"/>
    <x v="30"/>
    <x v="4"/>
    <x v="24"/>
    <x v="1"/>
    <x v="1098"/>
    <x v="1"/>
    <x v="2"/>
    <x v="0"/>
  </r>
  <r>
    <x v="1104"/>
    <x v="26"/>
    <x v="1"/>
    <x v="6"/>
    <x v="3"/>
    <x v="1099"/>
    <x v="0"/>
    <x v="2"/>
    <x v="8"/>
  </r>
  <r>
    <x v="1105"/>
    <x v="38"/>
    <x v="1"/>
    <x v="0"/>
    <x v="0"/>
    <x v="1100"/>
    <x v="1"/>
    <x v="1"/>
    <x v="2"/>
  </r>
  <r>
    <x v="1106"/>
    <x v="26"/>
    <x v="4"/>
    <x v="24"/>
    <x v="2"/>
    <x v="1101"/>
    <x v="0"/>
    <x v="1"/>
    <x v="2"/>
  </r>
  <r>
    <x v="1107"/>
    <x v="33"/>
    <x v="6"/>
    <x v="8"/>
    <x v="0"/>
    <x v="1102"/>
    <x v="1"/>
    <x v="0"/>
    <x v="0"/>
  </r>
  <r>
    <x v="1108"/>
    <x v="33"/>
    <x v="7"/>
    <x v="14"/>
    <x v="0"/>
    <x v="1103"/>
    <x v="1"/>
    <x v="2"/>
    <x v="2"/>
  </r>
  <r>
    <x v="1109"/>
    <x v="23"/>
    <x v="4"/>
    <x v="26"/>
    <x v="2"/>
    <x v="1104"/>
    <x v="0"/>
    <x v="1"/>
    <x v="1"/>
  </r>
  <r>
    <x v="1110"/>
    <x v="16"/>
    <x v="6"/>
    <x v="29"/>
    <x v="2"/>
    <x v="1105"/>
    <x v="0"/>
    <x v="2"/>
    <x v="11"/>
  </r>
  <r>
    <x v="1111"/>
    <x v="33"/>
    <x v="7"/>
    <x v="18"/>
    <x v="0"/>
    <x v="1106"/>
    <x v="0"/>
    <x v="2"/>
    <x v="1"/>
  </r>
  <r>
    <x v="1112"/>
    <x v="32"/>
    <x v="4"/>
    <x v="7"/>
    <x v="0"/>
    <x v="1107"/>
    <x v="1"/>
    <x v="1"/>
    <x v="1"/>
  </r>
  <r>
    <x v="1113"/>
    <x v="29"/>
    <x v="4"/>
    <x v="22"/>
    <x v="1"/>
    <x v="1108"/>
    <x v="0"/>
    <x v="0"/>
    <x v="2"/>
  </r>
  <r>
    <x v="1114"/>
    <x v="35"/>
    <x v="3"/>
    <x v="23"/>
    <x v="3"/>
    <x v="1109"/>
    <x v="0"/>
    <x v="1"/>
    <x v="1"/>
  </r>
  <r>
    <x v="1115"/>
    <x v="18"/>
    <x v="4"/>
    <x v="22"/>
    <x v="2"/>
    <x v="1110"/>
    <x v="0"/>
    <x v="0"/>
    <x v="11"/>
  </r>
  <r>
    <x v="1116"/>
    <x v="19"/>
    <x v="4"/>
    <x v="16"/>
    <x v="5"/>
    <x v="1111"/>
    <x v="0"/>
    <x v="0"/>
    <x v="4"/>
  </r>
  <r>
    <x v="1117"/>
    <x v="31"/>
    <x v="4"/>
    <x v="19"/>
    <x v="3"/>
    <x v="1112"/>
    <x v="1"/>
    <x v="0"/>
    <x v="3"/>
  </r>
  <r>
    <x v="1118"/>
    <x v="24"/>
    <x v="7"/>
    <x v="16"/>
    <x v="3"/>
    <x v="1113"/>
    <x v="0"/>
    <x v="1"/>
    <x v="11"/>
  </r>
  <r>
    <x v="1119"/>
    <x v="28"/>
    <x v="6"/>
    <x v="27"/>
    <x v="1"/>
    <x v="1114"/>
    <x v="0"/>
    <x v="1"/>
    <x v="1"/>
  </r>
  <r>
    <x v="1120"/>
    <x v="32"/>
    <x v="6"/>
    <x v="19"/>
    <x v="0"/>
    <x v="1115"/>
    <x v="0"/>
    <x v="1"/>
    <x v="2"/>
  </r>
  <r>
    <x v="1121"/>
    <x v="29"/>
    <x v="7"/>
    <x v="3"/>
    <x v="1"/>
    <x v="1116"/>
    <x v="1"/>
    <x v="2"/>
    <x v="5"/>
  </r>
  <r>
    <x v="1122"/>
    <x v="32"/>
    <x v="0"/>
    <x v="24"/>
    <x v="0"/>
    <x v="1117"/>
    <x v="0"/>
    <x v="0"/>
    <x v="0"/>
  </r>
  <r>
    <x v="1123"/>
    <x v="34"/>
    <x v="1"/>
    <x v="9"/>
    <x v="0"/>
    <x v="1118"/>
    <x v="0"/>
    <x v="0"/>
    <x v="0"/>
  </r>
  <r>
    <x v="1124"/>
    <x v="29"/>
    <x v="7"/>
    <x v="25"/>
    <x v="1"/>
    <x v="1119"/>
    <x v="0"/>
    <x v="0"/>
    <x v="6"/>
  </r>
  <r>
    <x v="1125"/>
    <x v="29"/>
    <x v="3"/>
    <x v="14"/>
    <x v="1"/>
    <x v="1120"/>
    <x v="1"/>
    <x v="0"/>
    <x v="5"/>
  </r>
  <r>
    <x v="1126"/>
    <x v="35"/>
    <x v="1"/>
    <x v="28"/>
    <x v="2"/>
    <x v="1121"/>
    <x v="0"/>
    <x v="1"/>
    <x v="1"/>
  </r>
  <r>
    <x v="1127"/>
    <x v="29"/>
    <x v="7"/>
    <x v="25"/>
    <x v="3"/>
    <x v="1122"/>
    <x v="1"/>
    <x v="0"/>
    <x v="0"/>
  </r>
  <r>
    <x v="1128"/>
    <x v="41"/>
    <x v="2"/>
    <x v="26"/>
    <x v="0"/>
    <x v="1123"/>
    <x v="1"/>
    <x v="1"/>
    <x v="0"/>
  </r>
  <r>
    <x v="1129"/>
    <x v="26"/>
    <x v="7"/>
    <x v="8"/>
    <x v="3"/>
    <x v="1124"/>
    <x v="0"/>
    <x v="1"/>
    <x v="8"/>
  </r>
  <r>
    <x v="1130"/>
    <x v="15"/>
    <x v="0"/>
    <x v="0"/>
    <x v="2"/>
    <x v="1125"/>
    <x v="0"/>
    <x v="1"/>
    <x v="1"/>
  </r>
  <r>
    <x v="1131"/>
    <x v="8"/>
    <x v="7"/>
    <x v="8"/>
    <x v="0"/>
    <x v="1126"/>
    <x v="0"/>
    <x v="1"/>
    <x v="14"/>
  </r>
  <r>
    <x v="1132"/>
    <x v="15"/>
    <x v="0"/>
    <x v="5"/>
    <x v="2"/>
    <x v="1127"/>
    <x v="0"/>
    <x v="1"/>
    <x v="11"/>
  </r>
  <r>
    <x v="1133"/>
    <x v="32"/>
    <x v="7"/>
    <x v="26"/>
    <x v="0"/>
    <x v="1128"/>
    <x v="1"/>
    <x v="1"/>
    <x v="5"/>
  </r>
  <r>
    <x v="1134"/>
    <x v="34"/>
    <x v="1"/>
    <x v="18"/>
    <x v="0"/>
    <x v="1129"/>
    <x v="0"/>
    <x v="0"/>
    <x v="0"/>
  </r>
  <r>
    <x v="1135"/>
    <x v="32"/>
    <x v="1"/>
    <x v="9"/>
    <x v="1"/>
    <x v="1130"/>
    <x v="0"/>
    <x v="1"/>
    <x v="0"/>
  </r>
  <r>
    <x v="1136"/>
    <x v="31"/>
    <x v="4"/>
    <x v="24"/>
    <x v="1"/>
    <x v="1131"/>
    <x v="0"/>
    <x v="2"/>
    <x v="8"/>
  </r>
  <r>
    <x v="1137"/>
    <x v="32"/>
    <x v="4"/>
    <x v="7"/>
    <x v="1"/>
    <x v="1132"/>
    <x v="1"/>
    <x v="2"/>
    <x v="0"/>
  </r>
  <r>
    <x v="1138"/>
    <x v="32"/>
    <x v="7"/>
    <x v="4"/>
    <x v="1"/>
    <x v="1133"/>
    <x v="1"/>
    <x v="0"/>
    <x v="2"/>
  </r>
  <r>
    <x v="1139"/>
    <x v="35"/>
    <x v="7"/>
    <x v="17"/>
    <x v="3"/>
    <x v="1134"/>
    <x v="0"/>
    <x v="0"/>
    <x v="8"/>
  </r>
  <r>
    <x v="1140"/>
    <x v="35"/>
    <x v="7"/>
    <x v="1"/>
    <x v="2"/>
    <x v="1135"/>
    <x v="0"/>
    <x v="2"/>
    <x v="2"/>
  </r>
  <r>
    <x v="1141"/>
    <x v="35"/>
    <x v="1"/>
    <x v="28"/>
    <x v="3"/>
    <x v="1136"/>
    <x v="0"/>
    <x v="1"/>
    <x v="8"/>
  </r>
  <r>
    <x v="1142"/>
    <x v="28"/>
    <x v="1"/>
    <x v="3"/>
    <x v="1"/>
    <x v="1137"/>
    <x v="0"/>
    <x v="1"/>
    <x v="8"/>
  </r>
  <r>
    <x v="1143"/>
    <x v="28"/>
    <x v="2"/>
    <x v="26"/>
    <x v="1"/>
    <x v="1138"/>
    <x v="0"/>
    <x v="0"/>
    <x v="8"/>
  </r>
  <r>
    <x v="1144"/>
    <x v="17"/>
    <x v="1"/>
    <x v="10"/>
    <x v="2"/>
    <x v="1139"/>
    <x v="0"/>
    <x v="0"/>
    <x v="11"/>
  </r>
  <r>
    <x v="1145"/>
    <x v="25"/>
    <x v="0"/>
    <x v="17"/>
    <x v="3"/>
    <x v="1140"/>
    <x v="0"/>
    <x v="2"/>
    <x v="11"/>
  </r>
  <r>
    <x v="1146"/>
    <x v="34"/>
    <x v="2"/>
    <x v="6"/>
    <x v="0"/>
    <x v="1141"/>
    <x v="0"/>
    <x v="2"/>
    <x v="0"/>
  </r>
  <r>
    <x v="1147"/>
    <x v="35"/>
    <x v="1"/>
    <x v="13"/>
    <x v="2"/>
    <x v="1142"/>
    <x v="0"/>
    <x v="0"/>
    <x v="12"/>
  </r>
  <r>
    <x v="1148"/>
    <x v="34"/>
    <x v="6"/>
    <x v="18"/>
    <x v="0"/>
    <x v="1143"/>
    <x v="1"/>
    <x v="2"/>
    <x v="0"/>
  </r>
  <r>
    <x v="1149"/>
    <x v="0"/>
    <x v="6"/>
    <x v="12"/>
    <x v="0"/>
    <x v="1144"/>
    <x v="0"/>
    <x v="1"/>
    <x v="1"/>
  </r>
  <r>
    <x v="1150"/>
    <x v="32"/>
    <x v="1"/>
    <x v="7"/>
    <x v="0"/>
    <x v="1145"/>
    <x v="0"/>
    <x v="2"/>
    <x v="2"/>
  </r>
  <r>
    <x v="1151"/>
    <x v="29"/>
    <x v="4"/>
    <x v="27"/>
    <x v="0"/>
    <x v="1146"/>
    <x v="0"/>
    <x v="0"/>
    <x v="11"/>
  </r>
  <r>
    <x v="1152"/>
    <x v="31"/>
    <x v="0"/>
    <x v="13"/>
    <x v="1"/>
    <x v="1147"/>
    <x v="0"/>
    <x v="2"/>
    <x v="8"/>
  </r>
  <r>
    <x v="1153"/>
    <x v="30"/>
    <x v="3"/>
    <x v="12"/>
    <x v="0"/>
    <x v="1148"/>
    <x v="0"/>
    <x v="1"/>
    <x v="8"/>
  </r>
  <r>
    <x v="1154"/>
    <x v="30"/>
    <x v="3"/>
    <x v="12"/>
    <x v="1"/>
    <x v="1149"/>
    <x v="0"/>
    <x v="1"/>
    <x v="0"/>
  </r>
  <r>
    <x v="1155"/>
    <x v="28"/>
    <x v="6"/>
    <x v="10"/>
    <x v="2"/>
    <x v="1150"/>
    <x v="1"/>
    <x v="1"/>
    <x v="2"/>
  </r>
  <r>
    <x v="1156"/>
    <x v="29"/>
    <x v="4"/>
    <x v="5"/>
    <x v="1"/>
    <x v="1151"/>
    <x v="0"/>
    <x v="1"/>
    <x v="1"/>
  </r>
  <r>
    <x v="1157"/>
    <x v="37"/>
    <x v="4"/>
    <x v="6"/>
    <x v="0"/>
    <x v="1152"/>
    <x v="1"/>
    <x v="2"/>
    <x v="0"/>
  </r>
  <r>
    <x v="1158"/>
    <x v="29"/>
    <x v="1"/>
    <x v="13"/>
    <x v="1"/>
    <x v="1153"/>
    <x v="0"/>
    <x v="0"/>
    <x v="1"/>
  </r>
  <r>
    <x v="1159"/>
    <x v="19"/>
    <x v="7"/>
    <x v="14"/>
    <x v="1"/>
    <x v="1154"/>
    <x v="0"/>
    <x v="1"/>
    <x v="11"/>
  </r>
  <r>
    <x v="1160"/>
    <x v="42"/>
    <x v="4"/>
    <x v="21"/>
    <x v="0"/>
    <x v="1155"/>
    <x v="1"/>
    <x v="0"/>
    <x v="0"/>
  </r>
  <r>
    <x v="1161"/>
    <x v="30"/>
    <x v="4"/>
    <x v="3"/>
    <x v="1"/>
    <x v="1156"/>
    <x v="1"/>
    <x v="0"/>
    <x v="5"/>
  </r>
  <r>
    <x v="1162"/>
    <x v="23"/>
    <x v="6"/>
    <x v="7"/>
    <x v="2"/>
    <x v="1157"/>
    <x v="0"/>
    <x v="1"/>
    <x v="7"/>
  </r>
  <r>
    <x v="1163"/>
    <x v="31"/>
    <x v="7"/>
    <x v="7"/>
    <x v="2"/>
    <x v="1158"/>
    <x v="1"/>
    <x v="0"/>
    <x v="1"/>
  </r>
  <r>
    <x v="1164"/>
    <x v="33"/>
    <x v="4"/>
    <x v="25"/>
    <x v="0"/>
    <x v="1159"/>
    <x v="0"/>
    <x v="0"/>
    <x v="2"/>
  </r>
  <r>
    <x v="1165"/>
    <x v="2"/>
    <x v="2"/>
    <x v="29"/>
    <x v="0"/>
    <x v="1160"/>
    <x v="0"/>
    <x v="2"/>
    <x v="14"/>
  </r>
  <r>
    <x v="1166"/>
    <x v="25"/>
    <x v="4"/>
    <x v="11"/>
    <x v="3"/>
    <x v="1161"/>
    <x v="0"/>
    <x v="2"/>
    <x v="11"/>
  </r>
  <r>
    <x v="1167"/>
    <x v="30"/>
    <x v="7"/>
    <x v="29"/>
    <x v="3"/>
    <x v="1162"/>
    <x v="0"/>
    <x v="2"/>
    <x v="2"/>
  </r>
  <r>
    <x v="1168"/>
    <x v="36"/>
    <x v="2"/>
    <x v="12"/>
    <x v="0"/>
    <x v="1163"/>
    <x v="1"/>
    <x v="2"/>
    <x v="0"/>
  </r>
  <r>
    <x v="1169"/>
    <x v="33"/>
    <x v="3"/>
    <x v="1"/>
    <x v="0"/>
    <x v="1164"/>
    <x v="0"/>
    <x v="2"/>
    <x v="2"/>
  </r>
  <r>
    <x v="1170"/>
    <x v="32"/>
    <x v="0"/>
    <x v="11"/>
    <x v="0"/>
    <x v="1165"/>
    <x v="0"/>
    <x v="1"/>
    <x v="1"/>
  </r>
  <r>
    <x v="1171"/>
    <x v="28"/>
    <x v="0"/>
    <x v="26"/>
    <x v="0"/>
    <x v="1166"/>
    <x v="0"/>
    <x v="2"/>
    <x v="2"/>
  </r>
  <r>
    <x v="1172"/>
    <x v="19"/>
    <x v="6"/>
    <x v="26"/>
    <x v="1"/>
    <x v="1167"/>
    <x v="0"/>
    <x v="0"/>
    <x v="2"/>
  </r>
  <r>
    <x v="1173"/>
    <x v="37"/>
    <x v="3"/>
    <x v="25"/>
    <x v="0"/>
    <x v="1168"/>
    <x v="1"/>
    <x v="2"/>
    <x v="0"/>
  </r>
  <r>
    <x v="1174"/>
    <x v="42"/>
    <x v="1"/>
    <x v="15"/>
    <x v="0"/>
    <x v="1169"/>
    <x v="1"/>
    <x v="0"/>
    <x v="0"/>
  </r>
  <r>
    <x v="1175"/>
    <x v="26"/>
    <x v="3"/>
    <x v="11"/>
    <x v="2"/>
    <x v="1170"/>
    <x v="0"/>
    <x v="0"/>
    <x v="8"/>
  </r>
  <r>
    <x v="1176"/>
    <x v="30"/>
    <x v="0"/>
    <x v="23"/>
    <x v="0"/>
    <x v="1171"/>
    <x v="0"/>
    <x v="1"/>
    <x v="11"/>
  </r>
  <r>
    <x v="1177"/>
    <x v="31"/>
    <x v="2"/>
    <x v="3"/>
    <x v="3"/>
    <x v="1172"/>
    <x v="0"/>
    <x v="1"/>
    <x v="8"/>
  </r>
  <r>
    <x v="1178"/>
    <x v="33"/>
    <x v="3"/>
    <x v="8"/>
    <x v="0"/>
    <x v="1173"/>
    <x v="1"/>
    <x v="1"/>
    <x v="5"/>
  </r>
  <r>
    <x v="1179"/>
    <x v="33"/>
    <x v="6"/>
    <x v="14"/>
    <x v="1"/>
    <x v="1174"/>
    <x v="1"/>
    <x v="1"/>
    <x v="2"/>
  </r>
  <r>
    <x v="1180"/>
    <x v="33"/>
    <x v="0"/>
    <x v="6"/>
    <x v="1"/>
    <x v="1175"/>
    <x v="0"/>
    <x v="1"/>
    <x v="0"/>
  </r>
  <r>
    <x v="1181"/>
    <x v="3"/>
    <x v="0"/>
    <x v="10"/>
    <x v="0"/>
    <x v="1176"/>
    <x v="0"/>
    <x v="2"/>
    <x v="1"/>
  </r>
  <r>
    <x v="1182"/>
    <x v="38"/>
    <x v="3"/>
    <x v="16"/>
    <x v="0"/>
    <x v="1177"/>
    <x v="1"/>
    <x v="1"/>
    <x v="1"/>
  </r>
  <r>
    <x v="1183"/>
    <x v="29"/>
    <x v="0"/>
    <x v="15"/>
    <x v="1"/>
    <x v="1178"/>
    <x v="0"/>
    <x v="2"/>
    <x v="8"/>
  </r>
  <r>
    <x v="1184"/>
    <x v="8"/>
    <x v="6"/>
    <x v="26"/>
    <x v="0"/>
    <x v="1179"/>
    <x v="0"/>
    <x v="0"/>
    <x v="9"/>
  </r>
  <r>
    <x v="1185"/>
    <x v="26"/>
    <x v="2"/>
    <x v="15"/>
    <x v="5"/>
    <x v="1180"/>
    <x v="1"/>
    <x v="2"/>
    <x v="0"/>
  </r>
  <r>
    <x v="1186"/>
    <x v="29"/>
    <x v="3"/>
    <x v="17"/>
    <x v="3"/>
    <x v="1181"/>
    <x v="0"/>
    <x v="1"/>
    <x v="0"/>
  </r>
  <r>
    <x v="1187"/>
    <x v="30"/>
    <x v="2"/>
    <x v="13"/>
    <x v="0"/>
    <x v="1182"/>
    <x v="0"/>
    <x v="2"/>
    <x v="11"/>
  </r>
  <r>
    <x v="1188"/>
    <x v="30"/>
    <x v="3"/>
    <x v="9"/>
    <x v="0"/>
    <x v="1183"/>
    <x v="0"/>
    <x v="0"/>
    <x v="11"/>
  </r>
  <r>
    <x v="1189"/>
    <x v="0"/>
    <x v="6"/>
    <x v="2"/>
    <x v="0"/>
    <x v="1184"/>
    <x v="0"/>
    <x v="1"/>
    <x v="1"/>
  </r>
  <r>
    <x v="1190"/>
    <x v="36"/>
    <x v="1"/>
    <x v="6"/>
    <x v="0"/>
    <x v="1185"/>
    <x v="1"/>
    <x v="0"/>
    <x v="2"/>
  </r>
  <r>
    <x v="1191"/>
    <x v="32"/>
    <x v="7"/>
    <x v="29"/>
    <x v="1"/>
    <x v="1186"/>
    <x v="0"/>
    <x v="0"/>
    <x v="0"/>
  </r>
  <r>
    <x v="1192"/>
    <x v="32"/>
    <x v="0"/>
    <x v="17"/>
    <x v="1"/>
    <x v="1187"/>
    <x v="0"/>
    <x v="2"/>
    <x v="2"/>
  </r>
  <r>
    <x v="1193"/>
    <x v="34"/>
    <x v="7"/>
    <x v="4"/>
    <x v="0"/>
    <x v="1188"/>
    <x v="1"/>
    <x v="0"/>
    <x v="1"/>
  </r>
  <r>
    <x v="1194"/>
    <x v="32"/>
    <x v="1"/>
    <x v="0"/>
    <x v="0"/>
    <x v="1189"/>
    <x v="0"/>
    <x v="0"/>
    <x v="8"/>
  </r>
  <r>
    <x v="1195"/>
    <x v="34"/>
    <x v="6"/>
    <x v="2"/>
    <x v="0"/>
    <x v="1190"/>
    <x v="1"/>
    <x v="0"/>
    <x v="1"/>
  </r>
  <r>
    <x v="1196"/>
    <x v="2"/>
    <x v="0"/>
    <x v="19"/>
    <x v="0"/>
    <x v="1191"/>
    <x v="0"/>
    <x v="2"/>
    <x v="9"/>
  </r>
  <r>
    <x v="1197"/>
    <x v="32"/>
    <x v="4"/>
    <x v="12"/>
    <x v="1"/>
    <x v="1192"/>
    <x v="0"/>
    <x v="2"/>
    <x v="2"/>
  </r>
  <r>
    <x v="1198"/>
    <x v="32"/>
    <x v="0"/>
    <x v="28"/>
    <x v="0"/>
    <x v="1193"/>
    <x v="0"/>
    <x v="0"/>
    <x v="8"/>
  </r>
  <r>
    <x v="1199"/>
    <x v="32"/>
    <x v="7"/>
    <x v="28"/>
    <x v="1"/>
    <x v="1194"/>
    <x v="0"/>
    <x v="1"/>
    <x v="0"/>
  </r>
  <r>
    <x v="1200"/>
    <x v="32"/>
    <x v="1"/>
    <x v="26"/>
    <x v="1"/>
    <x v="1195"/>
    <x v="0"/>
    <x v="0"/>
    <x v="2"/>
  </r>
  <r>
    <x v="1201"/>
    <x v="37"/>
    <x v="1"/>
    <x v="16"/>
    <x v="0"/>
    <x v="1196"/>
    <x v="1"/>
    <x v="0"/>
    <x v="0"/>
  </r>
  <r>
    <x v="1202"/>
    <x v="8"/>
    <x v="0"/>
    <x v="26"/>
    <x v="0"/>
    <x v="1197"/>
    <x v="0"/>
    <x v="0"/>
    <x v="1"/>
  </r>
  <r>
    <x v="1203"/>
    <x v="40"/>
    <x v="6"/>
    <x v="17"/>
    <x v="0"/>
    <x v="1198"/>
    <x v="1"/>
    <x v="2"/>
    <x v="0"/>
  </r>
  <r>
    <x v="1204"/>
    <x v="30"/>
    <x v="3"/>
    <x v="10"/>
    <x v="1"/>
    <x v="1199"/>
    <x v="0"/>
    <x v="0"/>
    <x v="1"/>
  </r>
  <r>
    <x v="1205"/>
    <x v="20"/>
    <x v="6"/>
    <x v="11"/>
    <x v="2"/>
    <x v="1200"/>
    <x v="0"/>
    <x v="0"/>
    <x v="7"/>
  </r>
  <r>
    <x v="1206"/>
    <x v="22"/>
    <x v="4"/>
    <x v="28"/>
    <x v="2"/>
    <x v="1201"/>
    <x v="0"/>
    <x v="2"/>
    <x v="1"/>
  </r>
  <r>
    <x v="1207"/>
    <x v="42"/>
    <x v="3"/>
    <x v="20"/>
    <x v="0"/>
    <x v="1202"/>
    <x v="1"/>
    <x v="0"/>
    <x v="0"/>
  </r>
  <r>
    <x v="1208"/>
    <x v="32"/>
    <x v="4"/>
    <x v="9"/>
    <x v="1"/>
    <x v="1203"/>
    <x v="0"/>
    <x v="0"/>
    <x v="6"/>
  </r>
  <r>
    <x v="1209"/>
    <x v="32"/>
    <x v="7"/>
    <x v="19"/>
    <x v="1"/>
    <x v="1204"/>
    <x v="0"/>
    <x v="2"/>
    <x v="4"/>
  </r>
  <r>
    <x v="1210"/>
    <x v="33"/>
    <x v="6"/>
    <x v="20"/>
    <x v="0"/>
    <x v="1205"/>
    <x v="0"/>
    <x v="0"/>
    <x v="1"/>
  </r>
  <r>
    <x v="1211"/>
    <x v="15"/>
    <x v="0"/>
    <x v="28"/>
    <x v="2"/>
    <x v="1206"/>
    <x v="1"/>
    <x v="0"/>
    <x v="14"/>
  </r>
  <r>
    <x v="1212"/>
    <x v="25"/>
    <x v="4"/>
    <x v="13"/>
    <x v="3"/>
    <x v="1207"/>
    <x v="1"/>
    <x v="1"/>
    <x v="11"/>
  </r>
  <r>
    <x v="1213"/>
    <x v="28"/>
    <x v="6"/>
    <x v="1"/>
    <x v="3"/>
    <x v="1208"/>
    <x v="1"/>
    <x v="2"/>
    <x v="8"/>
  </r>
  <r>
    <x v="1214"/>
    <x v="34"/>
    <x v="6"/>
    <x v="12"/>
    <x v="1"/>
    <x v="1209"/>
    <x v="1"/>
    <x v="2"/>
    <x v="2"/>
  </r>
  <r>
    <x v="1215"/>
    <x v="34"/>
    <x v="7"/>
    <x v="3"/>
    <x v="0"/>
    <x v="1210"/>
    <x v="1"/>
    <x v="1"/>
    <x v="12"/>
  </r>
  <r>
    <x v="1216"/>
    <x v="34"/>
    <x v="0"/>
    <x v="28"/>
    <x v="1"/>
    <x v="1211"/>
    <x v="1"/>
    <x v="0"/>
    <x v="2"/>
  </r>
  <r>
    <x v="1217"/>
    <x v="35"/>
    <x v="4"/>
    <x v="11"/>
    <x v="5"/>
    <x v="1212"/>
    <x v="1"/>
    <x v="2"/>
    <x v="2"/>
  </r>
  <r>
    <x v="1218"/>
    <x v="30"/>
    <x v="7"/>
    <x v="11"/>
    <x v="1"/>
    <x v="1213"/>
    <x v="1"/>
    <x v="1"/>
    <x v="8"/>
  </r>
  <r>
    <x v="1219"/>
    <x v="30"/>
    <x v="6"/>
    <x v="26"/>
    <x v="3"/>
    <x v="1214"/>
    <x v="1"/>
    <x v="1"/>
    <x v="0"/>
  </r>
  <r>
    <x v="1220"/>
    <x v="31"/>
    <x v="0"/>
    <x v="24"/>
    <x v="2"/>
    <x v="1215"/>
    <x v="1"/>
    <x v="0"/>
    <x v="1"/>
  </r>
  <r>
    <x v="1221"/>
    <x v="30"/>
    <x v="1"/>
    <x v="25"/>
    <x v="3"/>
    <x v="1216"/>
    <x v="1"/>
    <x v="0"/>
    <x v="2"/>
  </r>
  <r>
    <x v="1222"/>
    <x v="6"/>
    <x v="3"/>
    <x v="16"/>
    <x v="0"/>
    <x v="1217"/>
    <x v="1"/>
    <x v="2"/>
    <x v="1"/>
  </r>
  <r>
    <x v="1223"/>
    <x v="28"/>
    <x v="4"/>
    <x v="1"/>
    <x v="2"/>
    <x v="1218"/>
    <x v="1"/>
    <x v="1"/>
    <x v="5"/>
  </r>
  <r>
    <x v="1224"/>
    <x v="19"/>
    <x v="2"/>
    <x v="8"/>
    <x v="1"/>
    <x v="1219"/>
    <x v="1"/>
    <x v="1"/>
    <x v="7"/>
  </r>
  <r>
    <x v="1225"/>
    <x v="29"/>
    <x v="7"/>
    <x v="2"/>
    <x v="3"/>
    <x v="1220"/>
    <x v="1"/>
    <x v="2"/>
    <x v="1"/>
  </r>
  <r>
    <x v="1226"/>
    <x v="30"/>
    <x v="0"/>
    <x v="23"/>
    <x v="0"/>
    <x v="1221"/>
    <x v="1"/>
    <x v="0"/>
    <x v="7"/>
  </r>
  <r>
    <x v="1227"/>
    <x v="20"/>
    <x v="7"/>
    <x v="25"/>
    <x v="2"/>
    <x v="1222"/>
    <x v="1"/>
    <x v="2"/>
    <x v="14"/>
  </r>
  <r>
    <x v="1228"/>
    <x v="33"/>
    <x v="4"/>
    <x v="18"/>
    <x v="0"/>
    <x v="1223"/>
    <x v="1"/>
    <x v="1"/>
    <x v="8"/>
  </r>
  <r>
    <x v="1229"/>
    <x v="39"/>
    <x v="3"/>
    <x v="9"/>
    <x v="0"/>
    <x v="1224"/>
    <x v="1"/>
    <x v="2"/>
    <x v="2"/>
  </r>
  <r>
    <x v="1230"/>
    <x v="39"/>
    <x v="2"/>
    <x v="13"/>
    <x v="0"/>
    <x v="1225"/>
    <x v="1"/>
    <x v="0"/>
    <x v="0"/>
  </r>
  <r>
    <x v="1231"/>
    <x v="36"/>
    <x v="3"/>
    <x v="29"/>
    <x v="0"/>
    <x v="1226"/>
    <x v="1"/>
    <x v="1"/>
    <x v="1"/>
  </r>
  <r>
    <x v="1232"/>
    <x v="31"/>
    <x v="6"/>
    <x v="21"/>
    <x v="1"/>
    <x v="1227"/>
    <x v="1"/>
    <x v="2"/>
    <x v="2"/>
  </r>
  <r>
    <x v="1233"/>
    <x v="29"/>
    <x v="3"/>
    <x v="16"/>
    <x v="2"/>
    <x v="1228"/>
    <x v="1"/>
    <x v="2"/>
    <x v="1"/>
  </r>
  <r>
    <x v="1234"/>
    <x v="29"/>
    <x v="1"/>
    <x v="3"/>
    <x v="2"/>
    <x v="1229"/>
    <x v="1"/>
    <x v="0"/>
    <x v="1"/>
  </r>
  <r>
    <x v="1235"/>
    <x v="33"/>
    <x v="2"/>
    <x v="27"/>
    <x v="0"/>
    <x v="1230"/>
    <x v="1"/>
    <x v="1"/>
    <x v="8"/>
  </r>
  <r>
    <x v="1236"/>
    <x v="15"/>
    <x v="3"/>
    <x v="10"/>
    <x v="2"/>
    <x v="1231"/>
    <x v="1"/>
    <x v="1"/>
    <x v="11"/>
  </r>
  <r>
    <x v="1237"/>
    <x v="41"/>
    <x v="3"/>
    <x v="18"/>
    <x v="0"/>
    <x v="1232"/>
    <x v="1"/>
    <x v="1"/>
    <x v="0"/>
  </r>
  <r>
    <x v="1238"/>
    <x v="40"/>
    <x v="0"/>
    <x v="8"/>
    <x v="0"/>
    <x v="1233"/>
    <x v="1"/>
    <x v="0"/>
    <x v="1"/>
  </r>
  <r>
    <x v="1239"/>
    <x v="14"/>
    <x v="1"/>
    <x v="17"/>
    <x v="2"/>
    <x v="1234"/>
    <x v="1"/>
    <x v="2"/>
    <x v="1"/>
  </r>
  <r>
    <x v="1240"/>
    <x v="14"/>
    <x v="6"/>
    <x v="27"/>
    <x v="2"/>
    <x v="1235"/>
    <x v="1"/>
    <x v="1"/>
    <x v="14"/>
  </r>
  <r>
    <x v="1241"/>
    <x v="33"/>
    <x v="4"/>
    <x v="5"/>
    <x v="3"/>
    <x v="1236"/>
    <x v="1"/>
    <x v="0"/>
    <x v="2"/>
  </r>
  <r>
    <x v="1242"/>
    <x v="23"/>
    <x v="0"/>
    <x v="27"/>
    <x v="2"/>
    <x v="1237"/>
    <x v="1"/>
    <x v="1"/>
    <x v="11"/>
  </r>
  <r>
    <x v="1243"/>
    <x v="36"/>
    <x v="0"/>
    <x v="11"/>
    <x v="0"/>
    <x v="1238"/>
    <x v="1"/>
    <x v="1"/>
    <x v="0"/>
  </r>
  <r>
    <x v="1244"/>
    <x v="29"/>
    <x v="6"/>
    <x v="26"/>
    <x v="0"/>
    <x v="1239"/>
    <x v="1"/>
    <x v="2"/>
    <x v="11"/>
  </r>
  <r>
    <x v="1245"/>
    <x v="28"/>
    <x v="3"/>
    <x v="7"/>
    <x v="0"/>
    <x v="1240"/>
    <x v="1"/>
    <x v="1"/>
    <x v="1"/>
  </r>
  <r>
    <x v="1246"/>
    <x v="34"/>
    <x v="2"/>
    <x v="17"/>
    <x v="0"/>
    <x v="1241"/>
    <x v="1"/>
    <x v="1"/>
    <x v="1"/>
  </r>
  <r>
    <x v="1247"/>
    <x v="32"/>
    <x v="3"/>
    <x v="19"/>
    <x v="0"/>
    <x v="1242"/>
    <x v="1"/>
    <x v="1"/>
    <x v="7"/>
  </r>
  <r>
    <x v="1248"/>
    <x v="29"/>
    <x v="3"/>
    <x v="7"/>
    <x v="3"/>
    <x v="1243"/>
    <x v="1"/>
    <x v="0"/>
    <x v="8"/>
  </r>
  <r>
    <x v="1249"/>
    <x v="29"/>
    <x v="3"/>
    <x v="11"/>
    <x v="2"/>
    <x v="1244"/>
    <x v="1"/>
    <x v="0"/>
    <x v="0"/>
  </r>
  <r>
    <x v="1250"/>
    <x v="34"/>
    <x v="0"/>
    <x v="15"/>
    <x v="0"/>
    <x v="1245"/>
    <x v="1"/>
    <x v="2"/>
    <x v="13"/>
  </r>
  <r>
    <x v="1251"/>
    <x v="31"/>
    <x v="2"/>
    <x v="16"/>
    <x v="4"/>
    <x v="1246"/>
    <x v="1"/>
    <x v="1"/>
    <x v="3"/>
  </r>
  <r>
    <x v="1252"/>
    <x v="24"/>
    <x v="7"/>
    <x v="18"/>
    <x v="3"/>
    <x v="1247"/>
    <x v="1"/>
    <x v="1"/>
    <x v="11"/>
  </r>
  <r>
    <x v="1253"/>
    <x v="29"/>
    <x v="7"/>
    <x v="20"/>
    <x v="0"/>
    <x v="1248"/>
    <x v="1"/>
    <x v="2"/>
    <x v="7"/>
  </r>
  <r>
    <x v="1254"/>
    <x v="25"/>
    <x v="1"/>
    <x v="22"/>
    <x v="3"/>
    <x v="1249"/>
    <x v="1"/>
    <x v="2"/>
    <x v="7"/>
  </r>
  <r>
    <x v="1255"/>
    <x v="36"/>
    <x v="4"/>
    <x v="3"/>
    <x v="0"/>
    <x v="1250"/>
    <x v="1"/>
    <x v="1"/>
    <x v="12"/>
  </r>
  <r>
    <x v="1256"/>
    <x v="36"/>
    <x v="6"/>
    <x v="29"/>
    <x v="0"/>
    <x v="1251"/>
    <x v="1"/>
    <x v="1"/>
    <x v="5"/>
  </r>
  <r>
    <x v="1257"/>
    <x v="36"/>
    <x v="6"/>
    <x v="7"/>
    <x v="1"/>
    <x v="1252"/>
    <x v="1"/>
    <x v="0"/>
    <x v="2"/>
  </r>
  <r>
    <x v="1258"/>
    <x v="36"/>
    <x v="1"/>
    <x v="26"/>
    <x v="1"/>
    <x v="1253"/>
    <x v="1"/>
    <x v="1"/>
    <x v="2"/>
  </r>
  <r>
    <x v="1259"/>
    <x v="42"/>
    <x v="7"/>
    <x v="10"/>
    <x v="0"/>
    <x v="1254"/>
    <x v="1"/>
    <x v="1"/>
    <x v="1"/>
  </r>
  <r>
    <x v="1260"/>
    <x v="35"/>
    <x v="6"/>
    <x v="28"/>
    <x v="3"/>
    <x v="1255"/>
    <x v="1"/>
    <x v="2"/>
    <x v="11"/>
  </r>
  <r>
    <x v="1261"/>
    <x v="42"/>
    <x v="0"/>
    <x v="3"/>
    <x v="0"/>
    <x v="1256"/>
    <x v="1"/>
    <x v="1"/>
    <x v="0"/>
  </r>
  <r>
    <x v="1262"/>
    <x v="34"/>
    <x v="3"/>
    <x v="12"/>
    <x v="1"/>
    <x v="1257"/>
    <x v="1"/>
    <x v="1"/>
    <x v="1"/>
  </r>
  <r>
    <x v="1263"/>
    <x v="17"/>
    <x v="2"/>
    <x v="13"/>
    <x v="2"/>
    <x v="1258"/>
    <x v="1"/>
    <x v="1"/>
    <x v="1"/>
  </r>
  <r>
    <x v="1264"/>
    <x v="27"/>
    <x v="6"/>
    <x v="27"/>
    <x v="3"/>
    <x v="1259"/>
    <x v="1"/>
    <x v="0"/>
    <x v="7"/>
  </r>
  <r>
    <x v="1265"/>
    <x v="30"/>
    <x v="7"/>
    <x v="11"/>
    <x v="3"/>
    <x v="1260"/>
    <x v="1"/>
    <x v="1"/>
    <x v="1"/>
  </r>
  <r>
    <x v="1266"/>
    <x v="26"/>
    <x v="7"/>
    <x v="22"/>
    <x v="3"/>
    <x v="1261"/>
    <x v="1"/>
    <x v="1"/>
    <x v="1"/>
  </r>
  <r>
    <x v="1267"/>
    <x v="32"/>
    <x v="3"/>
    <x v="9"/>
    <x v="0"/>
    <x v="1262"/>
    <x v="1"/>
    <x v="0"/>
    <x v="2"/>
  </r>
  <r>
    <x v="1268"/>
    <x v="32"/>
    <x v="2"/>
    <x v="7"/>
    <x v="2"/>
    <x v="1263"/>
    <x v="1"/>
    <x v="2"/>
    <x v="0"/>
  </r>
  <r>
    <x v="1269"/>
    <x v="34"/>
    <x v="0"/>
    <x v="17"/>
    <x v="0"/>
    <x v="1264"/>
    <x v="1"/>
    <x v="1"/>
    <x v="8"/>
  </r>
  <r>
    <x v="1270"/>
    <x v="37"/>
    <x v="4"/>
    <x v="20"/>
    <x v="0"/>
    <x v="1265"/>
    <x v="1"/>
    <x v="0"/>
    <x v="2"/>
  </r>
  <r>
    <x v="1271"/>
    <x v="34"/>
    <x v="4"/>
    <x v="22"/>
    <x v="1"/>
    <x v="1266"/>
    <x v="1"/>
    <x v="0"/>
    <x v="0"/>
  </r>
  <r>
    <x v="1272"/>
    <x v="37"/>
    <x v="1"/>
    <x v="28"/>
    <x v="0"/>
    <x v="1267"/>
    <x v="1"/>
    <x v="0"/>
    <x v="0"/>
  </r>
  <r>
    <x v="1273"/>
    <x v="39"/>
    <x v="1"/>
    <x v="7"/>
    <x v="0"/>
    <x v="1268"/>
    <x v="1"/>
    <x v="1"/>
    <x v="1"/>
  </r>
  <r>
    <x v="1274"/>
    <x v="30"/>
    <x v="4"/>
    <x v="10"/>
    <x v="2"/>
    <x v="1269"/>
    <x v="1"/>
    <x v="1"/>
    <x v="1"/>
  </r>
  <r>
    <x v="1275"/>
    <x v="37"/>
    <x v="0"/>
    <x v="4"/>
    <x v="0"/>
    <x v="1270"/>
    <x v="1"/>
    <x v="2"/>
    <x v="2"/>
  </r>
  <r>
    <x v="1276"/>
    <x v="39"/>
    <x v="2"/>
    <x v="29"/>
    <x v="0"/>
    <x v="1271"/>
    <x v="1"/>
    <x v="2"/>
    <x v="1"/>
  </r>
  <r>
    <x v="1277"/>
    <x v="37"/>
    <x v="0"/>
    <x v="24"/>
    <x v="0"/>
    <x v="1272"/>
    <x v="1"/>
    <x v="0"/>
    <x v="2"/>
  </r>
  <r>
    <x v="1278"/>
    <x v="38"/>
    <x v="2"/>
    <x v="3"/>
    <x v="0"/>
    <x v="1273"/>
    <x v="1"/>
    <x v="0"/>
    <x v="1"/>
  </r>
  <r>
    <x v="1279"/>
    <x v="0"/>
    <x v="0"/>
    <x v="29"/>
    <x v="0"/>
    <x v="1274"/>
    <x v="1"/>
    <x v="0"/>
    <x v="14"/>
  </r>
  <r>
    <x v="1280"/>
    <x v="16"/>
    <x v="0"/>
    <x v="19"/>
    <x v="2"/>
    <x v="1275"/>
    <x v="1"/>
    <x v="0"/>
    <x v="1"/>
  </r>
  <r>
    <x v="1281"/>
    <x v="42"/>
    <x v="6"/>
    <x v="26"/>
    <x v="0"/>
    <x v="1276"/>
    <x v="1"/>
    <x v="0"/>
    <x v="0"/>
  </r>
  <r>
    <x v="1282"/>
    <x v="35"/>
    <x v="1"/>
    <x v="12"/>
    <x v="3"/>
    <x v="1277"/>
    <x v="1"/>
    <x v="2"/>
    <x v="11"/>
  </r>
  <r>
    <x v="1283"/>
    <x v="40"/>
    <x v="3"/>
    <x v="15"/>
    <x v="0"/>
    <x v="1278"/>
    <x v="1"/>
    <x v="0"/>
    <x v="0"/>
  </r>
  <r>
    <x v="1284"/>
    <x v="26"/>
    <x v="6"/>
    <x v="24"/>
    <x v="3"/>
    <x v="1279"/>
    <x v="1"/>
    <x v="2"/>
    <x v="11"/>
  </r>
  <r>
    <x v="1285"/>
    <x v="35"/>
    <x v="3"/>
    <x v="1"/>
    <x v="3"/>
    <x v="1280"/>
    <x v="1"/>
    <x v="1"/>
    <x v="7"/>
  </r>
  <r>
    <x v="1286"/>
    <x v="30"/>
    <x v="7"/>
    <x v="18"/>
    <x v="2"/>
    <x v="1281"/>
    <x v="1"/>
    <x v="0"/>
    <x v="0"/>
  </r>
  <r>
    <x v="1287"/>
    <x v="39"/>
    <x v="0"/>
    <x v="1"/>
    <x v="0"/>
    <x v="1282"/>
    <x v="1"/>
    <x v="2"/>
    <x v="2"/>
  </r>
  <r>
    <x v="1288"/>
    <x v="39"/>
    <x v="7"/>
    <x v="16"/>
    <x v="0"/>
    <x v="1283"/>
    <x v="1"/>
    <x v="0"/>
    <x v="2"/>
  </r>
  <r>
    <x v="1289"/>
    <x v="0"/>
    <x v="2"/>
    <x v="22"/>
    <x v="0"/>
    <x v="1284"/>
    <x v="1"/>
    <x v="1"/>
    <x v="1"/>
  </r>
  <r>
    <x v="1290"/>
    <x v="28"/>
    <x v="4"/>
    <x v="0"/>
    <x v="4"/>
    <x v="1285"/>
    <x v="1"/>
    <x v="1"/>
    <x v="5"/>
  </r>
  <r>
    <x v="1291"/>
    <x v="18"/>
    <x v="6"/>
    <x v="7"/>
    <x v="2"/>
    <x v="1286"/>
    <x v="1"/>
    <x v="1"/>
    <x v="14"/>
  </r>
  <r>
    <x v="1292"/>
    <x v="13"/>
    <x v="1"/>
    <x v="22"/>
    <x v="2"/>
    <x v="1287"/>
    <x v="1"/>
    <x v="2"/>
    <x v="16"/>
  </r>
  <r>
    <x v="1293"/>
    <x v="39"/>
    <x v="1"/>
    <x v="20"/>
    <x v="1"/>
    <x v="1288"/>
    <x v="1"/>
    <x v="2"/>
    <x v="2"/>
  </r>
  <r>
    <x v="1294"/>
    <x v="7"/>
    <x v="4"/>
    <x v="18"/>
    <x v="0"/>
    <x v="1289"/>
    <x v="1"/>
    <x v="1"/>
    <x v="2"/>
  </r>
  <r>
    <x v="1295"/>
    <x v="39"/>
    <x v="7"/>
    <x v="29"/>
    <x v="0"/>
    <x v="1290"/>
    <x v="1"/>
    <x v="1"/>
    <x v="4"/>
  </r>
  <r>
    <x v="1296"/>
    <x v="33"/>
    <x v="7"/>
    <x v="13"/>
    <x v="1"/>
    <x v="1291"/>
    <x v="1"/>
    <x v="2"/>
    <x v="9"/>
  </r>
  <r>
    <x v="1297"/>
    <x v="33"/>
    <x v="4"/>
    <x v="14"/>
    <x v="3"/>
    <x v="1292"/>
    <x v="1"/>
    <x v="2"/>
    <x v="2"/>
  </r>
  <r>
    <x v="1298"/>
    <x v="39"/>
    <x v="7"/>
    <x v="24"/>
    <x v="1"/>
    <x v="1293"/>
    <x v="1"/>
    <x v="2"/>
    <x v="0"/>
  </r>
  <r>
    <x v="1299"/>
    <x v="36"/>
    <x v="0"/>
    <x v="13"/>
    <x v="1"/>
    <x v="1294"/>
    <x v="1"/>
    <x v="0"/>
    <x v="1"/>
  </r>
  <r>
    <x v="1300"/>
    <x v="32"/>
    <x v="4"/>
    <x v="4"/>
    <x v="3"/>
    <x v="1295"/>
    <x v="1"/>
    <x v="0"/>
    <x v="1"/>
  </r>
  <r>
    <x v="1301"/>
    <x v="11"/>
    <x v="3"/>
    <x v="19"/>
    <x v="0"/>
    <x v="1296"/>
    <x v="1"/>
    <x v="0"/>
    <x v="1"/>
  </r>
  <r>
    <x v="1302"/>
    <x v="36"/>
    <x v="1"/>
    <x v="2"/>
    <x v="0"/>
    <x v="1297"/>
    <x v="1"/>
    <x v="1"/>
    <x v="8"/>
  </r>
  <r>
    <x v="1303"/>
    <x v="36"/>
    <x v="1"/>
    <x v="8"/>
    <x v="1"/>
    <x v="1298"/>
    <x v="1"/>
    <x v="0"/>
    <x v="0"/>
  </r>
  <r>
    <x v="1304"/>
    <x v="34"/>
    <x v="1"/>
    <x v="23"/>
    <x v="1"/>
    <x v="1299"/>
    <x v="1"/>
    <x v="0"/>
    <x v="1"/>
  </r>
  <r>
    <x v="1305"/>
    <x v="38"/>
    <x v="4"/>
    <x v="6"/>
    <x v="0"/>
    <x v="1300"/>
    <x v="1"/>
    <x v="0"/>
    <x v="2"/>
  </r>
  <r>
    <x v="1306"/>
    <x v="34"/>
    <x v="6"/>
    <x v="10"/>
    <x v="1"/>
    <x v="1301"/>
    <x v="1"/>
    <x v="0"/>
    <x v="1"/>
  </r>
  <r>
    <x v="1307"/>
    <x v="38"/>
    <x v="2"/>
    <x v="11"/>
    <x v="0"/>
    <x v="1302"/>
    <x v="1"/>
    <x v="2"/>
    <x v="2"/>
  </r>
  <r>
    <x v="1308"/>
    <x v="37"/>
    <x v="0"/>
    <x v="0"/>
    <x v="0"/>
    <x v="1303"/>
    <x v="1"/>
    <x v="2"/>
    <x v="1"/>
  </r>
  <r>
    <x v="1309"/>
    <x v="29"/>
    <x v="7"/>
    <x v="27"/>
    <x v="4"/>
    <x v="1304"/>
    <x v="1"/>
    <x v="1"/>
    <x v="0"/>
  </r>
  <r>
    <x v="1310"/>
    <x v="38"/>
    <x v="4"/>
    <x v="14"/>
    <x v="0"/>
    <x v="1305"/>
    <x v="1"/>
    <x v="0"/>
    <x v="0"/>
  </r>
  <r>
    <x v="1311"/>
    <x v="10"/>
    <x v="3"/>
    <x v="17"/>
    <x v="0"/>
    <x v="1306"/>
    <x v="1"/>
    <x v="0"/>
    <x v="1"/>
  </r>
  <r>
    <x v="1312"/>
    <x v="36"/>
    <x v="7"/>
    <x v="18"/>
    <x v="3"/>
    <x v="1307"/>
    <x v="1"/>
    <x v="1"/>
    <x v="0"/>
  </r>
  <r>
    <x v="1313"/>
    <x v="28"/>
    <x v="4"/>
    <x v="21"/>
    <x v="4"/>
    <x v="1308"/>
    <x v="1"/>
    <x v="1"/>
    <x v="1"/>
  </r>
  <r>
    <x v="1314"/>
    <x v="14"/>
    <x v="2"/>
    <x v="9"/>
    <x v="2"/>
    <x v="1309"/>
    <x v="1"/>
    <x v="2"/>
    <x v="1"/>
  </r>
  <r>
    <x v="1315"/>
    <x v="8"/>
    <x v="0"/>
    <x v="27"/>
    <x v="0"/>
    <x v="1310"/>
    <x v="1"/>
    <x v="0"/>
    <x v="1"/>
  </r>
  <r>
    <x v="1316"/>
    <x v="28"/>
    <x v="4"/>
    <x v="23"/>
    <x v="4"/>
    <x v="1311"/>
    <x v="1"/>
    <x v="0"/>
    <x v="1"/>
  </r>
  <r>
    <x v="1317"/>
    <x v="13"/>
    <x v="7"/>
    <x v="22"/>
    <x v="2"/>
    <x v="1312"/>
    <x v="1"/>
    <x v="1"/>
    <x v="1"/>
  </r>
  <r>
    <x v="1318"/>
    <x v="28"/>
    <x v="6"/>
    <x v="1"/>
    <x v="0"/>
    <x v="1313"/>
    <x v="1"/>
    <x v="2"/>
    <x v="7"/>
  </r>
  <r>
    <x v="1319"/>
    <x v="3"/>
    <x v="4"/>
    <x v="17"/>
    <x v="0"/>
    <x v="1314"/>
    <x v="1"/>
    <x v="1"/>
    <x v="14"/>
  </r>
  <r>
    <x v="1320"/>
    <x v="10"/>
    <x v="3"/>
    <x v="14"/>
    <x v="0"/>
    <x v="1315"/>
    <x v="1"/>
    <x v="1"/>
    <x v="2"/>
  </r>
  <r>
    <x v="1321"/>
    <x v="32"/>
    <x v="1"/>
    <x v="0"/>
    <x v="0"/>
    <x v="1316"/>
    <x v="1"/>
    <x v="2"/>
    <x v="1"/>
  </r>
  <r>
    <x v="1322"/>
    <x v="37"/>
    <x v="1"/>
    <x v="15"/>
    <x v="0"/>
    <x v="1317"/>
    <x v="1"/>
    <x v="0"/>
    <x v="2"/>
  </r>
  <r>
    <x v="1323"/>
    <x v="37"/>
    <x v="1"/>
    <x v="4"/>
    <x v="0"/>
    <x v="1318"/>
    <x v="1"/>
    <x v="0"/>
    <x v="2"/>
  </r>
  <r>
    <x v="1324"/>
    <x v="39"/>
    <x v="3"/>
    <x v="6"/>
    <x v="0"/>
    <x v="1319"/>
    <x v="1"/>
    <x v="2"/>
    <x v="1"/>
  </r>
  <r>
    <x v="1325"/>
    <x v="30"/>
    <x v="7"/>
    <x v="15"/>
    <x v="2"/>
    <x v="1320"/>
    <x v="1"/>
    <x v="2"/>
    <x v="1"/>
  </r>
  <r>
    <x v="1326"/>
    <x v="37"/>
    <x v="3"/>
    <x v="0"/>
    <x v="0"/>
    <x v="1321"/>
    <x v="1"/>
    <x v="1"/>
    <x v="0"/>
  </r>
  <r>
    <x v="1327"/>
    <x v="37"/>
    <x v="0"/>
    <x v="16"/>
    <x v="0"/>
    <x v="1322"/>
    <x v="1"/>
    <x v="1"/>
    <x v="0"/>
  </r>
  <r>
    <x v="1328"/>
    <x v="24"/>
    <x v="6"/>
    <x v="4"/>
    <x v="3"/>
    <x v="1323"/>
    <x v="1"/>
    <x v="1"/>
    <x v="11"/>
  </r>
  <r>
    <x v="1329"/>
    <x v="34"/>
    <x v="1"/>
    <x v="1"/>
    <x v="3"/>
    <x v="1324"/>
    <x v="1"/>
    <x v="2"/>
    <x v="2"/>
  </r>
  <r>
    <x v="1330"/>
    <x v="34"/>
    <x v="2"/>
    <x v="22"/>
    <x v="3"/>
    <x v="1325"/>
    <x v="1"/>
    <x v="2"/>
    <x v="2"/>
  </r>
  <r>
    <x v="1331"/>
    <x v="37"/>
    <x v="6"/>
    <x v="19"/>
    <x v="0"/>
    <x v="1326"/>
    <x v="1"/>
    <x v="1"/>
    <x v="5"/>
  </r>
  <r>
    <x v="1332"/>
    <x v="30"/>
    <x v="3"/>
    <x v="28"/>
    <x v="0"/>
    <x v="1327"/>
    <x v="1"/>
    <x v="2"/>
    <x v="11"/>
  </r>
  <r>
    <x v="1333"/>
    <x v="33"/>
    <x v="2"/>
    <x v="10"/>
    <x v="3"/>
    <x v="1328"/>
    <x v="1"/>
    <x v="2"/>
    <x v="1"/>
  </r>
  <r>
    <x v="1334"/>
    <x v="35"/>
    <x v="2"/>
    <x v="13"/>
    <x v="3"/>
    <x v="1329"/>
    <x v="1"/>
    <x v="2"/>
    <x v="7"/>
  </r>
  <r>
    <x v="1335"/>
    <x v="34"/>
    <x v="4"/>
    <x v="1"/>
    <x v="3"/>
    <x v="1330"/>
    <x v="1"/>
    <x v="1"/>
    <x v="5"/>
  </r>
  <r>
    <x v="1336"/>
    <x v="13"/>
    <x v="4"/>
    <x v="17"/>
    <x v="2"/>
    <x v="1331"/>
    <x v="1"/>
    <x v="2"/>
    <x v="14"/>
  </r>
  <r>
    <x v="1337"/>
    <x v="34"/>
    <x v="6"/>
    <x v="4"/>
    <x v="2"/>
    <x v="1332"/>
    <x v="1"/>
    <x v="1"/>
    <x v="2"/>
  </r>
  <r>
    <x v="1338"/>
    <x v="19"/>
    <x v="7"/>
    <x v="24"/>
    <x v="1"/>
    <x v="1333"/>
    <x v="1"/>
    <x v="1"/>
    <x v="14"/>
  </r>
  <r>
    <x v="1339"/>
    <x v="34"/>
    <x v="7"/>
    <x v="20"/>
    <x v="2"/>
    <x v="1334"/>
    <x v="1"/>
    <x v="2"/>
    <x v="2"/>
  </r>
  <r>
    <x v="1340"/>
    <x v="32"/>
    <x v="4"/>
    <x v="9"/>
    <x v="0"/>
    <x v="1335"/>
    <x v="1"/>
    <x v="1"/>
    <x v="7"/>
  </r>
  <r>
    <x v="1341"/>
    <x v="9"/>
    <x v="7"/>
    <x v="6"/>
    <x v="1"/>
    <x v="1336"/>
    <x v="1"/>
    <x v="2"/>
    <x v="4"/>
  </r>
  <r>
    <x v="1342"/>
    <x v="39"/>
    <x v="2"/>
    <x v="10"/>
    <x v="0"/>
    <x v="1337"/>
    <x v="1"/>
    <x v="0"/>
    <x v="8"/>
  </r>
  <r>
    <x v="1343"/>
    <x v="33"/>
    <x v="2"/>
    <x v="12"/>
    <x v="2"/>
    <x v="1338"/>
    <x v="1"/>
    <x v="1"/>
    <x v="1"/>
  </r>
  <r>
    <x v="1344"/>
    <x v="15"/>
    <x v="1"/>
    <x v="10"/>
    <x v="2"/>
    <x v="1339"/>
    <x v="1"/>
    <x v="1"/>
    <x v="16"/>
  </r>
  <r>
    <x v="1345"/>
    <x v="30"/>
    <x v="3"/>
    <x v="22"/>
    <x v="4"/>
    <x v="1340"/>
    <x v="1"/>
    <x v="2"/>
    <x v="2"/>
  </r>
  <r>
    <x v="1346"/>
    <x v="36"/>
    <x v="7"/>
    <x v="19"/>
    <x v="1"/>
    <x v="1341"/>
    <x v="1"/>
    <x v="1"/>
    <x v="1"/>
  </r>
  <r>
    <x v="1347"/>
    <x v="41"/>
    <x v="1"/>
    <x v="12"/>
    <x v="0"/>
    <x v="1342"/>
    <x v="1"/>
    <x v="0"/>
    <x v="1"/>
  </r>
  <r>
    <x v="1348"/>
    <x v="4"/>
    <x v="4"/>
    <x v="23"/>
    <x v="0"/>
    <x v="1343"/>
    <x v="1"/>
    <x v="2"/>
    <x v="14"/>
  </r>
  <r>
    <x v="1349"/>
    <x v="41"/>
    <x v="0"/>
    <x v="20"/>
    <x v="0"/>
    <x v="1344"/>
    <x v="1"/>
    <x v="1"/>
    <x v="1"/>
  </r>
  <r>
    <x v="1350"/>
    <x v="5"/>
    <x v="3"/>
    <x v="4"/>
    <x v="0"/>
    <x v="1345"/>
    <x v="1"/>
    <x v="0"/>
    <x v="1"/>
  </r>
  <r>
    <x v="1351"/>
    <x v="13"/>
    <x v="6"/>
    <x v="11"/>
    <x v="1"/>
    <x v="1346"/>
    <x v="1"/>
    <x v="0"/>
    <x v="0"/>
  </r>
  <r>
    <x v="1352"/>
    <x v="36"/>
    <x v="1"/>
    <x v="24"/>
    <x v="0"/>
    <x v="1347"/>
    <x v="1"/>
    <x v="2"/>
    <x v="7"/>
  </r>
  <r>
    <x v="1353"/>
    <x v="42"/>
    <x v="0"/>
    <x v="8"/>
    <x v="0"/>
    <x v="1348"/>
    <x v="1"/>
    <x v="0"/>
    <x v="2"/>
  </r>
  <r>
    <x v="1354"/>
    <x v="38"/>
    <x v="1"/>
    <x v="7"/>
    <x v="0"/>
    <x v="1349"/>
    <x v="1"/>
    <x v="1"/>
    <x v="1"/>
  </r>
  <r>
    <x v="1355"/>
    <x v="38"/>
    <x v="3"/>
    <x v="9"/>
    <x v="0"/>
    <x v="1350"/>
    <x v="1"/>
    <x v="0"/>
    <x v="1"/>
  </r>
  <r>
    <x v="1356"/>
    <x v="42"/>
    <x v="0"/>
    <x v="6"/>
    <x v="0"/>
    <x v="1351"/>
    <x v="1"/>
    <x v="1"/>
    <x v="2"/>
  </r>
  <r>
    <x v="1357"/>
    <x v="42"/>
    <x v="0"/>
    <x v="28"/>
    <x v="0"/>
    <x v="1352"/>
    <x v="1"/>
    <x v="1"/>
    <x v="0"/>
  </r>
  <r>
    <x v="1358"/>
    <x v="42"/>
    <x v="4"/>
    <x v="2"/>
    <x v="0"/>
    <x v="1353"/>
    <x v="1"/>
    <x v="2"/>
    <x v="2"/>
  </r>
  <r>
    <x v="1359"/>
    <x v="25"/>
    <x v="2"/>
    <x v="15"/>
    <x v="3"/>
    <x v="1354"/>
    <x v="1"/>
    <x v="1"/>
    <x v="14"/>
  </r>
  <r>
    <x v="1360"/>
    <x v="30"/>
    <x v="4"/>
    <x v="19"/>
    <x v="0"/>
    <x v="1355"/>
    <x v="1"/>
    <x v="2"/>
    <x v="7"/>
  </r>
  <r>
    <x v="1361"/>
    <x v="42"/>
    <x v="2"/>
    <x v="2"/>
    <x v="0"/>
    <x v="1356"/>
    <x v="1"/>
    <x v="2"/>
    <x v="0"/>
  </r>
  <r>
    <x v="1362"/>
    <x v="6"/>
    <x v="0"/>
    <x v="13"/>
    <x v="0"/>
    <x v="1357"/>
    <x v="1"/>
    <x v="2"/>
    <x v="14"/>
  </r>
  <r>
    <x v="1363"/>
    <x v="39"/>
    <x v="4"/>
    <x v="11"/>
    <x v="1"/>
    <x v="1358"/>
    <x v="1"/>
    <x v="1"/>
    <x v="6"/>
  </r>
  <r>
    <x v="1364"/>
    <x v="33"/>
    <x v="7"/>
    <x v="24"/>
    <x v="3"/>
    <x v="1359"/>
    <x v="1"/>
    <x v="0"/>
    <x v="8"/>
  </r>
  <r>
    <x v="1365"/>
    <x v="33"/>
    <x v="7"/>
    <x v="15"/>
    <x v="2"/>
    <x v="1360"/>
    <x v="1"/>
    <x v="2"/>
    <x v="2"/>
  </r>
  <r>
    <x v="1366"/>
    <x v="22"/>
    <x v="7"/>
    <x v="29"/>
    <x v="2"/>
    <x v="1361"/>
    <x v="1"/>
    <x v="1"/>
    <x v="11"/>
  </r>
  <r>
    <x v="1367"/>
    <x v="20"/>
    <x v="2"/>
    <x v="0"/>
    <x v="2"/>
    <x v="1362"/>
    <x v="1"/>
    <x v="1"/>
    <x v="1"/>
  </r>
  <r>
    <x v="1368"/>
    <x v="24"/>
    <x v="0"/>
    <x v="17"/>
    <x v="3"/>
    <x v="1363"/>
    <x v="1"/>
    <x v="0"/>
    <x v="11"/>
  </r>
  <r>
    <x v="1369"/>
    <x v="32"/>
    <x v="3"/>
    <x v="8"/>
    <x v="2"/>
    <x v="1364"/>
    <x v="1"/>
    <x v="0"/>
    <x v="1"/>
  </r>
  <r>
    <x v="1370"/>
    <x v="37"/>
    <x v="2"/>
    <x v="10"/>
    <x v="0"/>
    <x v="1365"/>
    <x v="1"/>
    <x v="1"/>
    <x v="1"/>
  </r>
  <r>
    <x v="1371"/>
    <x v="38"/>
    <x v="2"/>
    <x v="29"/>
    <x v="0"/>
    <x v="1366"/>
    <x v="1"/>
    <x v="2"/>
    <x v="2"/>
  </r>
  <r>
    <x v="1372"/>
    <x v="37"/>
    <x v="3"/>
    <x v="15"/>
    <x v="0"/>
    <x v="1367"/>
    <x v="1"/>
    <x v="2"/>
    <x v="7"/>
  </r>
  <r>
    <x v="1373"/>
    <x v="9"/>
    <x v="3"/>
    <x v="23"/>
    <x v="0"/>
    <x v="1368"/>
    <x v="1"/>
    <x v="2"/>
    <x v="0"/>
  </r>
  <r>
    <x v="1374"/>
    <x v="33"/>
    <x v="7"/>
    <x v="2"/>
    <x v="2"/>
    <x v="1369"/>
    <x v="1"/>
    <x v="1"/>
    <x v="10"/>
  </r>
  <r>
    <x v="1375"/>
    <x v="22"/>
    <x v="2"/>
    <x v="15"/>
    <x v="2"/>
    <x v="1370"/>
    <x v="1"/>
    <x v="0"/>
    <x v="14"/>
  </r>
  <r>
    <x v="1376"/>
    <x v="34"/>
    <x v="6"/>
    <x v="20"/>
    <x v="0"/>
    <x v="1371"/>
    <x v="1"/>
    <x v="1"/>
    <x v="1"/>
  </r>
  <r>
    <x v="1377"/>
    <x v="13"/>
    <x v="7"/>
    <x v="19"/>
    <x v="2"/>
    <x v="1372"/>
    <x v="1"/>
    <x v="0"/>
    <x v="14"/>
  </r>
  <r>
    <x v="1378"/>
    <x v="36"/>
    <x v="2"/>
    <x v="18"/>
    <x v="1"/>
    <x v="1373"/>
    <x v="1"/>
    <x v="1"/>
    <x v="8"/>
  </r>
  <r>
    <x v="1379"/>
    <x v="32"/>
    <x v="4"/>
    <x v="11"/>
    <x v="4"/>
    <x v="1374"/>
    <x v="1"/>
    <x v="1"/>
    <x v="1"/>
  </r>
  <r>
    <x v="1380"/>
    <x v="15"/>
    <x v="2"/>
    <x v="8"/>
    <x v="2"/>
    <x v="1375"/>
    <x v="1"/>
    <x v="1"/>
    <x v="14"/>
  </r>
  <r>
    <x v="1381"/>
    <x v="33"/>
    <x v="0"/>
    <x v="29"/>
    <x v="0"/>
    <x v="1376"/>
    <x v="1"/>
    <x v="1"/>
    <x v="1"/>
  </r>
  <r>
    <x v="1382"/>
    <x v="38"/>
    <x v="7"/>
    <x v="28"/>
    <x v="0"/>
    <x v="1377"/>
    <x v="1"/>
    <x v="1"/>
    <x v="12"/>
  </r>
  <r>
    <x v="1383"/>
    <x v="36"/>
    <x v="1"/>
    <x v="10"/>
    <x v="3"/>
    <x v="1378"/>
    <x v="1"/>
    <x v="1"/>
    <x v="2"/>
  </r>
  <r>
    <x v="1384"/>
    <x v="32"/>
    <x v="4"/>
    <x v="5"/>
    <x v="0"/>
    <x v="1379"/>
    <x v="1"/>
    <x v="1"/>
    <x v="1"/>
  </r>
  <r>
    <x v="1385"/>
    <x v="29"/>
    <x v="0"/>
    <x v="29"/>
    <x v="5"/>
    <x v="1380"/>
    <x v="1"/>
    <x v="2"/>
    <x v="2"/>
  </r>
  <r>
    <x v="1386"/>
    <x v="38"/>
    <x v="7"/>
    <x v="3"/>
    <x v="1"/>
    <x v="1381"/>
    <x v="1"/>
    <x v="1"/>
    <x v="0"/>
  </r>
  <r>
    <x v="1387"/>
    <x v="38"/>
    <x v="4"/>
    <x v="22"/>
    <x v="0"/>
    <x v="1382"/>
    <x v="1"/>
    <x v="0"/>
    <x v="5"/>
  </r>
  <r>
    <x v="1388"/>
    <x v="38"/>
    <x v="1"/>
    <x v="19"/>
    <x v="1"/>
    <x v="1383"/>
    <x v="1"/>
    <x v="0"/>
    <x v="2"/>
  </r>
  <r>
    <x v="1389"/>
    <x v="42"/>
    <x v="2"/>
    <x v="4"/>
    <x v="0"/>
    <x v="1384"/>
    <x v="1"/>
    <x v="1"/>
    <x v="13"/>
  </r>
  <r>
    <x v="1390"/>
    <x v="18"/>
    <x v="0"/>
    <x v="17"/>
    <x v="2"/>
    <x v="1385"/>
    <x v="1"/>
    <x v="0"/>
    <x v="16"/>
  </r>
  <r>
    <x v="1391"/>
    <x v="37"/>
    <x v="7"/>
    <x v="6"/>
    <x v="0"/>
    <x v="1386"/>
    <x v="1"/>
    <x v="2"/>
    <x v="8"/>
  </r>
  <r>
    <x v="1392"/>
    <x v="11"/>
    <x v="0"/>
    <x v="4"/>
    <x v="0"/>
    <x v="1387"/>
    <x v="1"/>
    <x v="2"/>
    <x v="9"/>
  </r>
  <r>
    <x v="1393"/>
    <x v="37"/>
    <x v="0"/>
    <x v="19"/>
    <x v="0"/>
    <x v="1388"/>
    <x v="1"/>
    <x v="1"/>
    <x v="8"/>
  </r>
  <r>
    <x v="1394"/>
    <x v="37"/>
    <x v="6"/>
    <x v="29"/>
    <x v="0"/>
    <x v="1389"/>
    <x v="1"/>
    <x v="0"/>
    <x v="8"/>
  </r>
  <r>
    <x v="1395"/>
    <x v="37"/>
    <x v="1"/>
    <x v="0"/>
    <x v="1"/>
    <x v="1390"/>
    <x v="1"/>
    <x v="1"/>
    <x v="2"/>
  </r>
  <r>
    <x v="1396"/>
    <x v="33"/>
    <x v="4"/>
    <x v="5"/>
    <x v="0"/>
    <x v="1391"/>
    <x v="1"/>
    <x v="1"/>
    <x v="11"/>
  </r>
  <r>
    <x v="1397"/>
    <x v="23"/>
    <x v="7"/>
    <x v="27"/>
    <x v="2"/>
    <x v="1392"/>
    <x v="1"/>
    <x v="2"/>
    <x v="11"/>
  </r>
  <r>
    <x v="1398"/>
    <x v="34"/>
    <x v="7"/>
    <x v="8"/>
    <x v="3"/>
    <x v="1393"/>
    <x v="1"/>
    <x v="1"/>
    <x v="8"/>
  </r>
  <r>
    <x v="1399"/>
    <x v="21"/>
    <x v="1"/>
    <x v="9"/>
    <x v="2"/>
    <x v="1394"/>
    <x v="1"/>
    <x v="0"/>
    <x v="14"/>
  </r>
  <r>
    <x v="1400"/>
    <x v="42"/>
    <x v="1"/>
    <x v="0"/>
    <x v="0"/>
    <x v="1395"/>
    <x v="1"/>
    <x v="1"/>
    <x v="1"/>
  </r>
  <r>
    <x v="1401"/>
    <x v="15"/>
    <x v="3"/>
    <x v="16"/>
    <x v="3"/>
    <x v="1396"/>
    <x v="1"/>
    <x v="1"/>
    <x v="2"/>
  </r>
  <r>
    <x v="1402"/>
    <x v="34"/>
    <x v="1"/>
    <x v="8"/>
    <x v="2"/>
    <x v="1397"/>
    <x v="1"/>
    <x v="1"/>
    <x v="2"/>
  </r>
  <r>
    <x v="1403"/>
    <x v="41"/>
    <x v="2"/>
    <x v="0"/>
    <x v="0"/>
    <x v="1398"/>
    <x v="1"/>
    <x v="0"/>
    <x v="0"/>
  </r>
  <r>
    <x v="1404"/>
    <x v="42"/>
    <x v="4"/>
    <x v="24"/>
    <x v="0"/>
    <x v="1399"/>
    <x v="1"/>
    <x v="1"/>
    <x v="1"/>
  </r>
  <r>
    <x v="1405"/>
    <x v="25"/>
    <x v="1"/>
    <x v="19"/>
    <x v="3"/>
    <x v="1400"/>
    <x v="1"/>
    <x v="1"/>
    <x v="14"/>
  </r>
  <r>
    <x v="1406"/>
    <x v="37"/>
    <x v="0"/>
    <x v="22"/>
    <x v="1"/>
    <x v="1401"/>
    <x v="1"/>
    <x v="0"/>
    <x v="5"/>
  </r>
  <r>
    <x v="1407"/>
    <x v="23"/>
    <x v="1"/>
    <x v="4"/>
    <x v="2"/>
    <x v="1402"/>
    <x v="1"/>
    <x v="0"/>
    <x v="14"/>
  </r>
  <r>
    <x v="1408"/>
    <x v="38"/>
    <x v="7"/>
    <x v="28"/>
    <x v="0"/>
    <x v="1403"/>
    <x v="1"/>
    <x v="1"/>
    <x v="1"/>
  </r>
  <r>
    <x v="1409"/>
    <x v="42"/>
    <x v="2"/>
    <x v="3"/>
    <x v="0"/>
    <x v="1404"/>
    <x v="1"/>
    <x v="0"/>
    <x v="0"/>
  </r>
  <r>
    <x v="1410"/>
    <x v="42"/>
    <x v="3"/>
    <x v="20"/>
    <x v="0"/>
    <x v="1405"/>
    <x v="1"/>
    <x v="0"/>
    <x v="2"/>
  </r>
  <r>
    <x v="1411"/>
    <x v="38"/>
    <x v="3"/>
    <x v="22"/>
    <x v="0"/>
    <x v="1406"/>
    <x v="1"/>
    <x v="2"/>
    <x v="1"/>
  </r>
  <r>
    <x v="1412"/>
    <x v="42"/>
    <x v="0"/>
    <x v="20"/>
    <x v="0"/>
    <x v="1407"/>
    <x v="1"/>
    <x v="2"/>
    <x v="2"/>
  </r>
  <r>
    <x v="1413"/>
    <x v="38"/>
    <x v="1"/>
    <x v="23"/>
    <x v="0"/>
    <x v="1408"/>
    <x v="1"/>
    <x v="0"/>
    <x v="1"/>
  </r>
  <r>
    <x v="1414"/>
    <x v="42"/>
    <x v="2"/>
    <x v="3"/>
    <x v="0"/>
    <x v="1409"/>
    <x v="1"/>
    <x v="2"/>
    <x v="2"/>
  </r>
  <r>
    <x v="1415"/>
    <x v="42"/>
    <x v="3"/>
    <x v="7"/>
    <x v="0"/>
    <x v="1410"/>
    <x v="1"/>
    <x v="2"/>
    <x v="0"/>
  </r>
  <r>
    <x v="1416"/>
    <x v="28"/>
    <x v="0"/>
    <x v="15"/>
    <x v="0"/>
    <x v="1411"/>
    <x v="1"/>
    <x v="0"/>
    <x v="2"/>
  </r>
  <r>
    <x v="1417"/>
    <x v="39"/>
    <x v="6"/>
    <x v="18"/>
    <x v="1"/>
    <x v="1412"/>
    <x v="1"/>
    <x v="0"/>
    <x v="8"/>
  </r>
  <r>
    <x v="1418"/>
    <x v="39"/>
    <x v="0"/>
    <x v="10"/>
    <x v="3"/>
    <x v="1413"/>
    <x v="1"/>
    <x v="2"/>
    <x v="2"/>
  </r>
  <r>
    <x v="1419"/>
    <x v="39"/>
    <x v="7"/>
    <x v="7"/>
    <x v="3"/>
    <x v="1414"/>
    <x v="1"/>
    <x v="1"/>
    <x v="0"/>
  </r>
  <r>
    <x v="1420"/>
    <x v="9"/>
    <x v="2"/>
    <x v="24"/>
    <x v="3"/>
    <x v="1415"/>
    <x v="1"/>
    <x v="0"/>
    <x v="0"/>
  </r>
  <r>
    <x v="1421"/>
    <x v="42"/>
    <x v="1"/>
    <x v="11"/>
    <x v="0"/>
    <x v="1416"/>
    <x v="1"/>
    <x v="1"/>
    <x v="11"/>
  </r>
  <r>
    <x v="1422"/>
    <x v="42"/>
    <x v="4"/>
    <x v="4"/>
    <x v="0"/>
    <x v="1417"/>
    <x v="1"/>
    <x v="1"/>
    <x v="4"/>
  </r>
  <r>
    <x v="1423"/>
    <x v="42"/>
    <x v="6"/>
    <x v="24"/>
    <x v="0"/>
    <x v="1418"/>
    <x v="1"/>
    <x v="0"/>
    <x v="4"/>
  </r>
  <r>
    <x v="1424"/>
    <x v="14"/>
    <x v="7"/>
    <x v="11"/>
    <x v="2"/>
    <x v="1419"/>
    <x v="1"/>
    <x v="1"/>
    <x v="9"/>
  </r>
  <r>
    <x v="1425"/>
    <x v="42"/>
    <x v="4"/>
    <x v="22"/>
    <x v="0"/>
    <x v="1420"/>
    <x v="1"/>
    <x v="2"/>
    <x v="5"/>
  </r>
  <r>
    <x v="1426"/>
    <x v="38"/>
    <x v="1"/>
    <x v="5"/>
    <x v="1"/>
    <x v="1421"/>
    <x v="1"/>
    <x v="2"/>
    <x v="1"/>
  </r>
  <r>
    <x v="1427"/>
    <x v="42"/>
    <x v="3"/>
    <x v="7"/>
    <x v="1"/>
    <x v="1422"/>
    <x v="1"/>
    <x v="2"/>
    <x v="0"/>
  </r>
  <r>
    <x v="1428"/>
    <x v="39"/>
    <x v="4"/>
    <x v="12"/>
    <x v="2"/>
    <x v="1423"/>
    <x v="1"/>
    <x v="0"/>
    <x v="0"/>
  </r>
  <r>
    <x v="1429"/>
    <x v="22"/>
    <x v="0"/>
    <x v="6"/>
    <x v="2"/>
    <x v="1424"/>
    <x v="1"/>
    <x v="2"/>
    <x v="14"/>
  </r>
  <r>
    <x v="1430"/>
    <x v="1"/>
    <x v="4"/>
    <x v="8"/>
    <x v="0"/>
    <x v="1425"/>
    <x v="1"/>
    <x v="2"/>
    <x v="1"/>
  </r>
  <r>
    <x v="1431"/>
    <x v="23"/>
    <x v="7"/>
    <x v="17"/>
    <x v="2"/>
    <x v="1426"/>
    <x v="1"/>
    <x v="0"/>
    <x v="11"/>
  </r>
  <r>
    <x v="1432"/>
    <x v="38"/>
    <x v="2"/>
    <x v="0"/>
    <x v="0"/>
    <x v="1427"/>
    <x v="1"/>
    <x v="2"/>
    <x v="8"/>
  </r>
  <r>
    <x v="1433"/>
    <x v="38"/>
    <x v="7"/>
    <x v="7"/>
    <x v="1"/>
    <x v="1428"/>
    <x v="1"/>
    <x v="1"/>
    <x v="2"/>
  </r>
  <r>
    <x v="1434"/>
    <x v="25"/>
    <x v="7"/>
    <x v="25"/>
    <x v="3"/>
    <x v="1429"/>
    <x v="1"/>
    <x v="0"/>
    <x v="11"/>
  </r>
  <r>
    <x v="1435"/>
    <x v="37"/>
    <x v="1"/>
    <x v="18"/>
    <x v="1"/>
    <x v="1430"/>
    <x v="1"/>
    <x v="1"/>
    <x v="1"/>
  </r>
  <r>
    <x v="1436"/>
    <x v="18"/>
    <x v="3"/>
    <x v="15"/>
    <x v="2"/>
    <x v="1431"/>
    <x v="1"/>
    <x v="2"/>
    <x v="14"/>
  </r>
  <r>
    <x v="1437"/>
    <x v="21"/>
    <x v="3"/>
    <x v="24"/>
    <x v="2"/>
    <x v="1432"/>
    <x v="1"/>
    <x v="2"/>
    <x v="16"/>
  </r>
  <r>
    <x v="1438"/>
    <x v="36"/>
    <x v="2"/>
    <x v="27"/>
    <x v="2"/>
    <x v="1433"/>
    <x v="1"/>
    <x v="0"/>
    <x v="2"/>
  </r>
  <r>
    <x v="1439"/>
    <x v="36"/>
    <x v="4"/>
    <x v="0"/>
    <x v="3"/>
    <x v="1434"/>
    <x v="1"/>
    <x v="1"/>
    <x v="8"/>
  </r>
  <r>
    <x v="1440"/>
    <x v="36"/>
    <x v="7"/>
    <x v="22"/>
    <x v="2"/>
    <x v="1435"/>
    <x v="1"/>
    <x v="0"/>
    <x v="2"/>
  </r>
  <r>
    <x v="1441"/>
    <x v="41"/>
    <x v="0"/>
    <x v="4"/>
    <x v="0"/>
    <x v="1436"/>
    <x v="1"/>
    <x v="1"/>
    <x v="1"/>
  </r>
  <r>
    <x v="1442"/>
    <x v="41"/>
    <x v="2"/>
    <x v="6"/>
    <x v="0"/>
    <x v="1437"/>
    <x v="1"/>
    <x v="1"/>
    <x v="1"/>
  </r>
  <r>
    <x v="1443"/>
    <x v="14"/>
    <x v="1"/>
    <x v="19"/>
    <x v="2"/>
    <x v="1438"/>
    <x v="1"/>
    <x v="0"/>
    <x v="14"/>
  </r>
  <r>
    <x v="1444"/>
    <x v="28"/>
    <x v="3"/>
    <x v="25"/>
    <x v="0"/>
    <x v="1439"/>
    <x v="1"/>
    <x v="0"/>
    <x v="1"/>
  </r>
  <r>
    <x v="1445"/>
    <x v="40"/>
    <x v="1"/>
    <x v="6"/>
    <x v="0"/>
    <x v="1440"/>
    <x v="1"/>
    <x v="2"/>
    <x v="0"/>
  </r>
  <r>
    <x v="1446"/>
    <x v="40"/>
    <x v="3"/>
    <x v="21"/>
    <x v="0"/>
    <x v="1441"/>
    <x v="1"/>
    <x v="0"/>
    <x v="2"/>
  </r>
  <r>
    <x v="1447"/>
    <x v="17"/>
    <x v="7"/>
    <x v="16"/>
    <x v="2"/>
    <x v="1442"/>
    <x v="1"/>
    <x v="0"/>
    <x v="1"/>
  </r>
  <r>
    <x v="1448"/>
    <x v="14"/>
    <x v="6"/>
    <x v="7"/>
    <x v="2"/>
    <x v="1443"/>
    <x v="1"/>
    <x v="0"/>
    <x v="14"/>
  </r>
  <r>
    <x v="1449"/>
    <x v="26"/>
    <x v="6"/>
    <x v="10"/>
    <x v="3"/>
    <x v="1444"/>
    <x v="1"/>
    <x v="1"/>
    <x v="1"/>
  </r>
  <r>
    <x v="1450"/>
    <x v="42"/>
    <x v="0"/>
    <x v="4"/>
    <x v="0"/>
    <x v="1445"/>
    <x v="1"/>
    <x v="2"/>
    <x v="1"/>
  </r>
  <r>
    <x v="1451"/>
    <x v="42"/>
    <x v="0"/>
    <x v="24"/>
    <x v="0"/>
    <x v="1446"/>
    <x v="1"/>
    <x v="1"/>
    <x v="1"/>
  </r>
  <r>
    <x v="1452"/>
    <x v="42"/>
    <x v="2"/>
    <x v="18"/>
    <x v="0"/>
    <x v="1447"/>
    <x v="1"/>
    <x v="0"/>
    <x v="1"/>
  </r>
  <r>
    <x v="1453"/>
    <x v="41"/>
    <x v="0"/>
    <x v="11"/>
    <x v="0"/>
    <x v="1448"/>
    <x v="1"/>
    <x v="1"/>
    <x v="2"/>
  </r>
  <r>
    <x v="1454"/>
    <x v="42"/>
    <x v="7"/>
    <x v="21"/>
    <x v="0"/>
    <x v="1449"/>
    <x v="1"/>
    <x v="0"/>
    <x v="1"/>
  </r>
  <r>
    <x v="1455"/>
    <x v="37"/>
    <x v="0"/>
    <x v="7"/>
    <x v="0"/>
    <x v="1450"/>
    <x v="1"/>
    <x v="0"/>
    <x v="1"/>
  </r>
  <r>
    <x v="1456"/>
    <x v="41"/>
    <x v="0"/>
    <x v="17"/>
    <x v="0"/>
    <x v="1451"/>
    <x v="1"/>
    <x v="1"/>
    <x v="0"/>
  </r>
  <r>
    <x v="1457"/>
    <x v="28"/>
    <x v="2"/>
    <x v="29"/>
    <x v="0"/>
    <x v="1452"/>
    <x v="1"/>
    <x v="1"/>
    <x v="1"/>
  </r>
  <r>
    <x v="1458"/>
    <x v="13"/>
    <x v="1"/>
    <x v="29"/>
    <x v="2"/>
    <x v="1453"/>
    <x v="1"/>
    <x v="0"/>
    <x v="14"/>
  </r>
  <r>
    <x v="1459"/>
    <x v="18"/>
    <x v="6"/>
    <x v="2"/>
    <x v="2"/>
    <x v="1454"/>
    <x v="1"/>
    <x v="2"/>
    <x v="14"/>
  </r>
  <r>
    <x v="1460"/>
    <x v="37"/>
    <x v="4"/>
    <x v="19"/>
    <x v="3"/>
    <x v="1455"/>
    <x v="1"/>
    <x v="0"/>
    <x v="0"/>
  </r>
  <r>
    <x v="1461"/>
    <x v="39"/>
    <x v="4"/>
    <x v="1"/>
    <x v="3"/>
    <x v="1456"/>
    <x v="1"/>
    <x v="1"/>
    <x v="1"/>
  </r>
  <r>
    <x v="1462"/>
    <x v="39"/>
    <x v="6"/>
    <x v="13"/>
    <x v="3"/>
    <x v="1457"/>
    <x v="1"/>
    <x v="2"/>
    <x v="1"/>
  </r>
  <r>
    <x v="1463"/>
    <x v="37"/>
    <x v="1"/>
    <x v="25"/>
    <x v="0"/>
    <x v="1458"/>
    <x v="1"/>
    <x v="1"/>
    <x v="7"/>
  </r>
  <r>
    <x v="1464"/>
    <x v="16"/>
    <x v="7"/>
    <x v="7"/>
    <x v="2"/>
    <x v="1459"/>
    <x v="1"/>
    <x v="1"/>
    <x v="2"/>
  </r>
  <r>
    <x v="1465"/>
    <x v="41"/>
    <x v="7"/>
    <x v="13"/>
    <x v="0"/>
    <x v="1460"/>
    <x v="1"/>
    <x v="1"/>
    <x v="7"/>
  </r>
  <r>
    <x v="1466"/>
    <x v="41"/>
    <x v="6"/>
    <x v="7"/>
    <x v="0"/>
    <x v="1461"/>
    <x v="1"/>
    <x v="0"/>
    <x v="12"/>
  </r>
  <r>
    <x v="1467"/>
    <x v="41"/>
    <x v="6"/>
    <x v="24"/>
    <x v="1"/>
    <x v="1462"/>
    <x v="1"/>
    <x v="2"/>
    <x v="2"/>
  </r>
  <r>
    <x v="1468"/>
    <x v="41"/>
    <x v="3"/>
    <x v="12"/>
    <x v="1"/>
    <x v="1463"/>
    <x v="1"/>
    <x v="0"/>
    <x v="2"/>
  </r>
  <r>
    <x v="1469"/>
    <x v="37"/>
    <x v="4"/>
    <x v="7"/>
    <x v="2"/>
    <x v="1464"/>
    <x v="1"/>
    <x v="0"/>
    <x v="2"/>
  </r>
  <r>
    <x v="1470"/>
    <x v="40"/>
    <x v="3"/>
    <x v="9"/>
    <x v="0"/>
    <x v="1465"/>
    <x v="1"/>
    <x v="2"/>
    <x v="8"/>
  </r>
  <r>
    <x v="1471"/>
    <x v="13"/>
    <x v="4"/>
    <x v="7"/>
    <x v="0"/>
    <x v="1466"/>
    <x v="1"/>
    <x v="0"/>
    <x v="5"/>
  </r>
  <r>
    <x v="1472"/>
    <x v="30"/>
    <x v="6"/>
    <x v="27"/>
    <x v="0"/>
    <x v="1467"/>
    <x v="1"/>
    <x v="2"/>
    <x v="11"/>
  </r>
  <r>
    <x v="1473"/>
    <x v="25"/>
    <x v="0"/>
    <x v="10"/>
    <x v="3"/>
    <x v="1468"/>
    <x v="1"/>
    <x v="1"/>
    <x v="16"/>
  </r>
  <r>
    <x v="1474"/>
    <x v="42"/>
    <x v="6"/>
    <x v="6"/>
    <x v="0"/>
    <x v="1469"/>
    <x v="1"/>
    <x v="0"/>
    <x v="8"/>
  </r>
  <r>
    <x v="1475"/>
    <x v="4"/>
    <x v="6"/>
    <x v="0"/>
    <x v="0"/>
    <x v="1470"/>
    <x v="1"/>
    <x v="0"/>
    <x v="1"/>
  </r>
  <r>
    <x v="1476"/>
    <x v="36"/>
    <x v="1"/>
    <x v="9"/>
    <x v="2"/>
    <x v="1471"/>
    <x v="1"/>
    <x v="1"/>
    <x v="1"/>
  </r>
  <r>
    <x v="1477"/>
    <x v="36"/>
    <x v="1"/>
    <x v="8"/>
    <x v="2"/>
    <x v="1472"/>
    <x v="1"/>
    <x v="0"/>
    <x v="1"/>
  </r>
  <r>
    <x v="1478"/>
    <x v="39"/>
    <x v="3"/>
    <x v="5"/>
    <x v="2"/>
    <x v="1473"/>
    <x v="1"/>
    <x v="0"/>
    <x v="0"/>
  </r>
  <r>
    <x v="1479"/>
    <x v="36"/>
    <x v="4"/>
    <x v="28"/>
    <x v="2"/>
    <x v="1474"/>
    <x v="1"/>
    <x v="0"/>
    <x v="1"/>
  </r>
  <r>
    <x v="1480"/>
    <x v="37"/>
    <x v="0"/>
    <x v="8"/>
    <x v="0"/>
    <x v="1475"/>
    <x v="1"/>
    <x v="2"/>
    <x v="1"/>
  </r>
  <r>
    <x v="1481"/>
    <x v="40"/>
    <x v="7"/>
    <x v="25"/>
    <x v="0"/>
    <x v="1476"/>
    <x v="1"/>
    <x v="0"/>
    <x v="1"/>
  </r>
  <r>
    <x v="1482"/>
    <x v="44"/>
    <x v="1"/>
    <x v="13"/>
    <x v="0"/>
    <x v="1477"/>
    <x v="1"/>
    <x v="0"/>
    <x v="0"/>
  </r>
  <r>
    <x v="1483"/>
    <x v="44"/>
    <x v="1"/>
    <x v="13"/>
    <x v="0"/>
    <x v="1478"/>
    <x v="1"/>
    <x v="1"/>
    <x v="2"/>
  </r>
  <r>
    <x v="1484"/>
    <x v="34"/>
    <x v="1"/>
    <x v="9"/>
    <x v="0"/>
    <x v="1479"/>
    <x v="1"/>
    <x v="1"/>
    <x v="7"/>
  </r>
  <r>
    <x v="1485"/>
    <x v="33"/>
    <x v="2"/>
    <x v="14"/>
    <x v="5"/>
    <x v="1480"/>
    <x v="1"/>
    <x v="2"/>
    <x v="0"/>
  </r>
  <r>
    <x v="1486"/>
    <x v="15"/>
    <x v="6"/>
    <x v="20"/>
    <x v="2"/>
    <x v="1481"/>
    <x v="1"/>
    <x v="1"/>
    <x v="9"/>
  </r>
  <r>
    <x v="1487"/>
    <x v="2"/>
    <x v="1"/>
    <x v="14"/>
    <x v="1"/>
    <x v="1482"/>
    <x v="1"/>
    <x v="0"/>
    <x v="1"/>
  </r>
  <r>
    <x v="1488"/>
    <x v="41"/>
    <x v="6"/>
    <x v="11"/>
    <x v="0"/>
    <x v="1483"/>
    <x v="1"/>
    <x v="1"/>
    <x v="1"/>
  </r>
  <r>
    <x v="1489"/>
    <x v="33"/>
    <x v="4"/>
    <x v="13"/>
    <x v="0"/>
    <x v="1484"/>
    <x v="1"/>
    <x v="1"/>
    <x v="1"/>
  </r>
  <r>
    <x v="1490"/>
    <x v="38"/>
    <x v="7"/>
    <x v="6"/>
    <x v="3"/>
    <x v="1485"/>
    <x v="1"/>
    <x v="1"/>
    <x v="0"/>
  </r>
  <r>
    <x v="1491"/>
    <x v="40"/>
    <x v="1"/>
    <x v="12"/>
    <x v="0"/>
    <x v="1486"/>
    <x v="1"/>
    <x v="0"/>
    <x v="0"/>
  </r>
  <r>
    <x v="1492"/>
    <x v="40"/>
    <x v="0"/>
    <x v="12"/>
    <x v="0"/>
    <x v="1487"/>
    <x v="1"/>
    <x v="1"/>
    <x v="2"/>
  </r>
  <r>
    <x v="1493"/>
    <x v="30"/>
    <x v="3"/>
    <x v="16"/>
    <x v="0"/>
    <x v="1488"/>
    <x v="1"/>
    <x v="1"/>
    <x v="2"/>
  </r>
  <r>
    <x v="1494"/>
    <x v="37"/>
    <x v="4"/>
    <x v="17"/>
    <x v="3"/>
    <x v="1489"/>
    <x v="1"/>
    <x v="1"/>
    <x v="1"/>
  </r>
  <r>
    <x v="1495"/>
    <x v="40"/>
    <x v="0"/>
    <x v="20"/>
    <x v="0"/>
    <x v="1490"/>
    <x v="1"/>
    <x v="2"/>
    <x v="2"/>
  </r>
  <r>
    <x v="1496"/>
    <x v="38"/>
    <x v="3"/>
    <x v="10"/>
    <x v="3"/>
    <x v="1491"/>
    <x v="1"/>
    <x v="2"/>
    <x v="2"/>
  </r>
  <r>
    <x v="1497"/>
    <x v="40"/>
    <x v="6"/>
    <x v="3"/>
    <x v="0"/>
    <x v="1492"/>
    <x v="1"/>
    <x v="2"/>
    <x v="0"/>
  </r>
  <r>
    <x v="1498"/>
    <x v="28"/>
    <x v="3"/>
    <x v="18"/>
    <x v="0"/>
    <x v="1493"/>
    <x v="1"/>
    <x v="0"/>
    <x v="11"/>
  </r>
  <r>
    <x v="1499"/>
    <x v="0"/>
    <x v="0"/>
    <x v="15"/>
    <x v="0"/>
    <x v="1494"/>
    <x v="1"/>
    <x v="2"/>
    <x v="2"/>
  </r>
  <r>
    <x v="1500"/>
    <x v="42"/>
    <x v="1"/>
    <x v="13"/>
    <x v="0"/>
    <x v="1495"/>
    <x v="1"/>
    <x v="0"/>
    <x v="2"/>
  </r>
  <r>
    <x v="1501"/>
    <x v="33"/>
    <x v="0"/>
    <x v="26"/>
    <x v="0"/>
    <x v="1496"/>
    <x v="1"/>
    <x v="1"/>
    <x v="2"/>
  </r>
  <r>
    <x v="1502"/>
    <x v="15"/>
    <x v="0"/>
    <x v="17"/>
    <x v="2"/>
    <x v="1497"/>
    <x v="1"/>
    <x v="1"/>
    <x v="14"/>
  </r>
  <r>
    <x v="1503"/>
    <x v="40"/>
    <x v="3"/>
    <x v="24"/>
    <x v="0"/>
    <x v="1498"/>
    <x v="1"/>
    <x v="0"/>
    <x v="5"/>
  </r>
  <r>
    <x v="1504"/>
    <x v="40"/>
    <x v="7"/>
    <x v="5"/>
    <x v="0"/>
    <x v="1499"/>
    <x v="1"/>
    <x v="1"/>
    <x v="12"/>
  </r>
  <r>
    <x v="1505"/>
    <x v="31"/>
    <x v="3"/>
    <x v="22"/>
    <x v="1"/>
    <x v="1500"/>
    <x v="1"/>
    <x v="0"/>
    <x v="11"/>
  </r>
  <r>
    <x v="1506"/>
    <x v="30"/>
    <x v="7"/>
    <x v="15"/>
    <x v="0"/>
    <x v="1501"/>
    <x v="1"/>
    <x v="0"/>
    <x v="14"/>
  </r>
  <r>
    <x v="1507"/>
    <x v="41"/>
    <x v="4"/>
    <x v="16"/>
    <x v="0"/>
    <x v="1502"/>
    <x v="1"/>
    <x v="0"/>
    <x v="7"/>
  </r>
  <r>
    <x v="1508"/>
    <x v="22"/>
    <x v="7"/>
    <x v="7"/>
    <x v="2"/>
    <x v="1503"/>
    <x v="1"/>
    <x v="1"/>
    <x v="14"/>
  </r>
  <r>
    <x v="1509"/>
    <x v="27"/>
    <x v="0"/>
    <x v="18"/>
    <x v="0"/>
    <x v="1504"/>
    <x v="1"/>
    <x v="1"/>
    <x v="8"/>
  </r>
  <r>
    <x v="1510"/>
    <x v="41"/>
    <x v="0"/>
    <x v="4"/>
    <x v="0"/>
    <x v="1505"/>
    <x v="1"/>
    <x v="0"/>
    <x v="8"/>
  </r>
  <r>
    <x v="1511"/>
    <x v="39"/>
    <x v="3"/>
    <x v="22"/>
    <x v="0"/>
    <x v="1506"/>
    <x v="1"/>
    <x v="0"/>
    <x v="11"/>
  </r>
  <r>
    <x v="1512"/>
    <x v="9"/>
    <x v="1"/>
    <x v="0"/>
    <x v="3"/>
    <x v="1507"/>
    <x v="1"/>
    <x v="0"/>
    <x v="5"/>
  </r>
  <r>
    <x v="1513"/>
    <x v="1"/>
    <x v="3"/>
    <x v="3"/>
    <x v="0"/>
    <x v="1508"/>
    <x v="1"/>
    <x v="2"/>
    <x v="1"/>
  </r>
  <r>
    <x v="1514"/>
    <x v="29"/>
    <x v="3"/>
    <x v="12"/>
    <x v="0"/>
    <x v="1509"/>
    <x v="1"/>
    <x v="1"/>
    <x v="1"/>
  </r>
  <r>
    <x v="1515"/>
    <x v="41"/>
    <x v="3"/>
    <x v="3"/>
    <x v="0"/>
    <x v="1510"/>
    <x v="1"/>
    <x v="0"/>
    <x v="11"/>
  </r>
  <r>
    <x v="1516"/>
    <x v="21"/>
    <x v="6"/>
    <x v="19"/>
    <x v="2"/>
    <x v="1511"/>
    <x v="1"/>
    <x v="0"/>
    <x v="1"/>
  </r>
  <r>
    <x v="1517"/>
    <x v="9"/>
    <x v="0"/>
    <x v="0"/>
    <x v="0"/>
    <x v="1512"/>
    <x v="1"/>
    <x v="1"/>
    <x v="4"/>
  </r>
  <r>
    <x v="1518"/>
    <x v="41"/>
    <x v="6"/>
    <x v="25"/>
    <x v="1"/>
    <x v="1513"/>
    <x v="1"/>
    <x v="2"/>
    <x v="5"/>
  </r>
  <r>
    <x v="1519"/>
    <x v="41"/>
    <x v="3"/>
    <x v="5"/>
    <x v="3"/>
    <x v="1514"/>
    <x v="1"/>
    <x v="2"/>
    <x v="0"/>
  </r>
  <r>
    <x v="1520"/>
    <x v="41"/>
    <x v="6"/>
    <x v="10"/>
    <x v="3"/>
    <x v="1515"/>
    <x v="1"/>
    <x v="2"/>
    <x v="0"/>
  </r>
  <r>
    <x v="1521"/>
    <x v="37"/>
    <x v="4"/>
    <x v="12"/>
    <x v="4"/>
    <x v="1516"/>
    <x v="1"/>
    <x v="0"/>
    <x v="0"/>
  </r>
  <r>
    <x v="1522"/>
    <x v="44"/>
    <x v="6"/>
    <x v="4"/>
    <x v="0"/>
    <x v="1517"/>
    <x v="1"/>
    <x v="1"/>
    <x v="1"/>
  </r>
  <r>
    <x v="1523"/>
    <x v="45"/>
    <x v="1"/>
    <x v="6"/>
    <x v="0"/>
    <x v="1518"/>
    <x v="1"/>
    <x v="1"/>
    <x v="2"/>
  </r>
  <r>
    <x v="1524"/>
    <x v="45"/>
    <x v="2"/>
    <x v="12"/>
    <x v="0"/>
    <x v="1519"/>
    <x v="1"/>
    <x v="1"/>
    <x v="2"/>
  </r>
  <r>
    <x v="1525"/>
    <x v="45"/>
    <x v="3"/>
    <x v="29"/>
    <x v="0"/>
    <x v="1520"/>
    <x v="1"/>
    <x v="0"/>
    <x v="0"/>
  </r>
  <r>
    <x v="1526"/>
    <x v="45"/>
    <x v="1"/>
    <x v="13"/>
    <x v="0"/>
    <x v="1521"/>
    <x v="1"/>
    <x v="1"/>
    <x v="0"/>
  </r>
  <r>
    <x v="1527"/>
    <x v="25"/>
    <x v="1"/>
    <x v="3"/>
    <x v="3"/>
    <x v="1522"/>
    <x v="1"/>
    <x v="2"/>
    <x v="14"/>
  </r>
  <r>
    <x v="1528"/>
    <x v="19"/>
    <x v="7"/>
    <x v="1"/>
    <x v="1"/>
    <x v="1523"/>
    <x v="1"/>
    <x v="1"/>
    <x v="1"/>
  </r>
  <r>
    <x v="1529"/>
    <x v="40"/>
    <x v="2"/>
    <x v="18"/>
    <x v="0"/>
    <x v="1524"/>
    <x v="1"/>
    <x v="1"/>
    <x v="1"/>
  </r>
  <r>
    <x v="1530"/>
    <x v="34"/>
    <x v="4"/>
    <x v="2"/>
    <x v="0"/>
    <x v="1525"/>
    <x v="1"/>
    <x v="0"/>
    <x v="1"/>
  </r>
  <r>
    <x v="1531"/>
    <x v="30"/>
    <x v="3"/>
    <x v="3"/>
    <x v="0"/>
    <x v="1526"/>
    <x v="1"/>
    <x v="2"/>
    <x v="1"/>
  </r>
  <r>
    <x v="1532"/>
    <x v="40"/>
    <x v="0"/>
    <x v="4"/>
    <x v="0"/>
    <x v="1527"/>
    <x v="1"/>
    <x v="1"/>
    <x v="1"/>
  </r>
  <r>
    <x v="1533"/>
    <x v="42"/>
    <x v="3"/>
    <x v="29"/>
    <x v="1"/>
    <x v="1528"/>
    <x v="1"/>
    <x v="1"/>
    <x v="8"/>
  </r>
  <r>
    <x v="1534"/>
    <x v="38"/>
    <x v="1"/>
    <x v="6"/>
    <x v="0"/>
    <x v="1529"/>
    <x v="1"/>
    <x v="2"/>
    <x v="7"/>
  </r>
  <r>
    <x v="1535"/>
    <x v="44"/>
    <x v="1"/>
    <x v="0"/>
    <x v="0"/>
    <x v="1530"/>
    <x v="1"/>
    <x v="1"/>
    <x v="2"/>
  </r>
  <r>
    <x v="1536"/>
    <x v="34"/>
    <x v="3"/>
    <x v="29"/>
    <x v="0"/>
    <x v="1531"/>
    <x v="1"/>
    <x v="1"/>
    <x v="1"/>
  </r>
  <r>
    <x v="1537"/>
    <x v="39"/>
    <x v="6"/>
    <x v="19"/>
    <x v="2"/>
    <x v="1532"/>
    <x v="1"/>
    <x v="0"/>
    <x v="8"/>
  </r>
  <r>
    <x v="1538"/>
    <x v="20"/>
    <x v="7"/>
    <x v="9"/>
    <x v="2"/>
    <x v="1533"/>
    <x v="1"/>
    <x v="1"/>
    <x v="14"/>
  </r>
  <r>
    <x v="1539"/>
    <x v="44"/>
    <x v="1"/>
    <x v="19"/>
    <x v="0"/>
    <x v="1534"/>
    <x v="1"/>
    <x v="2"/>
    <x v="2"/>
  </r>
  <r>
    <x v="1540"/>
    <x v="27"/>
    <x v="0"/>
    <x v="17"/>
    <x v="3"/>
    <x v="1535"/>
    <x v="1"/>
    <x v="2"/>
    <x v="14"/>
  </r>
  <r>
    <x v="1541"/>
    <x v="32"/>
    <x v="7"/>
    <x v="1"/>
    <x v="0"/>
    <x v="1536"/>
    <x v="1"/>
    <x v="2"/>
    <x v="2"/>
  </r>
  <r>
    <x v="1542"/>
    <x v="40"/>
    <x v="6"/>
    <x v="24"/>
    <x v="1"/>
    <x v="1537"/>
    <x v="1"/>
    <x v="0"/>
    <x v="1"/>
  </r>
  <r>
    <x v="1543"/>
    <x v="0"/>
    <x v="6"/>
    <x v="8"/>
    <x v="0"/>
    <x v="1538"/>
    <x v="1"/>
    <x v="2"/>
    <x v="14"/>
  </r>
  <r>
    <x v="1544"/>
    <x v="41"/>
    <x v="3"/>
    <x v="10"/>
    <x v="0"/>
    <x v="1539"/>
    <x v="1"/>
    <x v="1"/>
    <x v="1"/>
  </r>
  <r>
    <x v="1545"/>
    <x v="7"/>
    <x v="6"/>
    <x v="25"/>
    <x v="0"/>
    <x v="1540"/>
    <x v="1"/>
    <x v="0"/>
    <x v="2"/>
  </r>
  <r>
    <x v="1546"/>
    <x v="44"/>
    <x v="3"/>
    <x v="15"/>
    <x v="0"/>
    <x v="1541"/>
    <x v="1"/>
    <x v="2"/>
    <x v="12"/>
  </r>
  <r>
    <x v="1547"/>
    <x v="44"/>
    <x v="4"/>
    <x v="19"/>
    <x v="0"/>
    <x v="1542"/>
    <x v="1"/>
    <x v="2"/>
    <x v="13"/>
  </r>
  <r>
    <x v="1548"/>
    <x v="44"/>
    <x v="4"/>
    <x v="19"/>
    <x v="0"/>
    <x v="1543"/>
    <x v="1"/>
    <x v="2"/>
    <x v="5"/>
  </r>
  <r>
    <x v="1549"/>
    <x v="40"/>
    <x v="6"/>
    <x v="16"/>
    <x v="0"/>
    <x v="1544"/>
    <x v="1"/>
    <x v="1"/>
    <x v="8"/>
  </r>
  <r>
    <x v="1550"/>
    <x v="23"/>
    <x v="7"/>
    <x v="21"/>
    <x v="2"/>
    <x v="1545"/>
    <x v="1"/>
    <x v="2"/>
    <x v="1"/>
  </r>
  <r>
    <x v="1551"/>
    <x v="40"/>
    <x v="4"/>
    <x v="15"/>
    <x v="0"/>
    <x v="1546"/>
    <x v="1"/>
    <x v="1"/>
    <x v="8"/>
  </r>
  <r>
    <x v="1552"/>
    <x v="38"/>
    <x v="1"/>
    <x v="2"/>
    <x v="3"/>
    <x v="1547"/>
    <x v="1"/>
    <x v="0"/>
    <x v="8"/>
  </r>
  <r>
    <x v="1553"/>
    <x v="40"/>
    <x v="1"/>
    <x v="18"/>
    <x v="1"/>
    <x v="1548"/>
    <x v="1"/>
    <x v="2"/>
    <x v="2"/>
  </r>
  <r>
    <x v="1554"/>
    <x v="40"/>
    <x v="7"/>
    <x v="20"/>
    <x v="0"/>
    <x v="1549"/>
    <x v="1"/>
    <x v="0"/>
    <x v="9"/>
  </r>
  <r>
    <x v="1555"/>
    <x v="11"/>
    <x v="0"/>
    <x v="5"/>
    <x v="0"/>
    <x v="1550"/>
    <x v="1"/>
    <x v="0"/>
    <x v="1"/>
  </r>
  <r>
    <x v="1556"/>
    <x v="35"/>
    <x v="6"/>
    <x v="29"/>
    <x v="3"/>
    <x v="1551"/>
    <x v="1"/>
    <x v="2"/>
    <x v="1"/>
  </r>
  <r>
    <x v="1557"/>
    <x v="45"/>
    <x v="1"/>
    <x v="20"/>
    <x v="0"/>
    <x v="1552"/>
    <x v="1"/>
    <x v="1"/>
    <x v="1"/>
  </r>
  <r>
    <x v="1558"/>
    <x v="16"/>
    <x v="7"/>
    <x v="24"/>
    <x v="2"/>
    <x v="1553"/>
    <x v="1"/>
    <x v="1"/>
    <x v="1"/>
  </r>
  <r>
    <x v="1559"/>
    <x v="42"/>
    <x v="3"/>
    <x v="18"/>
    <x v="0"/>
    <x v="1554"/>
    <x v="1"/>
    <x v="2"/>
    <x v="7"/>
  </r>
  <r>
    <x v="1560"/>
    <x v="25"/>
    <x v="3"/>
    <x v="1"/>
    <x v="3"/>
    <x v="1555"/>
    <x v="1"/>
    <x v="0"/>
    <x v="14"/>
  </r>
  <r>
    <x v="1561"/>
    <x v="21"/>
    <x v="2"/>
    <x v="19"/>
    <x v="2"/>
    <x v="1556"/>
    <x v="1"/>
    <x v="2"/>
    <x v="9"/>
  </r>
  <r>
    <x v="1562"/>
    <x v="46"/>
    <x v="4"/>
    <x v="0"/>
    <x v="0"/>
    <x v="1557"/>
    <x v="1"/>
    <x v="0"/>
    <x v="2"/>
  </r>
  <r>
    <x v="1563"/>
    <x v="46"/>
    <x v="1"/>
    <x v="22"/>
    <x v="0"/>
    <x v="1558"/>
    <x v="1"/>
    <x v="1"/>
    <x v="2"/>
  </r>
  <r>
    <x v="1564"/>
    <x v="46"/>
    <x v="4"/>
    <x v="4"/>
    <x v="0"/>
    <x v="1559"/>
    <x v="1"/>
    <x v="0"/>
    <x v="0"/>
  </r>
  <r>
    <x v="1565"/>
    <x v="0"/>
    <x v="4"/>
    <x v="11"/>
    <x v="0"/>
    <x v="1560"/>
    <x v="1"/>
    <x v="0"/>
    <x v="9"/>
  </r>
  <r>
    <x v="1566"/>
    <x v="44"/>
    <x v="0"/>
    <x v="12"/>
    <x v="0"/>
    <x v="1561"/>
    <x v="1"/>
    <x v="2"/>
    <x v="1"/>
  </r>
  <r>
    <x v="1567"/>
    <x v="11"/>
    <x v="2"/>
    <x v="17"/>
    <x v="0"/>
    <x v="1562"/>
    <x v="1"/>
    <x v="0"/>
    <x v="1"/>
  </r>
  <r>
    <x v="1568"/>
    <x v="44"/>
    <x v="1"/>
    <x v="28"/>
    <x v="0"/>
    <x v="1563"/>
    <x v="1"/>
    <x v="0"/>
    <x v="1"/>
  </r>
  <r>
    <x v="1569"/>
    <x v="37"/>
    <x v="1"/>
    <x v="10"/>
    <x v="2"/>
    <x v="1564"/>
    <x v="1"/>
    <x v="0"/>
    <x v="8"/>
  </r>
  <r>
    <x v="1570"/>
    <x v="31"/>
    <x v="2"/>
    <x v="7"/>
    <x v="1"/>
    <x v="1565"/>
    <x v="1"/>
    <x v="2"/>
    <x v="1"/>
  </r>
  <r>
    <x v="1571"/>
    <x v="45"/>
    <x v="6"/>
    <x v="2"/>
    <x v="0"/>
    <x v="1566"/>
    <x v="1"/>
    <x v="1"/>
    <x v="2"/>
  </r>
  <r>
    <x v="1572"/>
    <x v="45"/>
    <x v="0"/>
    <x v="20"/>
    <x v="0"/>
    <x v="1567"/>
    <x v="1"/>
    <x v="1"/>
    <x v="0"/>
  </r>
  <r>
    <x v="1573"/>
    <x v="45"/>
    <x v="4"/>
    <x v="25"/>
    <x v="0"/>
    <x v="1568"/>
    <x v="1"/>
    <x v="2"/>
    <x v="2"/>
  </r>
  <r>
    <x v="1574"/>
    <x v="20"/>
    <x v="6"/>
    <x v="11"/>
    <x v="2"/>
    <x v="1569"/>
    <x v="1"/>
    <x v="1"/>
    <x v="1"/>
  </r>
  <r>
    <x v="1575"/>
    <x v="45"/>
    <x v="0"/>
    <x v="13"/>
    <x v="0"/>
    <x v="1570"/>
    <x v="1"/>
    <x v="2"/>
    <x v="0"/>
  </r>
  <r>
    <x v="1576"/>
    <x v="45"/>
    <x v="0"/>
    <x v="18"/>
    <x v="0"/>
    <x v="1571"/>
    <x v="1"/>
    <x v="0"/>
    <x v="2"/>
  </r>
  <r>
    <x v="1577"/>
    <x v="31"/>
    <x v="6"/>
    <x v="15"/>
    <x v="1"/>
    <x v="1572"/>
    <x v="1"/>
    <x v="2"/>
    <x v="1"/>
  </r>
  <r>
    <x v="1578"/>
    <x v="16"/>
    <x v="6"/>
    <x v="1"/>
    <x v="2"/>
    <x v="1573"/>
    <x v="1"/>
    <x v="2"/>
    <x v="9"/>
  </r>
  <r>
    <x v="1579"/>
    <x v="41"/>
    <x v="7"/>
    <x v="10"/>
    <x v="0"/>
    <x v="1574"/>
    <x v="1"/>
    <x v="1"/>
    <x v="1"/>
  </r>
  <r>
    <x v="1580"/>
    <x v="45"/>
    <x v="0"/>
    <x v="20"/>
    <x v="0"/>
    <x v="1575"/>
    <x v="1"/>
    <x v="0"/>
    <x v="12"/>
  </r>
  <r>
    <x v="1581"/>
    <x v="36"/>
    <x v="0"/>
    <x v="21"/>
    <x v="0"/>
    <x v="1576"/>
    <x v="1"/>
    <x v="0"/>
    <x v="14"/>
  </r>
  <r>
    <x v="1582"/>
    <x v="0"/>
    <x v="6"/>
    <x v="10"/>
    <x v="0"/>
    <x v="1577"/>
    <x v="1"/>
    <x v="1"/>
    <x v="1"/>
  </r>
  <r>
    <x v="1583"/>
    <x v="42"/>
    <x v="3"/>
    <x v="23"/>
    <x v="3"/>
    <x v="1578"/>
    <x v="1"/>
    <x v="1"/>
    <x v="8"/>
  </r>
  <r>
    <x v="1584"/>
    <x v="44"/>
    <x v="1"/>
    <x v="14"/>
    <x v="0"/>
    <x v="1579"/>
    <x v="1"/>
    <x v="0"/>
    <x v="8"/>
  </r>
  <r>
    <x v="1585"/>
    <x v="34"/>
    <x v="0"/>
    <x v="9"/>
    <x v="0"/>
    <x v="1580"/>
    <x v="1"/>
    <x v="0"/>
    <x v="1"/>
  </r>
  <r>
    <x v="1586"/>
    <x v="44"/>
    <x v="4"/>
    <x v="18"/>
    <x v="0"/>
    <x v="1581"/>
    <x v="1"/>
    <x v="0"/>
    <x v="8"/>
  </r>
  <r>
    <x v="1587"/>
    <x v="21"/>
    <x v="0"/>
    <x v="4"/>
    <x v="2"/>
    <x v="1582"/>
    <x v="1"/>
    <x v="0"/>
    <x v="9"/>
  </r>
  <r>
    <x v="1588"/>
    <x v="41"/>
    <x v="6"/>
    <x v="6"/>
    <x v="0"/>
    <x v="1583"/>
    <x v="1"/>
    <x v="2"/>
    <x v="11"/>
  </r>
  <r>
    <x v="1589"/>
    <x v="20"/>
    <x v="3"/>
    <x v="10"/>
    <x v="2"/>
    <x v="1584"/>
    <x v="1"/>
    <x v="1"/>
    <x v="14"/>
  </r>
  <r>
    <x v="1590"/>
    <x v="18"/>
    <x v="1"/>
    <x v="18"/>
    <x v="2"/>
    <x v="1585"/>
    <x v="1"/>
    <x v="2"/>
    <x v="9"/>
  </r>
  <r>
    <x v="1591"/>
    <x v="19"/>
    <x v="6"/>
    <x v="24"/>
    <x v="1"/>
    <x v="1586"/>
    <x v="1"/>
    <x v="2"/>
    <x v="8"/>
  </r>
  <r>
    <x v="1592"/>
    <x v="20"/>
    <x v="6"/>
    <x v="7"/>
    <x v="2"/>
    <x v="1587"/>
    <x v="1"/>
    <x v="0"/>
    <x v="14"/>
  </r>
  <r>
    <x v="1593"/>
    <x v="34"/>
    <x v="7"/>
    <x v="29"/>
    <x v="0"/>
    <x v="1588"/>
    <x v="1"/>
    <x v="2"/>
    <x v="14"/>
  </r>
  <r>
    <x v="1594"/>
    <x v="9"/>
    <x v="0"/>
    <x v="25"/>
    <x v="0"/>
    <x v="1589"/>
    <x v="1"/>
    <x v="2"/>
    <x v="6"/>
  </r>
  <r>
    <x v="1595"/>
    <x v="46"/>
    <x v="6"/>
    <x v="19"/>
    <x v="0"/>
    <x v="1590"/>
    <x v="1"/>
    <x v="1"/>
    <x v="1"/>
  </r>
  <r>
    <x v="1596"/>
    <x v="37"/>
    <x v="1"/>
    <x v="23"/>
    <x v="0"/>
    <x v="1591"/>
    <x v="1"/>
    <x v="0"/>
    <x v="14"/>
  </r>
  <r>
    <x v="1597"/>
    <x v="18"/>
    <x v="4"/>
    <x v="26"/>
    <x v="2"/>
    <x v="1592"/>
    <x v="1"/>
    <x v="2"/>
    <x v="1"/>
  </r>
  <r>
    <x v="1598"/>
    <x v="47"/>
    <x v="1"/>
    <x v="22"/>
    <x v="0"/>
    <x v="1593"/>
    <x v="1"/>
    <x v="0"/>
    <x v="2"/>
  </r>
  <r>
    <x v="1599"/>
    <x v="47"/>
    <x v="4"/>
    <x v="23"/>
    <x v="0"/>
    <x v="1594"/>
    <x v="1"/>
    <x v="1"/>
    <x v="0"/>
  </r>
  <r>
    <x v="1600"/>
    <x v="12"/>
    <x v="2"/>
    <x v="15"/>
    <x v="0"/>
    <x v="1595"/>
    <x v="0"/>
    <x v="1"/>
    <x v="2"/>
  </r>
  <r>
    <x v="1601"/>
    <x v="45"/>
    <x v="0"/>
    <x v="27"/>
    <x v="0"/>
    <x v="1596"/>
    <x v="0"/>
    <x v="2"/>
    <x v="1"/>
  </r>
  <r>
    <x v="1602"/>
    <x v="27"/>
    <x v="4"/>
    <x v="11"/>
    <x v="3"/>
    <x v="1597"/>
    <x v="0"/>
    <x v="1"/>
    <x v="1"/>
  </r>
  <r>
    <x v="1603"/>
    <x v="46"/>
    <x v="7"/>
    <x v="16"/>
    <x v="0"/>
    <x v="1598"/>
    <x v="0"/>
    <x v="2"/>
    <x v="2"/>
  </r>
  <r>
    <x v="1604"/>
    <x v="20"/>
    <x v="3"/>
    <x v="22"/>
    <x v="2"/>
    <x v="1599"/>
    <x v="0"/>
    <x v="2"/>
    <x v="1"/>
  </r>
  <r>
    <x v="1605"/>
    <x v="46"/>
    <x v="4"/>
    <x v="7"/>
    <x v="0"/>
    <x v="1600"/>
    <x v="0"/>
    <x v="0"/>
    <x v="0"/>
  </r>
  <r>
    <x v="1606"/>
    <x v="46"/>
    <x v="0"/>
    <x v="15"/>
    <x v="0"/>
    <x v="1601"/>
    <x v="0"/>
    <x v="2"/>
    <x v="0"/>
  </r>
  <r>
    <x v="1607"/>
    <x v="40"/>
    <x v="0"/>
    <x v="3"/>
    <x v="2"/>
    <x v="1602"/>
    <x v="0"/>
    <x v="2"/>
    <x v="0"/>
  </r>
  <r>
    <x v="1608"/>
    <x v="45"/>
    <x v="2"/>
    <x v="14"/>
    <x v="1"/>
    <x v="1603"/>
    <x v="0"/>
    <x v="1"/>
    <x v="1"/>
  </r>
  <r>
    <x v="1609"/>
    <x v="46"/>
    <x v="6"/>
    <x v="7"/>
    <x v="0"/>
    <x v="1604"/>
    <x v="0"/>
    <x v="2"/>
    <x v="4"/>
  </r>
  <r>
    <x v="1610"/>
    <x v="16"/>
    <x v="0"/>
    <x v="2"/>
    <x v="2"/>
    <x v="1605"/>
    <x v="0"/>
    <x v="1"/>
    <x v="9"/>
  </r>
  <r>
    <x v="1611"/>
    <x v="46"/>
    <x v="3"/>
    <x v="19"/>
    <x v="0"/>
    <x v="1606"/>
    <x v="0"/>
    <x v="1"/>
    <x v="5"/>
  </r>
  <r>
    <x v="1612"/>
    <x v="41"/>
    <x v="4"/>
    <x v="29"/>
    <x v="2"/>
    <x v="1607"/>
    <x v="0"/>
    <x v="1"/>
    <x v="0"/>
  </r>
  <r>
    <x v="1613"/>
    <x v="41"/>
    <x v="0"/>
    <x v="19"/>
    <x v="2"/>
    <x v="1608"/>
    <x v="0"/>
    <x v="2"/>
    <x v="0"/>
  </r>
  <r>
    <x v="1614"/>
    <x v="41"/>
    <x v="0"/>
    <x v="26"/>
    <x v="2"/>
    <x v="1609"/>
    <x v="0"/>
    <x v="0"/>
    <x v="2"/>
  </r>
  <r>
    <x v="1615"/>
    <x v="45"/>
    <x v="1"/>
    <x v="26"/>
    <x v="0"/>
    <x v="1610"/>
    <x v="0"/>
    <x v="0"/>
    <x v="8"/>
  </r>
  <r>
    <x v="1616"/>
    <x v="14"/>
    <x v="3"/>
    <x v="8"/>
    <x v="2"/>
    <x v="1611"/>
    <x v="0"/>
    <x v="0"/>
    <x v="1"/>
  </r>
  <r>
    <x v="1617"/>
    <x v="35"/>
    <x v="3"/>
    <x v="9"/>
    <x v="3"/>
    <x v="1612"/>
    <x v="0"/>
    <x v="0"/>
    <x v="9"/>
  </r>
  <r>
    <x v="1618"/>
    <x v="44"/>
    <x v="2"/>
    <x v="10"/>
    <x v="3"/>
    <x v="1613"/>
    <x v="0"/>
    <x v="1"/>
    <x v="1"/>
  </r>
  <r>
    <x v="1619"/>
    <x v="9"/>
    <x v="0"/>
    <x v="19"/>
    <x v="0"/>
    <x v="1614"/>
    <x v="0"/>
    <x v="0"/>
    <x v="0"/>
  </r>
  <r>
    <x v="1620"/>
    <x v="21"/>
    <x v="0"/>
    <x v="15"/>
    <x v="2"/>
    <x v="1615"/>
    <x v="0"/>
    <x v="1"/>
    <x v="1"/>
  </r>
  <r>
    <x v="1621"/>
    <x v="36"/>
    <x v="4"/>
    <x v="22"/>
    <x v="0"/>
    <x v="1616"/>
    <x v="0"/>
    <x v="1"/>
    <x v="14"/>
  </r>
  <r>
    <x v="1622"/>
    <x v="22"/>
    <x v="1"/>
    <x v="17"/>
    <x v="2"/>
    <x v="1617"/>
    <x v="0"/>
    <x v="1"/>
    <x v="14"/>
  </r>
  <r>
    <x v="1623"/>
    <x v="47"/>
    <x v="3"/>
    <x v="27"/>
    <x v="0"/>
    <x v="1618"/>
    <x v="0"/>
    <x v="2"/>
    <x v="1"/>
  </r>
  <r>
    <x v="1624"/>
    <x v="44"/>
    <x v="3"/>
    <x v="22"/>
    <x v="3"/>
    <x v="1619"/>
    <x v="0"/>
    <x v="1"/>
    <x v="2"/>
  </r>
  <r>
    <x v="1625"/>
    <x v="46"/>
    <x v="7"/>
    <x v="23"/>
    <x v="0"/>
    <x v="1620"/>
    <x v="0"/>
    <x v="1"/>
    <x v="1"/>
  </r>
  <r>
    <x v="1626"/>
    <x v="46"/>
    <x v="1"/>
    <x v="26"/>
    <x v="0"/>
    <x v="1621"/>
    <x v="0"/>
    <x v="0"/>
    <x v="1"/>
  </r>
  <r>
    <x v="1627"/>
    <x v="28"/>
    <x v="4"/>
    <x v="9"/>
    <x v="0"/>
    <x v="1622"/>
    <x v="0"/>
    <x v="2"/>
    <x v="14"/>
  </r>
  <r>
    <x v="1628"/>
    <x v="30"/>
    <x v="0"/>
    <x v="2"/>
    <x v="0"/>
    <x v="1623"/>
    <x v="0"/>
    <x v="2"/>
    <x v="14"/>
  </r>
  <r>
    <x v="1629"/>
    <x v="9"/>
    <x v="3"/>
    <x v="19"/>
    <x v="0"/>
    <x v="1624"/>
    <x v="0"/>
    <x v="2"/>
    <x v="8"/>
  </r>
  <r>
    <x v="1630"/>
    <x v="36"/>
    <x v="4"/>
    <x v="21"/>
    <x v="0"/>
    <x v="1625"/>
    <x v="0"/>
    <x v="0"/>
    <x v="1"/>
  </r>
  <r>
    <x v="1631"/>
    <x v="47"/>
    <x v="7"/>
    <x v="21"/>
    <x v="0"/>
    <x v="1626"/>
    <x v="0"/>
    <x v="0"/>
    <x v="0"/>
  </r>
  <r>
    <x v="1632"/>
    <x v="47"/>
    <x v="0"/>
    <x v="23"/>
    <x v="0"/>
    <x v="1627"/>
    <x v="0"/>
    <x v="2"/>
    <x v="2"/>
  </r>
  <r>
    <x v="1633"/>
    <x v="34"/>
    <x v="3"/>
    <x v="9"/>
    <x v="0"/>
    <x v="1628"/>
    <x v="0"/>
    <x v="0"/>
    <x v="16"/>
  </r>
  <r>
    <x v="1634"/>
    <x v="46"/>
    <x v="4"/>
    <x v="18"/>
    <x v="1"/>
    <x v="1629"/>
    <x v="0"/>
    <x v="2"/>
    <x v="1"/>
  </r>
  <r>
    <x v="1635"/>
    <x v="39"/>
    <x v="7"/>
    <x v="23"/>
    <x v="0"/>
    <x v="1630"/>
    <x v="0"/>
    <x v="1"/>
    <x v="14"/>
  </r>
  <r>
    <x v="1636"/>
    <x v="15"/>
    <x v="1"/>
    <x v="25"/>
    <x v="1"/>
    <x v="1631"/>
    <x v="0"/>
    <x v="2"/>
    <x v="2"/>
  </r>
  <r>
    <x v="1637"/>
    <x v="41"/>
    <x v="0"/>
    <x v="25"/>
    <x v="2"/>
    <x v="1632"/>
    <x v="0"/>
    <x v="2"/>
    <x v="1"/>
  </r>
  <r>
    <x v="1638"/>
    <x v="38"/>
    <x v="2"/>
    <x v="12"/>
    <x v="4"/>
    <x v="1633"/>
    <x v="0"/>
    <x v="0"/>
    <x v="8"/>
  </r>
  <r>
    <x v="1639"/>
    <x v="47"/>
    <x v="3"/>
    <x v="10"/>
    <x v="0"/>
    <x v="1634"/>
    <x v="0"/>
    <x v="1"/>
    <x v="6"/>
  </r>
  <r>
    <x v="1640"/>
    <x v="47"/>
    <x v="0"/>
    <x v="7"/>
    <x v="0"/>
    <x v="1635"/>
    <x v="0"/>
    <x v="2"/>
    <x v="5"/>
  </r>
  <r>
    <x v="1641"/>
    <x v="47"/>
    <x v="3"/>
    <x v="4"/>
    <x v="1"/>
    <x v="1636"/>
    <x v="0"/>
    <x v="0"/>
    <x v="0"/>
  </r>
  <r>
    <x v="1642"/>
    <x v="7"/>
    <x v="6"/>
    <x v="23"/>
    <x v="3"/>
    <x v="1637"/>
    <x v="0"/>
    <x v="1"/>
    <x v="1"/>
  </r>
  <r>
    <x v="1643"/>
    <x v="39"/>
    <x v="6"/>
    <x v="21"/>
    <x v="0"/>
    <x v="1638"/>
    <x v="0"/>
    <x v="2"/>
    <x v="14"/>
  </r>
  <r>
    <x v="1644"/>
    <x v="39"/>
    <x v="1"/>
    <x v="6"/>
    <x v="0"/>
    <x v="1639"/>
    <x v="0"/>
    <x v="2"/>
    <x v="11"/>
  </r>
  <r>
    <x v="1645"/>
    <x v="46"/>
    <x v="2"/>
    <x v="7"/>
    <x v="0"/>
    <x v="1640"/>
    <x v="0"/>
    <x v="1"/>
    <x v="8"/>
  </r>
  <r>
    <x v="1646"/>
    <x v="46"/>
    <x v="6"/>
    <x v="28"/>
    <x v="0"/>
    <x v="1641"/>
    <x v="0"/>
    <x v="0"/>
    <x v="9"/>
  </r>
  <r>
    <x v="1647"/>
    <x v="8"/>
    <x v="1"/>
    <x v="23"/>
    <x v="3"/>
    <x v="1642"/>
    <x v="0"/>
    <x v="0"/>
    <x v="8"/>
  </r>
  <r>
    <x v="1648"/>
    <x v="35"/>
    <x v="1"/>
    <x v="3"/>
    <x v="3"/>
    <x v="1643"/>
    <x v="0"/>
    <x v="0"/>
    <x v="1"/>
  </r>
  <r>
    <x v="1649"/>
    <x v="46"/>
    <x v="1"/>
    <x v="4"/>
    <x v="1"/>
    <x v="1644"/>
    <x v="0"/>
    <x v="2"/>
    <x v="0"/>
  </r>
  <r>
    <x v="1650"/>
    <x v="25"/>
    <x v="7"/>
    <x v="4"/>
    <x v="5"/>
    <x v="1645"/>
    <x v="0"/>
    <x v="2"/>
    <x v="0"/>
  </r>
  <r>
    <x v="1651"/>
    <x v="13"/>
    <x v="0"/>
    <x v="12"/>
    <x v="2"/>
    <x v="1646"/>
    <x v="0"/>
    <x v="0"/>
    <x v="1"/>
  </r>
  <r>
    <x v="1652"/>
    <x v="13"/>
    <x v="0"/>
    <x v="10"/>
    <x v="2"/>
    <x v="1647"/>
    <x v="0"/>
    <x v="0"/>
    <x v="2"/>
  </r>
  <r>
    <x v="1653"/>
    <x v="2"/>
    <x v="3"/>
    <x v="8"/>
    <x v="0"/>
    <x v="1648"/>
    <x v="0"/>
    <x v="1"/>
    <x v="8"/>
  </r>
  <r>
    <x v="1654"/>
    <x v="40"/>
    <x v="4"/>
    <x v="28"/>
    <x v="0"/>
    <x v="1649"/>
    <x v="0"/>
    <x v="1"/>
    <x v="7"/>
  </r>
  <r>
    <x v="1655"/>
    <x v="41"/>
    <x v="7"/>
    <x v="10"/>
    <x v="2"/>
    <x v="1650"/>
    <x v="0"/>
    <x v="1"/>
    <x v="8"/>
  </r>
  <r>
    <x v="1656"/>
    <x v="39"/>
    <x v="0"/>
    <x v="14"/>
    <x v="0"/>
    <x v="1651"/>
    <x v="0"/>
    <x v="0"/>
    <x v="16"/>
  </r>
  <r>
    <x v="1657"/>
    <x v="38"/>
    <x v="1"/>
    <x v="26"/>
    <x v="0"/>
    <x v="1652"/>
    <x v="0"/>
    <x v="0"/>
    <x v="11"/>
  </r>
  <r>
    <x v="1658"/>
    <x v="14"/>
    <x v="6"/>
    <x v="27"/>
    <x v="2"/>
    <x v="1653"/>
    <x v="0"/>
    <x v="0"/>
    <x v="2"/>
  </r>
  <r>
    <x v="1659"/>
    <x v="39"/>
    <x v="3"/>
    <x v="5"/>
    <x v="0"/>
    <x v="1654"/>
    <x v="0"/>
    <x v="0"/>
    <x v="14"/>
  </r>
  <r>
    <x v="1660"/>
    <x v="19"/>
    <x v="1"/>
    <x v="2"/>
    <x v="1"/>
    <x v="1655"/>
    <x v="0"/>
    <x v="1"/>
    <x v="1"/>
  </r>
  <r>
    <x v="1661"/>
    <x v="34"/>
    <x v="7"/>
    <x v="4"/>
    <x v="0"/>
    <x v="1656"/>
    <x v="0"/>
    <x v="1"/>
    <x v="1"/>
  </r>
  <r>
    <x v="1662"/>
    <x v="47"/>
    <x v="0"/>
    <x v="29"/>
    <x v="0"/>
    <x v="1657"/>
    <x v="0"/>
    <x v="1"/>
    <x v="1"/>
  </r>
  <r>
    <x v="1663"/>
    <x v="23"/>
    <x v="3"/>
    <x v="6"/>
    <x v="2"/>
    <x v="1658"/>
    <x v="0"/>
    <x v="2"/>
    <x v="2"/>
  </r>
  <r>
    <x v="1664"/>
    <x v="5"/>
    <x v="3"/>
    <x v="18"/>
    <x v="0"/>
    <x v="1659"/>
    <x v="0"/>
    <x v="2"/>
    <x v="1"/>
  </r>
  <r>
    <x v="1665"/>
    <x v="40"/>
    <x v="0"/>
    <x v="7"/>
    <x v="0"/>
    <x v="1660"/>
    <x v="0"/>
    <x v="0"/>
    <x v="11"/>
  </r>
  <r>
    <x v="1666"/>
    <x v="38"/>
    <x v="0"/>
    <x v="3"/>
    <x v="0"/>
    <x v="1661"/>
    <x v="0"/>
    <x v="2"/>
    <x v="14"/>
  </r>
  <r>
    <x v="1667"/>
    <x v="31"/>
    <x v="4"/>
    <x v="23"/>
    <x v="1"/>
    <x v="1662"/>
    <x v="0"/>
    <x v="0"/>
    <x v="9"/>
  </r>
  <r>
    <x v="1668"/>
    <x v="25"/>
    <x v="7"/>
    <x v="14"/>
    <x v="3"/>
    <x v="1663"/>
    <x v="0"/>
    <x v="0"/>
    <x v="14"/>
  </r>
  <r>
    <x v="1669"/>
    <x v="19"/>
    <x v="2"/>
    <x v="16"/>
    <x v="1"/>
    <x v="1664"/>
    <x v="0"/>
    <x v="0"/>
    <x v="14"/>
  </r>
  <r>
    <x v="1670"/>
    <x v="33"/>
    <x v="1"/>
    <x v="20"/>
    <x v="0"/>
    <x v="1665"/>
    <x v="0"/>
    <x v="2"/>
    <x v="9"/>
  </r>
  <r>
    <x v="1671"/>
    <x v="47"/>
    <x v="7"/>
    <x v="17"/>
    <x v="0"/>
    <x v="1666"/>
    <x v="0"/>
    <x v="2"/>
    <x v="8"/>
  </r>
  <r>
    <x v="1672"/>
    <x v="19"/>
    <x v="0"/>
    <x v="6"/>
    <x v="1"/>
    <x v="1667"/>
    <x v="0"/>
    <x v="1"/>
    <x v="2"/>
  </r>
  <r>
    <x v="1673"/>
    <x v="36"/>
    <x v="1"/>
    <x v="26"/>
    <x v="0"/>
    <x v="1668"/>
    <x v="0"/>
    <x v="2"/>
    <x v="1"/>
  </r>
  <r>
    <x v="1674"/>
    <x v="40"/>
    <x v="1"/>
    <x v="7"/>
    <x v="0"/>
    <x v="1669"/>
    <x v="0"/>
    <x v="1"/>
    <x v="11"/>
  </r>
  <r>
    <x v="1675"/>
    <x v="47"/>
    <x v="0"/>
    <x v="7"/>
    <x v="3"/>
    <x v="1670"/>
    <x v="0"/>
    <x v="0"/>
    <x v="2"/>
  </r>
  <r>
    <x v="1676"/>
    <x v="4"/>
    <x v="6"/>
    <x v="24"/>
    <x v="3"/>
    <x v="1671"/>
    <x v="0"/>
    <x v="2"/>
    <x v="8"/>
  </r>
  <r>
    <x v="1677"/>
    <x v="45"/>
    <x v="6"/>
    <x v="26"/>
    <x v="3"/>
    <x v="1672"/>
    <x v="0"/>
    <x v="2"/>
    <x v="1"/>
  </r>
  <r>
    <x v="1678"/>
    <x v="25"/>
    <x v="1"/>
    <x v="22"/>
    <x v="3"/>
    <x v="1673"/>
    <x v="0"/>
    <x v="1"/>
    <x v="2"/>
  </r>
  <r>
    <x v="1679"/>
    <x v="33"/>
    <x v="3"/>
    <x v="20"/>
    <x v="0"/>
    <x v="1674"/>
    <x v="0"/>
    <x v="0"/>
    <x v="2"/>
  </r>
  <r>
    <x v="1680"/>
    <x v="32"/>
    <x v="6"/>
    <x v="21"/>
    <x v="0"/>
    <x v="1675"/>
    <x v="0"/>
    <x v="0"/>
    <x v="9"/>
  </r>
  <r>
    <x v="1681"/>
    <x v="36"/>
    <x v="2"/>
    <x v="8"/>
    <x v="0"/>
    <x v="1676"/>
    <x v="0"/>
    <x v="2"/>
    <x v="16"/>
  </r>
  <r>
    <x v="1682"/>
    <x v="31"/>
    <x v="7"/>
    <x v="9"/>
    <x v="1"/>
    <x v="1677"/>
    <x v="0"/>
    <x v="1"/>
    <x v="9"/>
  </r>
  <r>
    <x v="1683"/>
    <x v="30"/>
    <x v="1"/>
    <x v="15"/>
    <x v="0"/>
    <x v="1678"/>
    <x v="0"/>
    <x v="1"/>
    <x v="1"/>
  </r>
  <r>
    <x v="1684"/>
    <x v="27"/>
    <x v="3"/>
    <x v="16"/>
    <x v="3"/>
    <x v="1679"/>
    <x v="0"/>
    <x v="1"/>
    <x v="2"/>
  </r>
  <r>
    <x v="1685"/>
    <x v="32"/>
    <x v="1"/>
    <x v="22"/>
    <x v="0"/>
    <x v="1680"/>
    <x v="0"/>
    <x v="1"/>
    <x v="9"/>
  </r>
  <r>
    <x v="1686"/>
    <x v="40"/>
    <x v="7"/>
    <x v="22"/>
    <x v="0"/>
    <x v="1681"/>
    <x v="0"/>
    <x v="2"/>
    <x v="1"/>
  </r>
  <r>
    <x v="1687"/>
    <x v="46"/>
    <x v="2"/>
    <x v="6"/>
    <x v="2"/>
    <x v="1682"/>
    <x v="0"/>
    <x v="1"/>
    <x v="0"/>
  </r>
  <r>
    <x v="1688"/>
    <x v="46"/>
    <x v="4"/>
    <x v="28"/>
    <x v="2"/>
    <x v="1683"/>
    <x v="0"/>
    <x v="0"/>
    <x v="2"/>
  </r>
  <r>
    <x v="1689"/>
    <x v="40"/>
    <x v="2"/>
    <x v="17"/>
    <x v="0"/>
    <x v="1684"/>
    <x v="0"/>
    <x v="1"/>
    <x v="1"/>
  </r>
  <r>
    <x v="1690"/>
    <x v="27"/>
    <x v="1"/>
    <x v="29"/>
    <x v="3"/>
    <x v="1685"/>
    <x v="0"/>
    <x v="1"/>
    <x v="1"/>
  </r>
  <r>
    <x v="1691"/>
    <x v="45"/>
    <x v="0"/>
    <x v="22"/>
    <x v="3"/>
    <x v="1686"/>
    <x v="0"/>
    <x v="2"/>
    <x v="8"/>
  </r>
  <r>
    <x v="1692"/>
    <x v="34"/>
    <x v="3"/>
    <x v="25"/>
    <x v="0"/>
    <x v="1687"/>
    <x v="0"/>
    <x v="2"/>
    <x v="9"/>
  </r>
  <r>
    <x v="1693"/>
    <x v="41"/>
    <x v="4"/>
    <x v="2"/>
    <x v="0"/>
    <x v="1688"/>
    <x v="0"/>
    <x v="0"/>
    <x v="11"/>
  </r>
  <r>
    <x v="1694"/>
    <x v="3"/>
    <x v="0"/>
    <x v="10"/>
    <x v="1"/>
    <x v="1689"/>
    <x v="0"/>
    <x v="0"/>
    <x v="8"/>
  </r>
  <r>
    <x v="1695"/>
    <x v="15"/>
    <x v="4"/>
    <x v="17"/>
    <x v="2"/>
    <x v="1690"/>
    <x v="0"/>
    <x v="0"/>
    <x v="9"/>
  </r>
  <r>
    <x v="1696"/>
    <x v="36"/>
    <x v="0"/>
    <x v="14"/>
    <x v="0"/>
    <x v="1691"/>
    <x v="0"/>
    <x v="1"/>
    <x v="14"/>
  </r>
  <r>
    <x v="1697"/>
    <x v="40"/>
    <x v="3"/>
    <x v="19"/>
    <x v="0"/>
    <x v="1692"/>
    <x v="0"/>
    <x v="2"/>
    <x v="2"/>
  </r>
  <r>
    <x v="1698"/>
    <x v="42"/>
    <x v="3"/>
    <x v="6"/>
    <x v="0"/>
    <x v="1693"/>
    <x v="0"/>
    <x v="2"/>
    <x v="1"/>
  </r>
  <r>
    <x v="1699"/>
    <x v="16"/>
    <x v="7"/>
    <x v="22"/>
    <x v="2"/>
    <x v="1694"/>
    <x v="0"/>
    <x v="1"/>
    <x v="1"/>
  </r>
  <r>
    <x v="1700"/>
    <x v="35"/>
    <x v="0"/>
    <x v="4"/>
    <x v="3"/>
    <x v="1695"/>
    <x v="0"/>
    <x v="1"/>
    <x v="14"/>
  </r>
  <r>
    <x v="1701"/>
    <x v="9"/>
    <x v="0"/>
    <x v="17"/>
    <x v="0"/>
    <x v="1696"/>
    <x v="0"/>
    <x v="0"/>
    <x v="3"/>
  </r>
  <r>
    <x v="1702"/>
    <x v="28"/>
    <x v="2"/>
    <x v="13"/>
    <x v="0"/>
    <x v="1697"/>
    <x v="0"/>
    <x v="2"/>
    <x v="14"/>
  </r>
  <r>
    <x v="1703"/>
    <x v="46"/>
    <x v="7"/>
    <x v="24"/>
    <x v="2"/>
    <x v="1698"/>
    <x v="0"/>
    <x v="0"/>
    <x v="1"/>
  </r>
  <r>
    <x v="1704"/>
    <x v="28"/>
    <x v="0"/>
    <x v="1"/>
    <x v="0"/>
    <x v="1699"/>
    <x v="0"/>
    <x v="2"/>
    <x v="1"/>
  </r>
  <r>
    <x v="1705"/>
    <x v="38"/>
    <x v="7"/>
    <x v="13"/>
    <x v="0"/>
    <x v="1700"/>
    <x v="0"/>
    <x v="2"/>
    <x v="14"/>
  </r>
  <r>
    <x v="1706"/>
    <x v="45"/>
    <x v="2"/>
    <x v="19"/>
    <x v="2"/>
    <x v="1701"/>
    <x v="0"/>
    <x v="2"/>
    <x v="1"/>
  </r>
  <r>
    <x v="1707"/>
    <x v="15"/>
    <x v="4"/>
    <x v="12"/>
    <x v="2"/>
    <x v="1702"/>
    <x v="0"/>
    <x v="2"/>
    <x v="2"/>
  </r>
  <r>
    <x v="1708"/>
    <x v="29"/>
    <x v="2"/>
    <x v="9"/>
    <x v="0"/>
    <x v="1703"/>
    <x v="0"/>
    <x v="2"/>
    <x v="14"/>
  </r>
  <r>
    <x v="1709"/>
    <x v="35"/>
    <x v="3"/>
    <x v="4"/>
    <x v="3"/>
    <x v="1704"/>
    <x v="0"/>
    <x v="2"/>
    <x v="1"/>
  </r>
  <r>
    <x v="1710"/>
    <x v="28"/>
    <x v="6"/>
    <x v="7"/>
    <x v="0"/>
    <x v="1705"/>
    <x v="0"/>
    <x v="1"/>
    <x v="1"/>
  </r>
  <r>
    <x v="1711"/>
    <x v="6"/>
    <x v="7"/>
    <x v="0"/>
    <x v="0"/>
    <x v="1706"/>
    <x v="0"/>
    <x v="2"/>
    <x v="1"/>
  </r>
  <r>
    <x v="1712"/>
    <x v="21"/>
    <x v="2"/>
    <x v="9"/>
    <x v="0"/>
    <x v="1707"/>
    <x v="0"/>
    <x v="0"/>
    <x v="2"/>
  </r>
  <r>
    <x v="1713"/>
    <x v="23"/>
    <x v="1"/>
    <x v="20"/>
    <x v="4"/>
    <x v="1708"/>
    <x v="0"/>
    <x v="0"/>
    <x v="2"/>
  </r>
  <r>
    <x v="1714"/>
    <x v="40"/>
    <x v="4"/>
    <x v="22"/>
    <x v="0"/>
    <x v="1709"/>
    <x v="0"/>
    <x v="1"/>
    <x v="16"/>
  </r>
  <r>
    <x v="1715"/>
    <x v="24"/>
    <x v="7"/>
    <x v="8"/>
    <x v="3"/>
    <x v="1710"/>
    <x v="0"/>
    <x v="0"/>
    <x v="14"/>
  </r>
  <r>
    <x v="1716"/>
    <x v="23"/>
    <x v="0"/>
    <x v="18"/>
    <x v="2"/>
    <x v="1711"/>
    <x v="0"/>
    <x v="1"/>
    <x v="1"/>
  </r>
  <r>
    <x v="1717"/>
    <x v="24"/>
    <x v="3"/>
    <x v="11"/>
    <x v="3"/>
    <x v="1712"/>
    <x v="0"/>
    <x v="2"/>
    <x v="1"/>
  </r>
  <r>
    <x v="1718"/>
    <x v="15"/>
    <x v="4"/>
    <x v="16"/>
    <x v="2"/>
    <x v="1713"/>
    <x v="0"/>
    <x v="0"/>
    <x v="1"/>
  </r>
  <r>
    <x v="1719"/>
    <x v="27"/>
    <x v="3"/>
    <x v="25"/>
    <x v="3"/>
    <x v="1714"/>
    <x v="0"/>
    <x v="2"/>
    <x v="14"/>
  </r>
  <r>
    <x v="1720"/>
    <x v="47"/>
    <x v="7"/>
    <x v="12"/>
    <x v="3"/>
    <x v="1715"/>
    <x v="0"/>
    <x v="2"/>
    <x v="8"/>
  </r>
  <r>
    <x v="1721"/>
    <x v="47"/>
    <x v="2"/>
    <x v="27"/>
    <x v="2"/>
    <x v="1716"/>
    <x v="0"/>
    <x v="2"/>
    <x v="0"/>
  </r>
  <r>
    <x v="1722"/>
    <x v="20"/>
    <x v="6"/>
    <x v="3"/>
    <x v="2"/>
    <x v="1717"/>
    <x v="0"/>
    <x v="0"/>
    <x v="1"/>
  </r>
  <r>
    <x v="1723"/>
    <x v="1"/>
    <x v="6"/>
    <x v="26"/>
    <x v="0"/>
    <x v="1718"/>
    <x v="0"/>
    <x v="1"/>
    <x v="8"/>
  </r>
  <r>
    <x v="1724"/>
    <x v="17"/>
    <x v="7"/>
    <x v="19"/>
    <x v="2"/>
    <x v="1719"/>
    <x v="0"/>
    <x v="1"/>
    <x v="2"/>
  </r>
  <r>
    <x v="1725"/>
    <x v="1"/>
    <x v="4"/>
    <x v="8"/>
    <x v="0"/>
    <x v="1720"/>
    <x v="0"/>
    <x v="0"/>
    <x v="12"/>
  </r>
  <r>
    <x v="1726"/>
    <x v="23"/>
    <x v="0"/>
    <x v="19"/>
    <x v="2"/>
    <x v="1721"/>
    <x v="0"/>
    <x v="1"/>
    <x v="14"/>
  </r>
  <r>
    <x v="1727"/>
    <x v="28"/>
    <x v="3"/>
    <x v="20"/>
    <x v="0"/>
    <x v="1722"/>
    <x v="0"/>
    <x v="0"/>
    <x v="1"/>
  </r>
  <r>
    <x v="1728"/>
    <x v="15"/>
    <x v="6"/>
    <x v="19"/>
    <x v="2"/>
    <x v="1723"/>
    <x v="0"/>
    <x v="2"/>
    <x v="1"/>
  </r>
  <r>
    <x v="1729"/>
    <x v="15"/>
    <x v="6"/>
    <x v="27"/>
    <x v="2"/>
    <x v="1724"/>
    <x v="0"/>
    <x v="1"/>
    <x v="1"/>
  </r>
  <r>
    <x v="1730"/>
    <x v="5"/>
    <x v="3"/>
    <x v="26"/>
    <x v="0"/>
    <x v="1725"/>
    <x v="0"/>
    <x v="1"/>
    <x v="2"/>
  </r>
  <r>
    <x v="1731"/>
    <x v="30"/>
    <x v="0"/>
    <x v="1"/>
    <x v="0"/>
    <x v="1726"/>
    <x v="0"/>
    <x v="2"/>
    <x v="9"/>
  </r>
  <r>
    <x v="1732"/>
    <x v="12"/>
    <x v="6"/>
    <x v="18"/>
    <x v="0"/>
    <x v="1727"/>
    <x v="0"/>
    <x v="0"/>
    <x v="2"/>
  </r>
  <r>
    <x v="1733"/>
    <x v="34"/>
    <x v="6"/>
    <x v="26"/>
    <x v="0"/>
    <x v="1728"/>
    <x v="0"/>
    <x v="0"/>
    <x v="14"/>
  </r>
  <r>
    <x v="1734"/>
    <x v="38"/>
    <x v="4"/>
    <x v="16"/>
    <x v="0"/>
    <x v="1729"/>
    <x v="0"/>
    <x v="0"/>
    <x v="14"/>
  </r>
  <r>
    <x v="1735"/>
    <x v="4"/>
    <x v="3"/>
    <x v="13"/>
    <x v="2"/>
    <x v="1730"/>
    <x v="0"/>
    <x v="0"/>
    <x v="1"/>
  </r>
  <r>
    <x v="1736"/>
    <x v="12"/>
    <x v="4"/>
    <x v="4"/>
    <x v="1"/>
    <x v="1731"/>
    <x v="0"/>
    <x v="1"/>
    <x v="1"/>
  </r>
  <r>
    <x v="1737"/>
    <x v="47"/>
    <x v="7"/>
    <x v="23"/>
    <x v="2"/>
    <x v="1732"/>
    <x v="0"/>
    <x v="2"/>
    <x v="1"/>
  </r>
  <r>
    <x v="1738"/>
    <x v="4"/>
    <x v="4"/>
    <x v="29"/>
    <x v="0"/>
    <x v="1733"/>
    <x v="0"/>
    <x v="1"/>
    <x v="0"/>
  </r>
  <r>
    <x v="1739"/>
    <x v="3"/>
    <x v="2"/>
    <x v="22"/>
    <x v="0"/>
    <x v="1734"/>
    <x v="0"/>
    <x v="1"/>
    <x v="0"/>
  </r>
  <r>
    <x v="1740"/>
    <x v="41"/>
    <x v="2"/>
    <x v="22"/>
    <x v="0"/>
    <x v="1735"/>
    <x v="0"/>
    <x v="2"/>
    <x v="9"/>
  </r>
  <r>
    <x v="1741"/>
    <x v="33"/>
    <x v="0"/>
    <x v="23"/>
    <x v="0"/>
    <x v="1736"/>
    <x v="0"/>
    <x v="2"/>
    <x v="2"/>
  </r>
  <r>
    <x v="1742"/>
    <x v="31"/>
    <x v="0"/>
    <x v="18"/>
    <x v="1"/>
    <x v="1737"/>
    <x v="0"/>
    <x v="1"/>
    <x v="14"/>
  </r>
  <r>
    <x v="1743"/>
    <x v="26"/>
    <x v="3"/>
    <x v="22"/>
    <x v="3"/>
    <x v="1738"/>
    <x v="0"/>
    <x v="1"/>
    <x v="1"/>
  </r>
  <r>
    <x v="1744"/>
    <x v="1"/>
    <x v="1"/>
    <x v="16"/>
    <x v="1"/>
    <x v="1739"/>
    <x v="0"/>
    <x v="1"/>
    <x v="8"/>
  </r>
  <r>
    <x v="1745"/>
    <x v="28"/>
    <x v="6"/>
    <x v="13"/>
    <x v="0"/>
    <x v="1740"/>
    <x v="0"/>
    <x v="1"/>
    <x v="1"/>
  </r>
  <r>
    <x v="1746"/>
    <x v="13"/>
    <x v="3"/>
    <x v="29"/>
    <x v="3"/>
    <x v="1741"/>
    <x v="0"/>
    <x v="2"/>
    <x v="8"/>
  </r>
  <r>
    <x v="1747"/>
    <x v="40"/>
    <x v="0"/>
    <x v="7"/>
    <x v="0"/>
    <x v="1742"/>
    <x v="0"/>
    <x v="2"/>
    <x v="14"/>
  </r>
  <r>
    <x v="1748"/>
    <x v="4"/>
    <x v="7"/>
    <x v="11"/>
    <x v="1"/>
    <x v="1743"/>
    <x v="0"/>
    <x v="0"/>
    <x v="8"/>
  </r>
  <r>
    <x v="1749"/>
    <x v="28"/>
    <x v="6"/>
    <x v="26"/>
    <x v="0"/>
    <x v="1744"/>
    <x v="0"/>
    <x v="0"/>
    <x v="2"/>
  </r>
  <r>
    <x v="1750"/>
    <x v="12"/>
    <x v="3"/>
    <x v="23"/>
    <x v="0"/>
    <x v="1745"/>
    <x v="0"/>
    <x v="2"/>
    <x v="2"/>
  </r>
  <r>
    <x v="1751"/>
    <x v="36"/>
    <x v="7"/>
    <x v="27"/>
    <x v="0"/>
    <x v="1746"/>
    <x v="0"/>
    <x v="0"/>
    <x v="1"/>
  </r>
  <r>
    <x v="1752"/>
    <x v="26"/>
    <x v="6"/>
    <x v="22"/>
    <x v="3"/>
    <x v="1747"/>
    <x v="0"/>
    <x v="0"/>
    <x v="9"/>
  </r>
  <r>
    <x v="1753"/>
    <x v="24"/>
    <x v="0"/>
    <x v="25"/>
    <x v="3"/>
    <x v="1748"/>
    <x v="0"/>
    <x v="0"/>
    <x v="1"/>
  </r>
  <r>
    <x v="1754"/>
    <x v="32"/>
    <x v="6"/>
    <x v="12"/>
    <x v="0"/>
    <x v="1749"/>
    <x v="0"/>
    <x v="2"/>
    <x v="9"/>
  </r>
  <r>
    <x v="1755"/>
    <x v="8"/>
    <x v="2"/>
    <x v="23"/>
    <x v="0"/>
    <x v="1750"/>
    <x v="0"/>
    <x v="0"/>
    <x v="0"/>
  </r>
  <r>
    <x v="1756"/>
    <x v="12"/>
    <x v="4"/>
    <x v="9"/>
    <x v="0"/>
    <x v="1751"/>
    <x v="0"/>
    <x v="2"/>
    <x v="2"/>
  </r>
  <r>
    <x v="1757"/>
    <x v="5"/>
    <x v="2"/>
    <x v="13"/>
    <x v="1"/>
    <x v="1752"/>
    <x v="0"/>
    <x v="0"/>
    <x v="0"/>
  </r>
  <r>
    <x v="1758"/>
    <x v="2"/>
    <x v="2"/>
    <x v="28"/>
    <x v="4"/>
    <x v="1753"/>
    <x v="0"/>
    <x v="0"/>
    <x v="5"/>
  </r>
  <r>
    <x v="1759"/>
    <x v="38"/>
    <x v="3"/>
    <x v="25"/>
    <x v="0"/>
    <x v="1754"/>
    <x v="0"/>
    <x v="2"/>
    <x v="14"/>
  </r>
  <r>
    <x v="1760"/>
    <x v="42"/>
    <x v="2"/>
    <x v="15"/>
    <x v="0"/>
    <x v="1755"/>
    <x v="0"/>
    <x v="2"/>
    <x v="1"/>
  </r>
  <r>
    <x v="1761"/>
    <x v="9"/>
    <x v="6"/>
    <x v="14"/>
    <x v="1"/>
    <x v="1756"/>
    <x v="0"/>
    <x v="2"/>
    <x v="4"/>
  </r>
  <r>
    <x v="1762"/>
    <x v="23"/>
    <x v="7"/>
    <x v="12"/>
    <x v="1"/>
    <x v="1757"/>
    <x v="0"/>
    <x v="1"/>
    <x v="0"/>
  </r>
  <r>
    <x v="1763"/>
    <x v="31"/>
    <x v="6"/>
    <x v="22"/>
    <x v="1"/>
    <x v="1758"/>
    <x v="0"/>
    <x v="0"/>
    <x v="14"/>
  </r>
  <r>
    <x v="1764"/>
    <x v="41"/>
    <x v="0"/>
    <x v="8"/>
    <x v="0"/>
    <x v="1759"/>
    <x v="0"/>
    <x v="0"/>
    <x v="9"/>
  </r>
  <r>
    <x v="1765"/>
    <x v="12"/>
    <x v="1"/>
    <x v="5"/>
    <x v="0"/>
    <x v="1760"/>
    <x v="0"/>
    <x v="0"/>
    <x v="1"/>
  </r>
  <r>
    <x v="1766"/>
    <x v="0"/>
    <x v="7"/>
    <x v="14"/>
    <x v="3"/>
    <x v="1761"/>
    <x v="0"/>
    <x v="1"/>
    <x v="1"/>
  </r>
  <r>
    <x v="1767"/>
    <x v="12"/>
    <x v="1"/>
    <x v="24"/>
    <x v="0"/>
    <x v="1762"/>
    <x v="0"/>
    <x v="1"/>
    <x v="1"/>
  </r>
  <r>
    <x v="1768"/>
    <x v="32"/>
    <x v="2"/>
    <x v="26"/>
    <x v="0"/>
    <x v="1763"/>
    <x v="3"/>
    <x v="1"/>
    <x v="1"/>
  </r>
  <r>
    <x v="1769"/>
    <x v="16"/>
    <x v="4"/>
    <x v="7"/>
    <x v="0"/>
    <x v="1764"/>
    <x v="3"/>
    <x v="2"/>
    <x v="2"/>
  </r>
  <r>
    <x v="1770"/>
    <x v="38"/>
    <x v="2"/>
    <x v="25"/>
    <x v="0"/>
    <x v="1765"/>
    <x v="3"/>
    <x v="2"/>
    <x v="9"/>
  </r>
  <r>
    <x v="1771"/>
    <x v="36"/>
    <x v="0"/>
    <x v="8"/>
    <x v="0"/>
    <x v="1766"/>
    <x v="3"/>
    <x v="1"/>
    <x v="14"/>
  </r>
  <r>
    <x v="1772"/>
    <x v="41"/>
    <x v="1"/>
    <x v="25"/>
    <x v="0"/>
    <x v="1767"/>
    <x v="3"/>
    <x v="2"/>
    <x v="1"/>
  </r>
  <r>
    <x v="1773"/>
    <x v="5"/>
    <x v="6"/>
    <x v="22"/>
    <x v="1"/>
    <x v="1768"/>
    <x v="3"/>
    <x v="1"/>
    <x v="1"/>
  </r>
  <r>
    <x v="1774"/>
    <x v="33"/>
    <x v="0"/>
    <x v="9"/>
    <x v="0"/>
    <x v="1769"/>
    <x v="3"/>
    <x v="0"/>
    <x v="1"/>
  </r>
  <r>
    <x v="1775"/>
    <x v="16"/>
    <x v="7"/>
    <x v="22"/>
    <x v="1"/>
    <x v="1770"/>
    <x v="3"/>
    <x v="0"/>
    <x v="0"/>
  </r>
  <r>
    <x v="1776"/>
    <x v="11"/>
    <x v="0"/>
    <x v="5"/>
    <x v="2"/>
    <x v="1771"/>
    <x v="3"/>
    <x v="0"/>
    <x v="0"/>
  </r>
  <r>
    <x v="1777"/>
    <x v="12"/>
    <x v="0"/>
    <x v="10"/>
    <x v="0"/>
    <x v="1772"/>
    <x v="3"/>
    <x v="1"/>
    <x v="1"/>
  </r>
  <r>
    <x v="1778"/>
    <x v="37"/>
    <x v="2"/>
    <x v="27"/>
    <x v="0"/>
    <x v="1773"/>
    <x v="3"/>
    <x v="0"/>
    <x v="1"/>
  </r>
  <r>
    <x v="1779"/>
    <x v="25"/>
    <x v="7"/>
    <x v="23"/>
    <x v="3"/>
    <x v="1774"/>
    <x v="3"/>
    <x v="2"/>
    <x v="1"/>
  </r>
  <r>
    <x v="1780"/>
    <x v="41"/>
    <x v="4"/>
    <x v="26"/>
    <x v="0"/>
    <x v="1775"/>
    <x v="3"/>
    <x v="2"/>
    <x v="1"/>
  </r>
  <r>
    <x v="1781"/>
    <x v="35"/>
    <x v="4"/>
    <x v="8"/>
    <x v="3"/>
    <x v="1776"/>
    <x v="3"/>
    <x v="2"/>
    <x v="1"/>
  </r>
  <r>
    <x v="1782"/>
    <x v="6"/>
    <x v="6"/>
    <x v="9"/>
    <x v="0"/>
    <x v="1777"/>
    <x v="3"/>
    <x v="2"/>
    <x v="8"/>
  </r>
  <r>
    <x v="1783"/>
    <x v="25"/>
    <x v="1"/>
    <x v="8"/>
    <x v="3"/>
    <x v="1778"/>
    <x v="3"/>
    <x v="0"/>
    <x v="1"/>
  </r>
  <r>
    <x v="1784"/>
    <x v="13"/>
    <x v="4"/>
    <x v="6"/>
    <x v="0"/>
    <x v="1779"/>
    <x v="3"/>
    <x v="2"/>
    <x v="12"/>
  </r>
  <r>
    <x v="1785"/>
    <x v="26"/>
    <x v="7"/>
    <x v="17"/>
    <x v="0"/>
    <x v="1780"/>
    <x v="3"/>
    <x v="2"/>
    <x v="0"/>
  </r>
  <r>
    <x v="1786"/>
    <x v="3"/>
    <x v="3"/>
    <x v="13"/>
    <x v="4"/>
    <x v="1781"/>
    <x v="3"/>
    <x v="2"/>
    <x v="2"/>
  </r>
  <r>
    <x v="1787"/>
    <x v="31"/>
    <x v="2"/>
    <x v="3"/>
    <x v="1"/>
    <x v="1782"/>
    <x v="3"/>
    <x v="0"/>
    <x v="9"/>
  </r>
  <r>
    <x v="1788"/>
    <x v="38"/>
    <x v="7"/>
    <x v="17"/>
    <x v="0"/>
    <x v="1783"/>
    <x v="3"/>
    <x v="2"/>
    <x v="1"/>
  </r>
  <r>
    <x v="1789"/>
    <x v="7"/>
    <x v="7"/>
    <x v="18"/>
    <x v="0"/>
    <x v="1784"/>
    <x v="3"/>
    <x v="1"/>
    <x v="1"/>
  </r>
  <r>
    <x v="1790"/>
    <x v="1"/>
    <x v="0"/>
    <x v="8"/>
    <x v="3"/>
    <x v="1785"/>
    <x v="3"/>
    <x v="1"/>
    <x v="1"/>
  </r>
  <r>
    <x v="1791"/>
    <x v="41"/>
    <x v="0"/>
    <x v="6"/>
    <x v="0"/>
    <x v="1786"/>
    <x v="3"/>
    <x v="2"/>
    <x v="14"/>
  </r>
  <r>
    <x v="1792"/>
    <x v="6"/>
    <x v="2"/>
    <x v="21"/>
    <x v="1"/>
    <x v="1787"/>
    <x v="3"/>
    <x v="1"/>
    <x v="0"/>
  </r>
  <r>
    <x v="1793"/>
    <x v="9"/>
    <x v="3"/>
    <x v="23"/>
    <x v="2"/>
    <x v="1788"/>
    <x v="3"/>
    <x v="0"/>
    <x v="0"/>
  </r>
  <r>
    <x v="1794"/>
    <x v="4"/>
    <x v="6"/>
    <x v="28"/>
    <x v="0"/>
    <x v="1789"/>
    <x v="3"/>
    <x v="1"/>
    <x v="0"/>
  </r>
  <r>
    <x v="1795"/>
    <x v="0"/>
    <x v="4"/>
    <x v="22"/>
    <x v="2"/>
    <x v="1790"/>
    <x v="3"/>
    <x v="0"/>
    <x v="2"/>
  </r>
  <r>
    <x v="1796"/>
    <x v="4"/>
    <x v="0"/>
    <x v="6"/>
    <x v="0"/>
    <x v="1791"/>
    <x v="3"/>
    <x v="0"/>
    <x v="1"/>
  </r>
  <r>
    <x v="1797"/>
    <x v="7"/>
    <x v="4"/>
    <x v="21"/>
    <x v="1"/>
    <x v="1792"/>
    <x v="3"/>
    <x v="2"/>
    <x v="0"/>
  </r>
  <r>
    <x v="1798"/>
    <x v="42"/>
    <x v="3"/>
    <x v="9"/>
    <x v="0"/>
    <x v="1793"/>
    <x v="3"/>
    <x v="2"/>
    <x v="1"/>
  </r>
  <r>
    <x v="1799"/>
    <x v="18"/>
    <x v="6"/>
    <x v="8"/>
    <x v="3"/>
    <x v="1794"/>
    <x v="3"/>
    <x v="0"/>
    <x v="2"/>
  </r>
  <r>
    <x v="1800"/>
    <x v="2"/>
    <x v="3"/>
    <x v="29"/>
    <x v="0"/>
    <x v="1795"/>
    <x v="3"/>
    <x v="1"/>
    <x v="4"/>
  </r>
  <r>
    <x v="1801"/>
    <x v="33"/>
    <x v="7"/>
    <x v="17"/>
    <x v="0"/>
    <x v="1796"/>
    <x v="3"/>
    <x v="0"/>
    <x v="1"/>
  </r>
  <r>
    <x v="1802"/>
    <x v="39"/>
    <x v="6"/>
    <x v="1"/>
    <x v="0"/>
    <x v="1797"/>
    <x v="3"/>
    <x v="1"/>
    <x v="9"/>
  </r>
  <r>
    <x v="1803"/>
    <x v="0"/>
    <x v="4"/>
    <x v="3"/>
    <x v="2"/>
    <x v="1798"/>
    <x v="3"/>
    <x v="2"/>
    <x v="1"/>
  </r>
  <r>
    <x v="1804"/>
    <x v="25"/>
    <x v="1"/>
    <x v="11"/>
    <x v="3"/>
    <x v="1799"/>
    <x v="3"/>
    <x v="1"/>
    <x v="0"/>
  </r>
  <r>
    <x v="1805"/>
    <x v="4"/>
    <x v="1"/>
    <x v="13"/>
    <x v="2"/>
    <x v="1800"/>
    <x v="3"/>
    <x v="1"/>
    <x v="1"/>
  </r>
  <r>
    <x v="1806"/>
    <x v="25"/>
    <x v="7"/>
    <x v="21"/>
    <x v="3"/>
    <x v="1801"/>
    <x v="3"/>
    <x v="2"/>
    <x v="0"/>
  </r>
  <r>
    <x v="1807"/>
    <x v="40"/>
    <x v="4"/>
    <x v="14"/>
    <x v="0"/>
    <x v="1802"/>
    <x v="3"/>
    <x v="1"/>
    <x v="9"/>
  </r>
  <r>
    <x v="1808"/>
    <x v="12"/>
    <x v="0"/>
    <x v="18"/>
    <x v="2"/>
    <x v="1803"/>
    <x v="3"/>
    <x v="0"/>
    <x v="1"/>
  </r>
  <r>
    <x v="1809"/>
    <x v="41"/>
    <x v="4"/>
    <x v="19"/>
    <x v="0"/>
    <x v="1804"/>
    <x v="3"/>
    <x v="1"/>
    <x v="14"/>
  </r>
  <r>
    <x v="1810"/>
    <x v="4"/>
    <x v="3"/>
    <x v="3"/>
    <x v="1"/>
    <x v="1805"/>
    <x v="3"/>
    <x v="2"/>
    <x v="8"/>
  </r>
  <r>
    <x v="1811"/>
    <x v="34"/>
    <x v="6"/>
    <x v="28"/>
    <x v="0"/>
    <x v="1806"/>
    <x v="3"/>
    <x v="0"/>
    <x v="1"/>
  </r>
  <r>
    <x v="1812"/>
    <x v="41"/>
    <x v="7"/>
    <x v="4"/>
    <x v="0"/>
    <x v="1807"/>
    <x v="3"/>
    <x v="1"/>
    <x v="14"/>
  </r>
  <r>
    <x v="1813"/>
    <x v="2"/>
    <x v="6"/>
    <x v="19"/>
    <x v="0"/>
    <x v="1808"/>
    <x v="3"/>
    <x v="0"/>
    <x v="2"/>
  </r>
  <r>
    <x v="1814"/>
    <x v="0"/>
    <x v="1"/>
    <x v="1"/>
    <x v="1"/>
    <x v="1809"/>
    <x v="3"/>
    <x v="1"/>
    <x v="0"/>
  </r>
  <r>
    <x v="1815"/>
    <x v="15"/>
    <x v="7"/>
    <x v="18"/>
    <x v="3"/>
    <x v="1810"/>
    <x v="3"/>
    <x v="0"/>
    <x v="0"/>
  </r>
  <r>
    <x v="1816"/>
    <x v="22"/>
    <x v="4"/>
    <x v="11"/>
    <x v="5"/>
    <x v="1811"/>
    <x v="3"/>
    <x v="0"/>
    <x v="2"/>
  </r>
  <r>
    <x v="1817"/>
    <x v="13"/>
    <x v="2"/>
    <x v="16"/>
    <x v="1"/>
    <x v="1812"/>
    <x v="3"/>
    <x v="0"/>
    <x v="2"/>
  </r>
  <r>
    <x v="1818"/>
    <x v="1"/>
    <x v="3"/>
    <x v="13"/>
    <x v="1"/>
    <x v="1813"/>
    <x v="3"/>
    <x v="2"/>
    <x v="0"/>
  </r>
  <r>
    <x v="1819"/>
    <x v="25"/>
    <x v="0"/>
    <x v="24"/>
    <x v="3"/>
    <x v="1814"/>
    <x v="3"/>
    <x v="1"/>
    <x v="8"/>
  </r>
  <r>
    <x v="1820"/>
    <x v="14"/>
    <x v="3"/>
    <x v="25"/>
    <x v="2"/>
    <x v="1815"/>
    <x v="3"/>
    <x v="0"/>
    <x v="2"/>
  </r>
  <r>
    <x v="1821"/>
    <x v="20"/>
    <x v="4"/>
    <x v="13"/>
    <x v="0"/>
    <x v="1816"/>
    <x v="3"/>
    <x v="0"/>
    <x v="0"/>
  </r>
  <r>
    <x v="1822"/>
    <x v="39"/>
    <x v="0"/>
    <x v="7"/>
    <x v="0"/>
    <x v="1817"/>
    <x v="3"/>
    <x v="1"/>
    <x v="1"/>
  </r>
  <r>
    <x v="1823"/>
    <x v="37"/>
    <x v="1"/>
    <x v="21"/>
    <x v="0"/>
    <x v="1818"/>
    <x v="3"/>
    <x v="1"/>
    <x v="1"/>
  </r>
  <r>
    <x v="1824"/>
    <x v="14"/>
    <x v="6"/>
    <x v="18"/>
    <x v="0"/>
    <x v="1819"/>
    <x v="3"/>
    <x v="0"/>
    <x v="0"/>
  </r>
  <r>
    <x v="1825"/>
    <x v="17"/>
    <x v="2"/>
    <x v="1"/>
    <x v="2"/>
    <x v="1820"/>
    <x v="3"/>
    <x v="0"/>
    <x v="0"/>
  </r>
  <r>
    <x v="1826"/>
    <x v="1"/>
    <x v="3"/>
    <x v="19"/>
    <x v="3"/>
    <x v="1821"/>
    <x v="3"/>
    <x v="0"/>
    <x v="1"/>
  </r>
  <r>
    <x v="1827"/>
    <x v="23"/>
    <x v="4"/>
    <x v="21"/>
    <x v="3"/>
    <x v="1822"/>
    <x v="3"/>
    <x v="1"/>
    <x v="0"/>
  </r>
  <r>
    <x v="1828"/>
    <x v="17"/>
    <x v="1"/>
    <x v="1"/>
    <x v="4"/>
    <x v="1823"/>
    <x v="3"/>
    <x v="0"/>
    <x v="4"/>
  </r>
  <r>
    <x v="1829"/>
    <x v="24"/>
    <x v="1"/>
    <x v="26"/>
    <x v="0"/>
    <x v="1824"/>
    <x v="3"/>
    <x v="1"/>
    <x v="0"/>
  </r>
  <r>
    <x v="1830"/>
    <x v="0"/>
    <x v="6"/>
    <x v="11"/>
    <x v="1"/>
    <x v="1825"/>
    <x v="3"/>
    <x v="2"/>
    <x v="0"/>
  </r>
  <r>
    <x v="1831"/>
    <x v="20"/>
    <x v="3"/>
    <x v="17"/>
    <x v="0"/>
    <x v="1826"/>
    <x v="3"/>
    <x v="1"/>
    <x v="0"/>
  </r>
  <r>
    <x v="1832"/>
    <x v="41"/>
    <x v="0"/>
    <x v="10"/>
    <x v="0"/>
    <x v="1827"/>
    <x v="3"/>
    <x v="0"/>
    <x v="1"/>
  </r>
  <r>
    <x v="1833"/>
    <x v="27"/>
    <x v="3"/>
    <x v="18"/>
    <x v="1"/>
    <x v="1828"/>
    <x v="3"/>
    <x v="1"/>
    <x v="8"/>
  </r>
  <r>
    <x v="1834"/>
    <x v="11"/>
    <x v="6"/>
    <x v="3"/>
    <x v="0"/>
    <x v="1829"/>
    <x v="3"/>
    <x v="2"/>
    <x v="1"/>
  </r>
  <r>
    <x v="1835"/>
    <x v="16"/>
    <x v="6"/>
    <x v="26"/>
    <x v="1"/>
    <x v="1830"/>
    <x v="3"/>
    <x v="2"/>
    <x v="0"/>
  </r>
  <r>
    <x v="1836"/>
    <x v="30"/>
    <x v="2"/>
    <x v="10"/>
    <x v="2"/>
    <x v="1831"/>
    <x v="3"/>
    <x v="0"/>
    <x v="0"/>
  </r>
  <r>
    <x v="1837"/>
    <x v="25"/>
    <x v="7"/>
    <x v="1"/>
    <x v="3"/>
    <x v="1832"/>
    <x v="3"/>
    <x v="1"/>
    <x v="8"/>
  </r>
  <r>
    <x v="1838"/>
    <x v="6"/>
    <x v="7"/>
    <x v="14"/>
    <x v="2"/>
    <x v="1833"/>
    <x v="3"/>
    <x v="0"/>
    <x v="2"/>
  </r>
  <r>
    <x v="1839"/>
    <x v="24"/>
    <x v="7"/>
    <x v="0"/>
    <x v="0"/>
    <x v="1834"/>
    <x v="3"/>
    <x v="2"/>
    <x v="8"/>
  </r>
  <r>
    <x v="1840"/>
    <x v="37"/>
    <x v="6"/>
    <x v="23"/>
    <x v="0"/>
    <x v="1835"/>
    <x v="3"/>
    <x v="0"/>
    <x v="14"/>
  </r>
  <r>
    <x v="1841"/>
    <x v="15"/>
    <x v="0"/>
    <x v="22"/>
    <x v="1"/>
    <x v="1836"/>
    <x v="0"/>
    <x v="1"/>
    <x v="1"/>
  </r>
  <r>
    <x v="1842"/>
    <x v="22"/>
    <x v="7"/>
    <x v="19"/>
    <x v="0"/>
    <x v="1837"/>
    <x v="0"/>
    <x v="1"/>
    <x v="5"/>
  </r>
  <r>
    <x v="1843"/>
    <x v="5"/>
    <x v="0"/>
    <x v="0"/>
    <x v="0"/>
    <x v="1838"/>
    <x v="1"/>
    <x v="0"/>
    <x v="2"/>
  </r>
  <r>
    <x v="1844"/>
    <x v="11"/>
    <x v="2"/>
    <x v="26"/>
    <x v="3"/>
    <x v="1839"/>
    <x v="0"/>
    <x v="1"/>
    <x v="2"/>
  </r>
  <r>
    <x v="1845"/>
    <x v="17"/>
    <x v="7"/>
    <x v="17"/>
    <x v="0"/>
    <x v="1840"/>
    <x v="0"/>
    <x v="0"/>
    <x v="1"/>
  </r>
  <r>
    <x v="1846"/>
    <x v="37"/>
    <x v="6"/>
    <x v="12"/>
    <x v="0"/>
    <x v="1841"/>
    <x v="0"/>
    <x v="0"/>
    <x v="1"/>
  </r>
  <r>
    <x v="1847"/>
    <x v="1"/>
    <x v="3"/>
    <x v="15"/>
    <x v="1"/>
    <x v="1842"/>
    <x v="1"/>
    <x v="0"/>
    <x v="5"/>
  </r>
  <r>
    <x v="1848"/>
    <x v="20"/>
    <x v="3"/>
    <x v="17"/>
    <x v="1"/>
    <x v="1843"/>
    <x v="1"/>
    <x v="1"/>
    <x v="8"/>
  </r>
  <r>
    <x v="1849"/>
    <x v="40"/>
    <x v="0"/>
    <x v="24"/>
    <x v="0"/>
    <x v="1844"/>
    <x v="1"/>
    <x v="2"/>
    <x v="14"/>
  </r>
  <r>
    <x v="1850"/>
    <x v="20"/>
    <x v="0"/>
    <x v="8"/>
    <x v="0"/>
    <x v="1845"/>
    <x v="1"/>
    <x v="2"/>
    <x v="2"/>
  </r>
  <r>
    <x v="1851"/>
    <x v="40"/>
    <x v="7"/>
    <x v="14"/>
    <x v="0"/>
    <x v="1846"/>
    <x v="0"/>
    <x v="1"/>
    <x v="1"/>
  </r>
  <r>
    <x v="1852"/>
    <x v="34"/>
    <x v="7"/>
    <x v="2"/>
    <x v="2"/>
    <x v="1847"/>
    <x v="0"/>
    <x v="2"/>
    <x v="0"/>
  </r>
  <r>
    <x v="1853"/>
    <x v="37"/>
    <x v="0"/>
    <x v="0"/>
    <x v="0"/>
    <x v="1848"/>
    <x v="1"/>
    <x v="2"/>
    <x v="1"/>
  </r>
  <r>
    <x v="1854"/>
    <x v="39"/>
    <x v="4"/>
    <x v="17"/>
    <x v="0"/>
    <x v="1849"/>
    <x v="0"/>
    <x v="0"/>
    <x v="2"/>
  </r>
  <r>
    <x v="1855"/>
    <x v="38"/>
    <x v="6"/>
    <x v="5"/>
    <x v="0"/>
    <x v="1850"/>
    <x v="1"/>
    <x v="2"/>
    <x v="4"/>
  </r>
  <r>
    <x v="1856"/>
    <x v="0"/>
    <x v="3"/>
    <x v="10"/>
    <x v="2"/>
    <x v="1851"/>
    <x v="1"/>
    <x v="1"/>
    <x v="1"/>
  </r>
  <r>
    <x v="1857"/>
    <x v="18"/>
    <x v="6"/>
    <x v="6"/>
    <x v="1"/>
    <x v="1852"/>
    <x v="0"/>
    <x v="0"/>
    <x v="12"/>
  </r>
  <r>
    <x v="1858"/>
    <x v="39"/>
    <x v="3"/>
    <x v="26"/>
    <x v="0"/>
    <x v="1853"/>
    <x v="0"/>
    <x v="0"/>
    <x v="0"/>
  </r>
  <r>
    <x v="1859"/>
    <x v="31"/>
    <x v="4"/>
    <x v="26"/>
    <x v="0"/>
    <x v="1854"/>
    <x v="0"/>
    <x v="1"/>
    <x v="8"/>
  </r>
  <r>
    <x v="1860"/>
    <x v="42"/>
    <x v="1"/>
    <x v="11"/>
    <x v="0"/>
    <x v="1855"/>
    <x v="0"/>
    <x v="0"/>
    <x v="1"/>
  </r>
  <r>
    <x v="1861"/>
    <x v="17"/>
    <x v="1"/>
    <x v="3"/>
    <x v="3"/>
    <x v="1856"/>
    <x v="0"/>
    <x v="2"/>
    <x v="3"/>
  </r>
  <r>
    <x v="1862"/>
    <x v="22"/>
    <x v="0"/>
    <x v="24"/>
    <x v="1"/>
    <x v="1857"/>
    <x v="1"/>
    <x v="2"/>
    <x v="2"/>
  </r>
  <r>
    <x v="1863"/>
    <x v="26"/>
    <x v="1"/>
    <x v="29"/>
    <x v="3"/>
    <x v="1858"/>
    <x v="1"/>
    <x v="0"/>
    <x v="1"/>
  </r>
  <r>
    <x v="1864"/>
    <x v="34"/>
    <x v="6"/>
    <x v="9"/>
    <x v="0"/>
    <x v="1859"/>
    <x v="1"/>
    <x v="1"/>
    <x v="0"/>
  </r>
  <r>
    <x v="1865"/>
    <x v="28"/>
    <x v="7"/>
    <x v="10"/>
    <x v="0"/>
    <x v="1860"/>
    <x v="1"/>
    <x v="2"/>
    <x v="0"/>
  </r>
  <r>
    <x v="1866"/>
    <x v="28"/>
    <x v="3"/>
    <x v="28"/>
    <x v="0"/>
    <x v="1861"/>
    <x v="1"/>
    <x v="2"/>
    <x v="2"/>
  </r>
  <r>
    <x v="1867"/>
    <x v="24"/>
    <x v="4"/>
    <x v="23"/>
    <x v="3"/>
    <x v="1862"/>
    <x v="1"/>
    <x v="0"/>
    <x v="4"/>
  </r>
  <r>
    <x v="1868"/>
    <x v="9"/>
    <x v="6"/>
    <x v="6"/>
    <x v="0"/>
    <x v="1863"/>
    <x v="1"/>
    <x v="1"/>
    <x v="8"/>
  </r>
  <r>
    <x v="1869"/>
    <x v="24"/>
    <x v="3"/>
    <x v="6"/>
    <x v="0"/>
    <x v="1864"/>
    <x v="0"/>
    <x v="1"/>
    <x v="1"/>
  </r>
  <r>
    <x v="1870"/>
    <x v="16"/>
    <x v="1"/>
    <x v="27"/>
    <x v="4"/>
    <x v="1865"/>
    <x v="0"/>
    <x v="2"/>
    <x v="1"/>
  </r>
  <r>
    <x v="1871"/>
    <x v="7"/>
    <x v="2"/>
    <x v="8"/>
    <x v="0"/>
    <x v="1866"/>
    <x v="0"/>
    <x v="0"/>
    <x v="1"/>
  </r>
  <r>
    <x v="1872"/>
    <x v="22"/>
    <x v="4"/>
    <x v="22"/>
    <x v="2"/>
    <x v="1867"/>
    <x v="1"/>
    <x v="0"/>
    <x v="8"/>
  </r>
  <r>
    <x v="1873"/>
    <x v="40"/>
    <x v="1"/>
    <x v="25"/>
    <x v="0"/>
    <x v="1868"/>
    <x v="0"/>
    <x v="2"/>
    <x v="1"/>
  </r>
  <r>
    <x v="1874"/>
    <x v="35"/>
    <x v="0"/>
    <x v="14"/>
    <x v="1"/>
    <x v="1869"/>
    <x v="1"/>
    <x v="1"/>
    <x v="1"/>
  </r>
  <r>
    <x v="1875"/>
    <x v="25"/>
    <x v="3"/>
    <x v="4"/>
    <x v="1"/>
    <x v="1870"/>
    <x v="1"/>
    <x v="1"/>
    <x v="8"/>
  </r>
  <r>
    <x v="1876"/>
    <x v="25"/>
    <x v="3"/>
    <x v="13"/>
    <x v="0"/>
    <x v="1871"/>
    <x v="1"/>
    <x v="2"/>
    <x v="1"/>
  </r>
  <r>
    <x v="1877"/>
    <x v="41"/>
    <x v="6"/>
    <x v="3"/>
    <x v="0"/>
    <x v="1872"/>
    <x v="1"/>
    <x v="1"/>
    <x v="2"/>
  </r>
  <r>
    <x v="1878"/>
    <x v="25"/>
    <x v="6"/>
    <x v="17"/>
    <x v="3"/>
    <x v="1873"/>
    <x v="1"/>
    <x v="1"/>
    <x v="1"/>
  </r>
  <r>
    <x v="1879"/>
    <x v="12"/>
    <x v="3"/>
    <x v="13"/>
    <x v="0"/>
    <x v="1874"/>
    <x v="0"/>
    <x v="1"/>
    <x v="2"/>
  </r>
  <r>
    <x v="1880"/>
    <x v="31"/>
    <x v="4"/>
    <x v="11"/>
    <x v="1"/>
    <x v="1875"/>
    <x v="1"/>
    <x v="0"/>
    <x v="0"/>
  </r>
  <r>
    <x v="1881"/>
    <x v="13"/>
    <x v="7"/>
    <x v="10"/>
    <x v="0"/>
    <x v="1876"/>
    <x v="1"/>
    <x v="1"/>
    <x v="1"/>
  </r>
  <r>
    <x v="1882"/>
    <x v="3"/>
    <x v="6"/>
    <x v="13"/>
    <x v="0"/>
    <x v="1877"/>
    <x v="1"/>
    <x v="1"/>
    <x v="2"/>
  </r>
  <r>
    <x v="1883"/>
    <x v="24"/>
    <x v="3"/>
    <x v="8"/>
    <x v="0"/>
    <x v="1878"/>
    <x v="0"/>
    <x v="2"/>
    <x v="2"/>
  </r>
  <r>
    <x v="1884"/>
    <x v="38"/>
    <x v="6"/>
    <x v="18"/>
    <x v="1"/>
    <x v="1879"/>
    <x v="1"/>
    <x v="1"/>
    <x v="0"/>
  </r>
  <r>
    <x v="1885"/>
    <x v="32"/>
    <x v="2"/>
    <x v="25"/>
    <x v="1"/>
    <x v="1880"/>
    <x v="0"/>
    <x v="0"/>
    <x v="0"/>
  </r>
  <r>
    <x v="1886"/>
    <x v="23"/>
    <x v="4"/>
    <x v="3"/>
    <x v="1"/>
    <x v="1881"/>
    <x v="0"/>
    <x v="0"/>
    <x v="8"/>
  </r>
  <r>
    <x v="1887"/>
    <x v="7"/>
    <x v="6"/>
    <x v="9"/>
    <x v="3"/>
    <x v="1882"/>
    <x v="1"/>
    <x v="2"/>
    <x v="8"/>
  </r>
  <r>
    <x v="1888"/>
    <x v="37"/>
    <x v="6"/>
    <x v="14"/>
    <x v="0"/>
    <x v="1883"/>
    <x v="1"/>
    <x v="0"/>
    <x v="10"/>
  </r>
  <r>
    <x v="1889"/>
    <x v="22"/>
    <x v="4"/>
    <x v="27"/>
    <x v="1"/>
    <x v="1884"/>
    <x v="1"/>
    <x v="1"/>
    <x v="4"/>
  </r>
  <r>
    <x v="1890"/>
    <x v="25"/>
    <x v="1"/>
    <x v="10"/>
    <x v="3"/>
    <x v="1885"/>
    <x v="1"/>
    <x v="2"/>
    <x v="2"/>
  </r>
  <r>
    <x v="1891"/>
    <x v="12"/>
    <x v="0"/>
    <x v="22"/>
    <x v="3"/>
    <x v="1886"/>
    <x v="0"/>
    <x v="1"/>
    <x v="1"/>
  </r>
  <r>
    <x v="1892"/>
    <x v="33"/>
    <x v="1"/>
    <x v="0"/>
    <x v="0"/>
    <x v="1887"/>
    <x v="0"/>
    <x v="2"/>
    <x v="8"/>
  </r>
  <r>
    <x v="1893"/>
    <x v="31"/>
    <x v="3"/>
    <x v="0"/>
    <x v="0"/>
    <x v="1888"/>
    <x v="0"/>
    <x v="2"/>
    <x v="0"/>
  </r>
  <r>
    <x v="1894"/>
    <x v="12"/>
    <x v="4"/>
    <x v="10"/>
    <x v="0"/>
    <x v="1889"/>
    <x v="0"/>
    <x v="2"/>
    <x v="2"/>
  </r>
  <r>
    <x v="1895"/>
    <x v="6"/>
    <x v="6"/>
    <x v="15"/>
    <x v="3"/>
    <x v="1890"/>
    <x v="0"/>
    <x v="0"/>
    <x v="6"/>
  </r>
  <r>
    <x v="1896"/>
    <x v="34"/>
    <x v="1"/>
    <x v="10"/>
    <x v="1"/>
    <x v="1891"/>
    <x v="0"/>
    <x v="0"/>
    <x v="0"/>
  </r>
  <r>
    <x v="1897"/>
    <x v="11"/>
    <x v="7"/>
    <x v="28"/>
    <x v="1"/>
    <x v="1892"/>
    <x v="0"/>
    <x v="0"/>
    <x v="8"/>
  </r>
  <r>
    <x v="1898"/>
    <x v="29"/>
    <x v="7"/>
    <x v="12"/>
    <x v="3"/>
    <x v="1893"/>
    <x v="0"/>
    <x v="2"/>
    <x v="2"/>
  </r>
  <r>
    <x v="1899"/>
    <x v="31"/>
    <x v="1"/>
    <x v="2"/>
    <x v="1"/>
    <x v="1894"/>
    <x v="0"/>
    <x v="0"/>
    <x v="8"/>
  </r>
  <r>
    <x v="1900"/>
    <x v="22"/>
    <x v="6"/>
    <x v="9"/>
    <x v="3"/>
    <x v="1895"/>
    <x v="0"/>
    <x v="2"/>
    <x v="0"/>
  </r>
  <r>
    <x v="1901"/>
    <x v="28"/>
    <x v="2"/>
    <x v="24"/>
    <x v="1"/>
    <x v="1896"/>
    <x v="0"/>
    <x v="2"/>
    <x v="2"/>
  </r>
  <r>
    <x v="1902"/>
    <x v="29"/>
    <x v="2"/>
    <x v="3"/>
    <x v="3"/>
    <x v="1897"/>
    <x v="0"/>
    <x v="0"/>
    <x v="1"/>
  </r>
  <r>
    <x v="1903"/>
    <x v="33"/>
    <x v="6"/>
    <x v="26"/>
    <x v="1"/>
    <x v="1898"/>
    <x v="0"/>
    <x v="0"/>
    <x v="1"/>
  </r>
  <r>
    <x v="1904"/>
    <x v="32"/>
    <x v="0"/>
    <x v="23"/>
    <x v="3"/>
    <x v="1899"/>
    <x v="0"/>
    <x v="2"/>
    <x v="1"/>
  </r>
  <r>
    <x v="1905"/>
    <x v="12"/>
    <x v="4"/>
    <x v="1"/>
    <x v="3"/>
    <x v="1900"/>
    <x v="0"/>
    <x v="2"/>
    <x v="1"/>
  </r>
  <r>
    <x v="1906"/>
    <x v="29"/>
    <x v="2"/>
    <x v="2"/>
    <x v="2"/>
    <x v="1901"/>
    <x v="0"/>
    <x v="2"/>
    <x v="8"/>
  </r>
  <r>
    <x v="1907"/>
    <x v="28"/>
    <x v="3"/>
    <x v="23"/>
    <x v="2"/>
    <x v="1902"/>
    <x v="0"/>
    <x v="1"/>
    <x v="0"/>
  </r>
  <r>
    <x v="1908"/>
    <x v="42"/>
    <x v="4"/>
    <x v="25"/>
    <x v="0"/>
    <x v="1903"/>
    <x v="0"/>
    <x v="1"/>
    <x v="0"/>
  </r>
  <r>
    <x v="1909"/>
    <x v="9"/>
    <x v="6"/>
    <x v="28"/>
    <x v="0"/>
    <x v="1904"/>
    <x v="0"/>
    <x v="1"/>
    <x v="2"/>
  </r>
  <r>
    <x v="1910"/>
    <x v="7"/>
    <x v="7"/>
    <x v="15"/>
    <x v="0"/>
    <x v="1905"/>
    <x v="0"/>
    <x v="1"/>
    <x v="2"/>
  </r>
  <r>
    <x v="1911"/>
    <x v="33"/>
    <x v="1"/>
    <x v="1"/>
    <x v="0"/>
    <x v="1906"/>
    <x v="0"/>
    <x v="0"/>
    <x v="1"/>
  </r>
  <r>
    <x v="1912"/>
    <x v="36"/>
    <x v="0"/>
    <x v="19"/>
    <x v="0"/>
    <x v="1907"/>
    <x v="0"/>
    <x v="2"/>
    <x v="1"/>
  </r>
  <r>
    <x v="1913"/>
    <x v="44"/>
    <x v="7"/>
    <x v="27"/>
    <x v="0"/>
    <x v="1908"/>
    <x v="0"/>
    <x v="2"/>
    <x v="0"/>
  </r>
  <r>
    <x v="1914"/>
    <x v="30"/>
    <x v="3"/>
    <x v="10"/>
    <x v="1"/>
    <x v="1909"/>
    <x v="0"/>
    <x v="0"/>
    <x v="2"/>
  </r>
  <r>
    <x v="1915"/>
    <x v="31"/>
    <x v="2"/>
    <x v="2"/>
    <x v="3"/>
    <x v="1910"/>
    <x v="0"/>
    <x v="2"/>
    <x v="1"/>
  </r>
  <r>
    <x v="1916"/>
    <x v="35"/>
    <x v="7"/>
    <x v="8"/>
    <x v="0"/>
    <x v="1911"/>
    <x v="0"/>
    <x v="2"/>
    <x v="2"/>
  </r>
  <r>
    <x v="1917"/>
    <x v="33"/>
    <x v="2"/>
    <x v="8"/>
    <x v="3"/>
    <x v="1912"/>
    <x v="0"/>
    <x v="0"/>
    <x v="0"/>
  </r>
  <r>
    <x v="1918"/>
    <x v="8"/>
    <x v="6"/>
    <x v="13"/>
    <x v="4"/>
    <x v="1913"/>
    <x v="0"/>
    <x v="1"/>
    <x v="8"/>
  </r>
  <r>
    <x v="1919"/>
    <x v="0"/>
    <x v="7"/>
    <x v="20"/>
    <x v="0"/>
    <x v="1914"/>
    <x v="0"/>
    <x v="0"/>
    <x v="2"/>
  </r>
  <r>
    <x v="1920"/>
    <x v="11"/>
    <x v="3"/>
    <x v="0"/>
    <x v="0"/>
    <x v="1915"/>
    <x v="0"/>
    <x v="2"/>
    <x v="2"/>
  </r>
  <r>
    <x v="1921"/>
    <x v="4"/>
    <x v="2"/>
    <x v="23"/>
    <x v="0"/>
    <x v="1916"/>
    <x v="0"/>
    <x v="0"/>
    <x v="2"/>
  </r>
  <r>
    <x v="1922"/>
    <x v="33"/>
    <x v="1"/>
    <x v="9"/>
    <x v="2"/>
    <x v="1917"/>
    <x v="0"/>
    <x v="2"/>
    <x v="5"/>
  </r>
  <r>
    <x v="1923"/>
    <x v="34"/>
    <x v="0"/>
    <x v="29"/>
    <x v="2"/>
    <x v="1918"/>
    <x v="0"/>
    <x v="1"/>
    <x v="8"/>
  </r>
  <r>
    <x v="1924"/>
    <x v="17"/>
    <x v="2"/>
    <x v="10"/>
    <x v="3"/>
    <x v="1919"/>
    <x v="0"/>
    <x v="1"/>
    <x v="8"/>
  </r>
  <r>
    <x v="1925"/>
    <x v="31"/>
    <x v="1"/>
    <x v="10"/>
    <x v="2"/>
    <x v="1920"/>
    <x v="0"/>
    <x v="0"/>
    <x v="1"/>
  </r>
  <r>
    <x v="1926"/>
    <x v="4"/>
    <x v="4"/>
    <x v="6"/>
    <x v="0"/>
    <x v="1921"/>
    <x v="0"/>
    <x v="2"/>
    <x v="2"/>
  </r>
  <r>
    <x v="1927"/>
    <x v="2"/>
    <x v="2"/>
    <x v="10"/>
    <x v="0"/>
    <x v="1922"/>
    <x v="0"/>
    <x v="2"/>
    <x v="0"/>
  </r>
  <r>
    <x v="1928"/>
    <x v="2"/>
    <x v="1"/>
    <x v="18"/>
    <x v="0"/>
    <x v="1923"/>
    <x v="0"/>
    <x v="0"/>
    <x v="2"/>
  </r>
  <r>
    <x v="1929"/>
    <x v="31"/>
    <x v="4"/>
    <x v="10"/>
    <x v="2"/>
    <x v="1924"/>
    <x v="0"/>
    <x v="1"/>
    <x v="2"/>
  </r>
  <r>
    <x v="1930"/>
    <x v="30"/>
    <x v="3"/>
    <x v="9"/>
    <x v="3"/>
    <x v="1925"/>
    <x v="0"/>
    <x v="2"/>
    <x v="12"/>
  </r>
  <r>
    <x v="1931"/>
    <x v="36"/>
    <x v="6"/>
    <x v="12"/>
    <x v="2"/>
    <x v="1926"/>
    <x v="0"/>
    <x v="2"/>
    <x v="2"/>
  </r>
  <r>
    <x v="1932"/>
    <x v="36"/>
    <x v="4"/>
    <x v="20"/>
    <x v="1"/>
    <x v="1927"/>
    <x v="0"/>
    <x v="0"/>
    <x v="12"/>
  </r>
  <r>
    <x v="1933"/>
    <x v="3"/>
    <x v="6"/>
    <x v="24"/>
    <x v="0"/>
    <x v="1928"/>
    <x v="0"/>
    <x v="1"/>
    <x v="2"/>
  </r>
  <r>
    <x v="1934"/>
    <x v="30"/>
    <x v="0"/>
    <x v="17"/>
    <x v="0"/>
    <x v="1929"/>
    <x v="0"/>
    <x v="0"/>
    <x v="8"/>
  </r>
  <r>
    <x v="1935"/>
    <x v="41"/>
    <x v="6"/>
    <x v="27"/>
    <x v="0"/>
    <x v="1930"/>
    <x v="0"/>
    <x v="0"/>
    <x v="1"/>
  </r>
  <r>
    <x v="1936"/>
    <x v="33"/>
    <x v="4"/>
    <x v="28"/>
    <x v="2"/>
    <x v="1931"/>
    <x v="0"/>
    <x v="2"/>
    <x v="0"/>
  </r>
  <r>
    <x v="1937"/>
    <x v="3"/>
    <x v="2"/>
    <x v="16"/>
    <x v="3"/>
    <x v="1932"/>
    <x v="0"/>
    <x v="2"/>
    <x v="1"/>
  </r>
  <r>
    <x v="1938"/>
    <x v="10"/>
    <x v="4"/>
    <x v="9"/>
    <x v="0"/>
    <x v="1933"/>
    <x v="0"/>
    <x v="0"/>
    <x v="2"/>
  </r>
  <r>
    <x v="1939"/>
    <x v="37"/>
    <x v="0"/>
    <x v="0"/>
    <x v="1"/>
    <x v="1934"/>
    <x v="0"/>
    <x v="0"/>
    <x v="1"/>
  </r>
  <r>
    <x v="1940"/>
    <x v="5"/>
    <x v="7"/>
    <x v="20"/>
    <x v="0"/>
    <x v="1935"/>
    <x v="0"/>
    <x v="1"/>
    <x v="0"/>
  </r>
  <r>
    <x v="1941"/>
    <x v="29"/>
    <x v="0"/>
    <x v="15"/>
    <x v="1"/>
    <x v="1936"/>
    <x v="0"/>
    <x v="0"/>
    <x v="2"/>
  </r>
  <r>
    <x v="1942"/>
    <x v="31"/>
    <x v="2"/>
    <x v="6"/>
    <x v="1"/>
    <x v="1937"/>
    <x v="0"/>
    <x v="1"/>
    <x v="2"/>
  </r>
  <r>
    <x v="1943"/>
    <x v="9"/>
    <x v="4"/>
    <x v="16"/>
    <x v="0"/>
    <x v="1938"/>
    <x v="0"/>
    <x v="0"/>
    <x v="2"/>
  </r>
  <r>
    <x v="1944"/>
    <x v="28"/>
    <x v="3"/>
    <x v="27"/>
    <x v="1"/>
    <x v="1939"/>
    <x v="0"/>
    <x v="2"/>
    <x v="8"/>
  </r>
  <r>
    <x v="1945"/>
    <x v="33"/>
    <x v="6"/>
    <x v="3"/>
    <x v="3"/>
    <x v="1940"/>
    <x v="0"/>
    <x v="0"/>
    <x v="1"/>
  </r>
  <r>
    <x v="1946"/>
    <x v="9"/>
    <x v="3"/>
    <x v="16"/>
    <x v="0"/>
    <x v="1941"/>
    <x v="0"/>
    <x v="2"/>
    <x v="2"/>
  </r>
  <r>
    <x v="1947"/>
    <x v="15"/>
    <x v="0"/>
    <x v="12"/>
    <x v="2"/>
    <x v="1942"/>
    <x v="0"/>
    <x v="1"/>
    <x v="2"/>
  </r>
  <r>
    <x v="1948"/>
    <x v="14"/>
    <x v="6"/>
    <x v="12"/>
    <x v="2"/>
    <x v="1943"/>
    <x v="0"/>
    <x v="2"/>
    <x v="2"/>
  </r>
  <r>
    <x v="1949"/>
    <x v="47"/>
    <x v="4"/>
    <x v="22"/>
    <x v="0"/>
    <x v="1944"/>
    <x v="0"/>
    <x v="1"/>
    <x v="0"/>
  </r>
  <r>
    <x v="1950"/>
    <x v="5"/>
    <x v="2"/>
    <x v="17"/>
    <x v="0"/>
    <x v="1945"/>
    <x v="0"/>
    <x v="2"/>
    <x v="2"/>
  </r>
  <r>
    <x v="1951"/>
    <x v="10"/>
    <x v="1"/>
    <x v="0"/>
    <x v="0"/>
    <x v="1946"/>
    <x v="0"/>
    <x v="0"/>
    <x v="2"/>
  </r>
  <r>
    <x v="1952"/>
    <x v="45"/>
    <x v="0"/>
    <x v="0"/>
    <x v="1"/>
    <x v="1947"/>
    <x v="0"/>
    <x v="2"/>
    <x v="0"/>
  </r>
  <r>
    <x v="1953"/>
    <x v="47"/>
    <x v="2"/>
    <x v="1"/>
    <x v="0"/>
    <x v="1948"/>
    <x v="0"/>
    <x v="2"/>
    <x v="0"/>
  </r>
  <r>
    <x v="1954"/>
    <x v="11"/>
    <x v="0"/>
    <x v="24"/>
    <x v="0"/>
    <x v="1949"/>
    <x v="0"/>
    <x v="2"/>
    <x v="2"/>
  </r>
  <r>
    <x v="1955"/>
    <x v="16"/>
    <x v="4"/>
    <x v="2"/>
    <x v="2"/>
    <x v="1950"/>
    <x v="0"/>
    <x v="0"/>
    <x v="2"/>
  </r>
  <r>
    <x v="1956"/>
    <x v="33"/>
    <x v="7"/>
    <x v="24"/>
    <x v="0"/>
    <x v="1951"/>
    <x v="0"/>
    <x v="2"/>
    <x v="0"/>
  </r>
  <r>
    <x v="1957"/>
    <x v="38"/>
    <x v="4"/>
    <x v="27"/>
    <x v="0"/>
    <x v="1952"/>
    <x v="0"/>
    <x v="1"/>
    <x v="12"/>
  </r>
  <r>
    <x v="1958"/>
    <x v="7"/>
    <x v="4"/>
    <x v="24"/>
    <x v="0"/>
    <x v="1953"/>
    <x v="0"/>
    <x v="1"/>
    <x v="2"/>
  </r>
  <r>
    <x v="1959"/>
    <x v="36"/>
    <x v="2"/>
    <x v="19"/>
    <x v="2"/>
    <x v="1954"/>
    <x v="0"/>
    <x v="2"/>
    <x v="0"/>
  </r>
  <r>
    <x v="1960"/>
    <x v="34"/>
    <x v="7"/>
    <x v="25"/>
    <x v="0"/>
    <x v="1955"/>
    <x v="0"/>
    <x v="2"/>
    <x v="0"/>
  </r>
  <r>
    <x v="1961"/>
    <x v="15"/>
    <x v="3"/>
    <x v="21"/>
    <x v="3"/>
    <x v="1956"/>
    <x v="0"/>
    <x v="0"/>
    <x v="3"/>
  </r>
  <r>
    <x v="1962"/>
    <x v="20"/>
    <x v="4"/>
    <x v="16"/>
    <x v="2"/>
    <x v="1957"/>
    <x v="0"/>
    <x v="1"/>
    <x v="2"/>
  </r>
  <r>
    <x v="1963"/>
    <x v="19"/>
    <x v="7"/>
    <x v="28"/>
    <x v="1"/>
    <x v="1958"/>
    <x v="0"/>
    <x v="1"/>
    <x v="2"/>
  </r>
  <r>
    <x v="1964"/>
    <x v="38"/>
    <x v="7"/>
    <x v="11"/>
    <x v="0"/>
    <x v="1959"/>
    <x v="0"/>
    <x v="0"/>
    <x v="0"/>
  </r>
  <r>
    <x v="1965"/>
    <x v="21"/>
    <x v="0"/>
    <x v="12"/>
    <x v="2"/>
    <x v="1960"/>
    <x v="0"/>
    <x v="2"/>
    <x v="2"/>
  </r>
  <r>
    <x v="1966"/>
    <x v="20"/>
    <x v="1"/>
    <x v="19"/>
    <x v="2"/>
    <x v="1961"/>
    <x v="0"/>
    <x v="1"/>
    <x v="2"/>
  </r>
  <r>
    <x v="1967"/>
    <x v="0"/>
    <x v="2"/>
    <x v="20"/>
    <x v="0"/>
    <x v="1962"/>
    <x v="0"/>
    <x v="0"/>
    <x v="2"/>
  </r>
  <r>
    <x v="1968"/>
    <x v="6"/>
    <x v="3"/>
    <x v="0"/>
    <x v="0"/>
    <x v="1963"/>
    <x v="0"/>
    <x v="0"/>
    <x v="2"/>
  </r>
  <r>
    <x v="1969"/>
    <x v="6"/>
    <x v="7"/>
    <x v="15"/>
    <x v="0"/>
    <x v="1964"/>
    <x v="3"/>
    <x v="1"/>
    <x v="2"/>
  </r>
  <r>
    <x v="1970"/>
    <x v="0"/>
    <x v="0"/>
    <x v="28"/>
    <x v="0"/>
    <x v="1965"/>
    <x v="3"/>
    <x v="2"/>
    <x v="2"/>
  </r>
  <r>
    <x v="1971"/>
    <x v="5"/>
    <x v="4"/>
    <x v="19"/>
    <x v="1"/>
    <x v="1966"/>
    <x v="3"/>
    <x v="0"/>
    <x v="0"/>
  </r>
  <r>
    <x v="1972"/>
    <x v="45"/>
    <x v="0"/>
    <x v="19"/>
    <x v="0"/>
    <x v="1967"/>
    <x v="3"/>
    <x v="1"/>
    <x v="0"/>
  </r>
  <r>
    <x v="1973"/>
    <x v="20"/>
    <x v="4"/>
    <x v="6"/>
    <x v="2"/>
    <x v="1968"/>
    <x v="3"/>
    <x v="1"/>
    <x v="2"/>
  </r>
  <r>
    <x v="1974"/>
    <x v="13"/>
    <x v="1"/>
    <x v="27"/>
    <x v="2"/>
    <x v="1969"/>
    <x v="3"/>
    <x v="2"/>
    <x v="2"/>
  </r>
  <r>
    <x v="1975"/>
    <x v="14"/>
    <x v="2"/>
    <x v="6"/>
    <x v="2"/>
    <x v="1970"/>
    <x v="3"/>
    <x v="0"/>
    <x v="2"/>
  </r>
  <r>
    <x v="1976"/>
    <x v="44"/>
    <x v="0"/>
    <x v="13"/>
    <x v="2"/>
    <x v="1971"/>
    <x v="3"/>
    <x v="0"/>
    <x v="2"/>
  </r>
  <r>
    <x v="1977"/>
    <x v="7"/>
    <x v="4"/>
    <x v="27"/>
    <x v="0"/>
    <x v="1972"/>
    <x v="3"/>
    <x v="1"/>
    <x v="2"/>
  </r>
  <r>
    <x v="1978"/>
    <x v="20"/>
    <x v="1"/>
    <x v="7"/>
    <x v="2"/>
    <x v="1973"/>
    <x v="3"/>
    <x v="2"/>
    <x v="2"/>
  </r>
  <r>
    <x v="1979"/>
    <x v="45"/>
    <x v="1"/>
    <x v="12"/>
    <x v="0"/>
    <x v="1974"/>
    <x v="3"/>
    <x v="2"/>
    <x v="4"/>
  </r>
  <r>
    <x v="1980"/>
    <x v="7"/>
    <x v="3"/>
    <x v="19"/>
    <x v="0"/>
    <x v="1975"/>
    <x v="3"/>
    <x v="0"/>
    <x v="2"/>
  </r>
  <r>
    <x v="1981"/>
    <x v="41"/>
    <x v="1"/>
    <x v="22"/>
    <x v="1"/>
    <x v="1976"/>
    <x v="3"/>
    <x v="1"/>
    <x v="0"/>
  </r>
  <r>
    <x v="1982"/>
    <x v="16"/>
    <x v="4"/>
    <x v="18"/>
    <x v="2"/>
    <x v="1977"/>
    <x v="3"/>
    <x v="2"/>
    <x v="2"/>
  </r>
  <r>
    <x v="1983"/>
    <x v="26"/>
    <x v="4"/>
    <x v="24"/>
    <x v="1"/>
    <x v="1978"/>
    <x v="3"/>
    <x v="2"/>
    <x v="1"/>
  </r>
  <r>
    <x v="1984"/>
    <x v="28"/>
    <x v="3"/>
    <x v="25"/>
    <x v="1"/>
    <x v="1979"/>
    <x v="3"/>
    <x v="1"/>
    <x v="1"/>
  </r>
  <r>
    <x v="1985"/>
    <x v="23"/>
    <x v="4"/>
    <x v="20"/>
    <x v="1"/>
    <x v="1980"/>
    <x v="3"/>
    <x v="2"/>
    <x v="1"/>
  </r>
  <r>
    <x v="1986"/>
    <x v="20"/>
    <x v="3"/>
    <x v="3"/>
    <x v="2"/>
    <x v="1981"/>
    <x v="3"/>
    <x v="0"/>
    <x v="2"/>
  </r>
  <r>
    <x v="1987"/>
    <x v="16"/>
    <x v="4"/>
    <x v="16"/>
    <x v="2"/>
    <x v="1982"/>
    <x v="3"/>
    <x v="0"/>
    <x v="2"/>
  </r>
  <r>
    <x v="1988"/>
    <x v="44"/>
    <x v="6"/>
    <x v="28"/>
    <x v="1"/>
    <x v="1983"/>
    <x v="3"/>
    <x v="2"/>
    <x v="1"/>
  </r>
  <r>
    <x v="1989"/>
    <x v="40"/>
    <x v="0"/>
    <x v="22"/>
    <x v="0"/>
    <x v="1984"/>
    <x v="3"/>
    <x v="1"/>
    <x v="1"/>
  </r>
  <r>
    <x v="1990"/>
    <x v="46"/>
    <x v="4"/>
    <x v="16"/>
    <x v="0"/>
    <x v="1985"/>
    <x v="3"/>
    <x v="1"/>
    <x v="1"/>
  </r>
  <r>
    <x v="1991"/>
    <x v="12"/>
    <x v="3"/>
    <x v="5"/>
    <x v="0"/>
    <x v="1986"/>
    <x v="3"/>
    <x v="0"/>
    <x v="2"/>
  </r>
  <r>
    <x v="1992"/>
    <x v="0"/>
    <x v="0"/>
    <x v="15"/>
    <x v="0"/>
    <x v="1987"/>
    <x v="3"/>
    <x v="0"/>
    <x v="2"/>
  </r>
  <r>
    <x v="1993"/>
    <x v="24"/>
    <x v="0"/>
    <x v="10"/>
    <x v="3"/>
    <x v="1988"/>
    <x v="3"/>
    <x v="0"/>
    <x v="2"/>
  </r>
  <r>
    <x v="1994"/>
    <x v="27"/>
    <x v="1"/>
    <x v="7"/>
    <x v="3"/>
    <x v="1989"/>
    <x v="3"/>
    <x v="1"/>
    <x v="2"/>
  </r>
  <r>
    <x v="1995"/>
    <x v="44"/>
    <x v="4"/>
    <x v="18"/>
    <x v="0"/>
    <x v="1990"/>
    <x v="3"/>
    <x v="0"/>
    <x v="1"/>
  </r>
  <r>
    <x v="1996"/>
    <x v="35"/>
    <x v="1"/>
    <x v="26"/>
    <x v="3"/>
    <x v="1991"/>
    <x v="3"/>
    <x v="2"/>
    <x v="2"/>
  </r>
  <r>
    <x v="1997"/>
    <x v="34"/>
    <x v="0"/>
    <x v="0"/>
    <x v="3"/>
    <x v="1992"/>
    <x v="3"/>
    <x v="0"/>
    <x v="8"/>
  </r>
  <r>
    <x v="1998"/>
    <x v="27"/>
    <x v="0"/>
    <x v="27"/>
    <x v="3"/>
    <x v="1993"/>
    <x v="3"/>
    <x v="0"/>
    <x v="1"/>
  </r>
  <r>
    <x v="1999"/>
    <x v="47"/>
    <x v="2"/>
    <x v="16"/>
    <x v="0"/>
    <x v="1994"/>
    <x v="3"/>
    <x v="2"/>
    <x v="1"/>
  </r>
  <r>
    <x v="2000"/>
    <x v="20"/>
    <x v="1"/>
    <x v="15"/>
    <x v="2"/>
    <x v="1995"/>
    <x v="3"/>
    <x v="1"/>
    <x v="2"/>
  </r>
  <r>
    <x v="2001"/>
    <x v="17"/>
    <x v="0"/>
    <x v="25"/>
    <x v="2"/>
    <x v="1996"/>
    <x v="3"/>
    <x v="1"/>
    <x v="2"/>
  </r>
  <r>
    <x v="2002"/>
    <x v="46"/>
    <x v="7"/>
    <x v="4"/>
    <x v="0"/>
    <x v="1997"/>
    <x v="3"/>
    <x v="2"/>
    <x v="8"/>
  </r>
  <r>
    <x v="2003"/>
    <x v="31"/>
    <x v="1"/>
    <x v="28"/>
    <x v="1"/>
    <x v="1998"/>
    <x v="3"/>
    <x v="1"/>
    <x v="2"/>
  </r>
  <r>
    <x v="2004"/>
    <x v="1"/>
    <x v="0"/>
    <x v="3"/>
    <x v="0"/>
    <x v="1999"/>
    <x v="3"/>
    <x v="1"/>
    <x v="2"/>
  </r>
  <r>
    <x v="2005"/>
    <x v="29"/>
    <x v="6"/>
    <x v="29"/>
    <x v="0"/>
    <x v="2000"/>
    <x v="3"/>
    <x v="0"/>
    <x v="2"/>
  </r>
  <r>
    <x v="2006"/>
    <x v="2"/>
    <x v="2"/>
    <x v="4"/>
    <x v="0"/>
    <x v="2001"/>
    <x v="3"/>
    <x v="2"/>
    <x v="2"/>
  </r>
  <r>
    <x v="2007"/>
    <x v="19"/>
    <x v="6"/>
    <x v="2"/>
    <x v="1"/>
    <x v="2002"/>
    <x v="3"/>
    <x v="2"/>
    <x v="2"/>
  </r>
  <r>
    <x v="2008"/>
    <x v="23"/>
    <x v="7"/>
    <x v="7"/>
    <x v="2"/>
    <x v="2003"/>
    <x v="3"/>
    <x v="1"/>
    <x v="1"/>
  </r>
  <r>
    <x v="2009"/>
    <x v="13"/>
    <x v="4"/>
    <x v="1"/>
    <x v="2"/>
    <x v="2004"/>
    <x v="3"/>
    <x v="0"/>
    <x v="2"/>
  </r>
  <r>
    <x v="2010"/>
    <x v="31"/>
    <x v="6"/>
    <x v="11"/>
    <x v="1"/>
    <x v="2005"/>
    <x v="3"/>
    <x v="0"/>
    <x v="2"/>
  </r>
  <r>
    <x v="2011"/>
    <x v="15"/>
    <x v="4"/>
    <x v="1"/>
    <x v="2"/>
    <x v="2006"/>
    <x v="3"/>
    <x v="1"/>
    <x v="2"/>
  </r>
  <r>
    <x v="2012"/>
    <x v="35"/>
    <x v="2"/>
    <x v="8"/>
    <x v="3"/>
    <x v="2007"/>
    <x v="3"/>
    <x v="1"/>
    <x v="2"/>
  </r>
  <r>
    <x v="2013"/>
    <x v="14"/>
    <x v="7"/>
    <x v="16"/>
    <x v="2"/>
    <x v="2008"/>
    <x v="3"/>
    <x v="1"/>
    <x v="2"/>
  </r>
  <r>
    <x v="2014"/>
    <x v="19"/>
    <x v="6"/>
    <x v="6"/>
    <x v="1"/>
    <x v="2009"/>
    <x v="0"/>
    <x v="0"/>
    <x v="1"/>
  </r>
  <r>
    <x v="2015"/>
    <x v="39"/>
    <x v="2"/>
    <x v="25"/>
    <x v="2"/>
    <x v="2010"/>
    <x v="3"/>
    <x v="1"/>
    <x v="1"/>
  </r>
  <r>
    <x v="2016"/>
    <x v="25"/>
    <x v="3"/>
    <x v="24"/>
    <x v="3"/>
    <x v="2011"/>
    <x v="0"/>
    <x v="0"/>
    <x v="2"/>
  </r>
  <r>
    <x v="2017"/>
    <x v="32"/>
    <x v="4"/>
    <x v="22"/>
    <x v="0"/>
    <x v="2012"/>
    <x v="0"/>
    <x v="0"/>
    <x v="2"/>
  </r>
  <r>
    <x v="2018"/>
    <x v="47"/>
    <x v="6"/>
    <x v="20"/>
    <x v="1"/>
    <x v="2013"/>
    <x v="3"/>
    <x v="0"/>
    <x v="1"/>
  </r>
  <r>
    <x v="2019"/>
    <x v="41"/>
    <x v="3"/>
    <x v="2"/>
    <x v="2"/>
    <x v="2014"/>
    <x v="3"/>
    <x v="1"/>
    <x v="10"/>
  </r>
  <r>
    <x v="2020"/>
    <x v="40"/>
    <x v="3"/>
    <x v="21"/>
    <x v="0"/>
    <x v="2015"/>
    <x v="3"/>
    <x v="1"/>
    <x v="10"/>
  </r>
  <r>
    <x v="2021"/>
    <x v="30"/>
    <x v="0"/>
    <x v="18"/>
    <x v="3"/>
    <x v="2016"/>
    <x v="3"/>
    <x v="1"/>
    <x v="1"/>
  </r>
  <r>
    <x v="2022"/>
    <x v="9"/>
    <x v="2"/>
    <x v="5"/>
    <x v="0"/>
    <x v="2017"/>
    <x v="0"/>
    <x v="2"/>
    <x v="2"/>
  </r>
  <r>
    <x v="2023"/>
    <x v="34"/>
    <x v="0"/>
    <x v="1"/>
    <x v="0"/>
    <x v="2018"/>
    <x v="0"/>
    <x v="2"/>
    <x v="2"/>
  </r>
  <r>
    <x v="2024"/>
    <x v="35"/>
    <x v="3"/>
    <x v="28"/>
    <x v="3"/>
    <x v="2019"/>
    <x v="0"/>
    <x v="0"/>
    <x v="1"/>
  </r>
  <r>
    <x v="2025"/>
    <x v="2"/>
    <x v="7"/>
    <x v="13"/>
    <x v="0"/>
    <x v="2020"/>
    <x v="0"/>
    <x v="0"/>
    <x v="2"/>
  </r>
  <r>
    <x v="2026"/>
    <x v="22"/>
    <x v="3"/>
    <x v="28"/>
    <x v="2"/>
    <x v="2021"/>
    <x v="0"/>
    <x v="1"/>
    <x v="1"/>
  </r>
  <r>
    <x v="2027"/>
    <x v="18"/>
    <x v="6"/>
    <x v="23"/>
    <x v="2"/>
    <x v="2022"/>
    <x v="0"/>
    <x v="1"/>
    <x v="2"/>
  </r>
  <r>
    <x v="2028"/>
    <x v="33"/>
    <x v="1"/>
    <x v="20"/>
    <x v="0"/>
    <x v="2023"/>
    <x v="0"/>
    <x v="0"/>
    <x v="2"/>
  </r>
  <r>
    <x v="2029"/>
    <x v="7"/>
    <x v="3"/>
    <x v="27"/>
    <x v="0"/>
    <x v="2024"/>
    <x v="3"/>
    <x v="2"/>
    <x v="2"/>
  </r>
  <r>
    <x v="2030"/>
    <x v="22"/>
    <x v="4"/>
    <x v="27"/>
    <x v="2"/>
    <x v="2025"/>
    <x v="0"/>
    <x v="0"/>
    <x v="2"/>
  </r>
  <r>
    <x v="2031"/>
    <x v="15"/>
    <x v="3"/>
    <x v="16"/>
    <x v="2"/>
    <x v="2026"/>
    <x v="0"/>
    <x v="1"/>
    <x v="2"/>
  </r>
  <r>
    <x v="2032"/>
    <x v="44"/>
    <x v="3"/>
    <x v="0"/>
    <x v="2"/>
    <x v="2027"/>
    <x v="0"/>
    <x v="2"/>
    <x v="0"/>
  </r>
  <r>
    <x v="2033"/>
    <x v="9"/>
    <x v="1"/>
    <x v="0"/>
    <x v="0"/>
    <x v="2028"/>
    <x v="0"/>
    <x v="1"/>
    <x v="2"/>
  </r>
  <r>
    <x v="2034"/>
    <x v="10"/>
    <x v="0"/>
    <x v="12"/>
    <x v="0"/>
    <x v="2029"/>
    <x v="3"/>
    <x v="1"/>
    <x v="2"/>
  </r>
  <r>
    <x v="2035"/>
    <x v="36"/>
    <x v="0"/>
    <x v="0"/>
    <x v="0"/>
    <x v="2030"/>
    <x v="0"/>
    <x v="1"/>
    <x v="2"/>
  </r>
  <r>
    <x v="2036"/>
    <x v="4"/>
    <x v="3"/>
    <x v="3"/>
    <x v="0"/>
    <x v="2031"/>
    <x v="0"/>
    <x v="2"/>
    <x v="2"/>
  </r>
  <r>
    <x v="2037"/>
    <x v="28"/>
    <x v="7"/>
    <x v="26"/>
    <x v="0"/>
    <x v="2032"/>
    <x v="0"/>
    <x v="0"/>
    <x v="2"/>
  </r>
  <r>
    <x v="2038"/>
    <x v="31"/>
    <x v="7"/>
    <x v="7"/>
    <x v="1"/>
    <x v="2033"/>
    <x v="0"/>
    <x v="1"/>
    <x v="2"/>
  </r>
  <r>
    <x v="2039"/>
    <x v="45"/>
    <x v="4"/>
    <x v="2"/>
    <x v="1"/>
    <x v="2034"/>
    <x v="0"/>
    <x v="1"/>
    <x v="8"/>
  </r>
  <r>
    <x v="2040"/>
    <x v="26"/>
    <x v="7"/>
    <x v="10"/>
    <x v="3"/>
    <x v="2035"/>
    <x v="0"/>
    <x v="2"/>
    <x v="1"/>
  </r>
  <r>
    <x v="2041"/>
    <x v="21"/>
    <x v="3"/>
    <x v="23"/>
    <x v="2"/>
    <x v="2036"/>
    <x v="0"/>
    <x v="1"/>
    <x v="2"/>
  </r>
  <r>
    <x v="2042"/>
    <x v="31"/>
    <x v="3"/>
    <x v="22"/>
    <x v="1"/>
    <x v="2037"/>
    <x v="0"/>
    <x v="0"/>
    <x v="2"/>
  </r>
  <r>
    <x v="2043"/>
    <x v="30"/>
    <x v="3"/>
    <x v="27"/>
    <x v="0"/>
    <x v="2038"/>
    <x v="0"/>
    <x v="1"/>
    <x v="2"/>
  </r>
  <r>
    <x v="2044"/>
    <x v="1"/>
    <x v="3"/>
    <x v="2"/>
    <x v="0"/>
    <x v="2039"/>
    <x v="3"/>
    <x v="0"/>
    <x v="2"/>
  </r>
  <r>
    <x v="2045"/>
    <x v="27"/>
    <x v="1"/>
    <x v="23"/>
    <x v="3"/>
    <x v="2040"/>
    <x v="3"/>
    <x v="0"/>
    <x v="12"/>
  </r>
  <r>
    <x v="2046"/>
    <x v="34"/>
    <x v="3"/>
    <x v="20"/>
    <x v="0"/>
    <x v="2041"/>
    <x v="3"/>
    <x v="2"/>
    <x v="2"/>
  </r>
  <r>
    <x v="2047"/>
    <x v="11"/>
    <x v="3"/>
    <x v="26"/>
    <x v="0"/>
    <x v="2042"/>
    <x v="0"/>
    <x v="1"/>
    <x v="2"/>
  </r>
  <r>
    <x v="2048"/>
    <x v="31"/>
    <x v="4"/>
    <x v="17"/>
    <x v="1"/>
    <x v="2043"/>
    <x v="0"/>
    <x v="0"/>
    <x v="1"/>
  </r>
  <r>
    <x v="2049"/>
    <x v="18"/>
    <x v="4"/>
    <x v="24"/>
    <x v="2"/>
    <x v="2044"/>
    <x v="0"/>
    <x v="2"/>
    <x v="2"/>
  </r>
  <r>
    <x v="2050"/>
    <x v="30"/>
    <x v="7"/>
    <x v="11"/>
    <x v="0"/>
    <x v="2045"/>
    <x v="0"/>
    <x v="2"/>
    <x v="2"/>
  </r>
  <r>
    <x v="2051"/>
    <x v="35"/>
    <x v="6"/>
    <x v="0"/>
    <x v="3"/>
    <x v="2046"/>
    <x v="0"/>
    <x v="0"/>
    <x v="2"/>
  </r>
  <r>
    <x v="2052"/>
    <x v="19"/>
    <x v="3"/>
    <x v="3"/>
    <x v="1"/>
    <x v="2047"/>
    <x v="0"/>
    <x v="2"/>
    <x v="2"/>
  </r>
  <r>
    <x v="2053"/>
    <x v="35"/>
    <x v="3"/>
    <x v="11"/>
    <x v="3"/>
    <x v="2048"/>
    <x v="0"/>
    <x v="1"/>
    <x v="2"/>
  </r>
  <r>
    <x v="2054"/>
    <x v="12"/>
    <x v="7"/>
    <x v="26"/>
    <x v="0"/>
    <x v="2049"/>
    <x v="3"/>
    <x v="2"/>
    <x v="0"/>
  </r>
  <r>
    <x v="2055"/>
    <x v="16"/>
    <x v="0"/>
    <x v="2"/>
    <x v="2"/>
    <x v="2050"/>
    <x v="3"/>
    <x v="1"/>
    <x v="2"/>
  </r>
  <r>
    <x v="2056"/>
    <x v="36"/>
    <x v="1"/>
    <x v="5"/>
    <x v="0"/>
    <x v="2051"/>
    <x v="0"/>
    <x v="0"/>
    <x v="2"/>
  </r>
  <r>
    <x v="2057"/>
    <x v="16"/>
    <x v="3"/>
    <x v="1"/>
    <x v="2"/>
    <x v="2052"/>
    <x v="3"/>
    <x v="2"/>
    <x v="2"/>
  </r>
  <r>
    <x v="2058"/>
    <x v="16"/>
    <x v="0"/>
    <x v="0"/>
    <x v="3"/>
    <x v="2053"/>
    <x v="0"/>
    <x v="1"/>
    <x v="1"/>
  </r>
  <r>
    <x v="2059"/>
    <x v="28"/>
    <x v="4"/>
    <x v="19"/>
    <x v="0"/>
    <x v="2054"/>
    <x v="3"/>
    <x v="1"/>
    <x v="2"/>
  </r>
  <r>
    <x v="2060"/>
    <x v="30"/>
    <x v="1"/>
    <x v="15"/>
    <x v="0"/>
    <x v="2055"/>
    <x v="0"/>
    <x v="2"/>
    <x v="1"/>
  </r>
  <r>
    <x v="2061"/>
    <x v="24"/>
    <x v="4"/>
    <x v="8"/>
    <x v="2"/>
    <x v="2056"/>
    <x v="3"/>
    <x v="0"/>
    <x v="1"/>
  </r>
  <r>
    <x v="2062"/>
    <x v="4"/>
    <x v="4"/>
    <x v="6"/>
    <x v="0"/>
    <x v="2057"/>
    <x v="3"/>
    <x v="2"/>
    <x v="2"/>
  </r>
  <r>
    <x v="2063"/>
    <x v="19"/>
    <x v="1"/>
    <x v="17"/>
    <x v="1"/>
    <x v="2058"/>
    <x v="0"/>
    <x v="0"/>
    <x v="2"/>
  </r>
  <r>
    <x v="2064"/>
    <x v="32"/>
    <x v="6"/>
    <x v="18"/>
    <x v="0"/>
    <x v="2059"/>
    <x v="0"/>
    <x v="1"/>
    <x v="2"/>
  </r>
  <r>
    <x v="2065"/>
    <x v="4"/>
    <x v="0"/>
    <x v="26"/>
    <x v="0"/>
    <x v="2060"/>
    <x v="3"/>
    <x v="1"/>
    <x v="2"/>
  </r>
  <r>
    <x v="2066"/>
    <x v="39"/>
    <x v="0"/>
    <x v="23"/>
    <x v="0"/>
    <x v="2061"/>
    <x v="0"/>
    <x v="0"/>
    <x v="2"/>
  </r>
  <r>
    <x v="2067"/>
    <x v="11"/>
    <x v="0"/>
    <x v="13"/>
    <x v="0"/>
    <x v="2062"/>
    <x v="3"/>
    <x v="2"/>
    <x v="2"/>
  </r>
  <r>
    <x v="2068"/>
    <x v="40"/>
    <x v="0"/>
    <x v="5"/>
    <x v="0"/>
    <x v="2063"/>
    <x v="3"/>
    <x v="2"/>
    <x v="2"/>
  </r>
  <r>
    <x v="2069"/>
    <x v="34"/>
    <x v="7"/>
    <x v="1"/>
    <x v="0"/>
    <x v="2064"/>
    <x v="0"/>
    <x v="2"/>
    <x v="2"/>
  </r>
  <r>
    <x v="2070"/>
    <x v="20"/>
    <x v="0"/>
    <x v="21"/>
    <x v="2"/>
    <x v="2065"/>
    <x v="0"/>
    <x v="1"/>
    <x v="2"/>
  </r>
  <r>
    <x v="2071"/>
    <x v="16"/>
    <x v="7"/>
    <x v="8"/>
    <x v="2"/>
    <x v="2066"/>
    <x v="0"/>
    <x v="1"/>
    <x v="2"/>
  </r>
  <r>
    <x v="2072"/>
    <x v="12"/>
    <x v="1"/>
    <x v="13"/>
    <x v="0"/>
    <x v="2067"/>
    <x v="0"/>
    <x v="0"/>
    <x v="1"/>
  </r>
  <r>
    <x v="2073"/>
    <x v="30"/>
    <x v="3"/>
    <x v="16"/>
    <x v="0"/>
    <x v="2068"/>
    <x v="0"/>
    <x v="0"/>
    <x v="2"/>
  </r>
  <r>
    <x v="2074"/>
    <x v="20"/>
    <x v="4"/>
    <x v="15"/>
    <x v="2"/>
    <x v="2069"/>
    <x v="0"/>
    <x v="2"/>
    <x v="2"/>
  </r>
  <r>
    <x v="2075"/>
    <x v="33"/>
    <x v="2"/>
    <x v="14"/>
    <x v="3"/>
    <x v="2070"/>
    <x v="0"/>
    <x v="2"/>
    <x v="1"/>
  </r>
  <r>
    <x v="2076"/>
    <x v="5"/>
    <x v="6"/>
    <x v="22"/>
    <x v="0"/>
    <x v="2071"/>
    <x v="3"/>
    <x v="1"/>
    <x v="6"/>
  </r>
  <r>
    <x v="2077"/>
    <x v="21"/>
    <x v="0"/>
    <x v="12"/>
    <x v="2"/>
    <x v="2072"/>
    <x v="0"/>
    <x v="0"/>
    <x v="2"/>
  </r>
  <r>
    <x v="2078"/>
    <x v="12"/>
    <x v="3"/>
    <x v="0"/>
    <x v="0"/>
    <x v="2073"/>
    <x v="3"/>
    <x v="2"/>
    <x v="2"/>
  </r>
  <r>
    <x v="2079"/>
    <x v="1"/>
    <x v="1"/>
    <x v="13"/>
    <x v="0"/>
    <x v="2074"/>
    <x v="0"/>
    <x v="2"/>
    <x v="2"/>
  </r>
  <r>
    <x v="2080"/>
    <x v="9"/>
    <x v="1"/>
    <x v="5"/>
    <x v="0"/>
    <x v="2075"/>
    <x v="3"/>
    <x v="1"/>
    <x v="12"/>
  </r>
  <r>
    <x v="2081"/>
    <x v="12"/>
    <x v="3"/>
    <x v="8"/>
    <x v="0"/>
    <x v="2076"/>
    <x v="3"/>
    <x v="0"/>
    <x v="1"/>
  </r>
  <r>
    <x v="2082"/>
    <x v="40"/>
    <x v="4"/>
    <x v="20"/>
    <x v="0"/>
    <x v="2077"/>
    <x v="3"/>
    <x v="0"/>
    <x v="2"/>
  </r>
  <r>
    <x v="2083"/>
    <x v="10"/>
    <x v="7"/>
    <x v="9"/>
    <x v="0"/>
    <x v="2078"/>
    <x v="0"/>
    <x v="0"/>
    <x v="2"/>
  </r>
  <r>
    <x v="2084"/>
    <x v="6"/>
    <x v="6"/>
    <x v="0"/>
    <x v="0"/>
    <x v="2079"/>
    <x v="0"/>
    <x v="0"/>
    <x v="2"/>
  </r>
  <r>
    <x v="2085"/>
    <x v="10"/>
    <x v="4"/>
    <x v="3"/>
    <x v="0"/>
    <x v="2080"/>
    <x v="0"/>
    <x v="2"/>
    <x v="1"/>
  </r>
  <r>
    <x v="2086"/>
    <x v="11"/>
    <x v="3"/>
    <x v="22"/>
    <x v="0"/>
    <x v="2081"/>
    <x v="0"/>
    <x v="2"/>
    <x v="2"/>
  </r>
  <r>
    <x v="2087"/>
    <x v="30"/>
    <x v="0"/>
    <x v="9"/>
    <x v="0"/>
    <x v="2082"/>
    <x v="0"/>
    <x v="2"/>
    <x v="2"/>
  </r>
  <r>
    <x v="2088"/>
    <x v="5"/>
    <x v="4"/>
    <x v="9"/>
    <x v="0"/>
    <x v="2083"/>
    <x v="0"/>
    <x v="0"/>
    <x v="2"/>
  </r>
  <r>
    <x v="2089"/>
    <x v="7"/>
    <x v="1"/>
    <x v="19"/>
    <x v="0"/>
    <x v="2084"/>
    <x v="0"/>
    <x v="0"/>
    <x v="2"/>
  </r>
  <r>
    <x v="2090"/>
    <x v="32"/>
    <x v="6"/>
    <x v="22"/>
    <x v="0"/>
    <x v="2085"/>
    <x v="0"/>
    <x v="2"/>
    <x v="2"/>
  </r>
  <r>
    <x v="2091"/>
    <x v="31"/>
    <x v="0"/>
    <x v="27"/>
    <x v="1"/>
    <x v="2086"/>
    <x v="0"/>
    <x v="1"/>
    <x v="1"/>
  </r>
  <r>
    <x v="2092"/>
    <x v="40"/>
    <x v="0"/>
    <x v="16"/>
    <x v="0"/>
    <x v="2087"/>
    <x v="3"/>
    <x v="1"/>
    <x v="2"/>
  </r>
  <r>
    <x v="2093"/>
    <x v="2"/>
    <x v="2"/>
    <x v="20"/>
    <x v="0"/>
    <x v="2088"/>
    <x v="3"/>
    <x v="0"/>
    <x v="4"/>
  </r>
  <r>
    <x v="2094"/>
    <x v="4"/>
    <x v="7"/>
    <x v="1"/>
    <x v="0"/>
    <x v="2089"/>
    <x v="3"/>
    <x v="1"/>
    <x v="2"/>
  </r>
  <r>
    <x v="2095"/>
    <x v="18"/>
    <x v="7"/>
    <x v="20"/>
    <x v="2"/>
    <x v="2090"/>
    <x v="3"/>
    <x v="2"/>
    <x v="2"/>
  </r>
  <r>
    <x v="2096"/>
    <x v="9"/>
    <x v="1"/>
    <x v="5"/>
    <x v="3"/>
    <x v="2091"/>
    <x v="3"/>
    <x v="0"/>
    <x v="0"/>
  </r>
  <r>
    <x v="2097"/>
    <x v="22"/>
    <x v="7"/>
    <x v="24"/>
    <x v="2"/>
    <x v="2092"/>
    <x v="0"/>
    <x v="2"/>
    <x v="1"/>
  </r>
  <r>
    <x v="2098"/>
    <x v="21"/>
    <x v="7"/>
    <x v="5"/>
    <x v="2"/>
    <x v="2093"/>
    <x v="0"/>
    <x v="0"/>
    <x v="2"/>
  </r>
  <r>
    <x v="2099"/>
    <x v="12"/>
    <x v="7"/>
    <x v="16"/>
    <x v="0"/>
    <x v="2094"/>
    <x v="0"/>
    <x v="1"/>
    <x v="0"/>
  </r>
  <r>
    <x v="2100"/>
    <x v="16"/>
    <x v="3"/>
    <x v="18"/>
    <x v="2"/>
    <x v="2095"/>
    <x v="3"/>
    <x v="2"/>
    <x v="2"/>
  </r>
  <r>
    <x v="2101"/>
    <x v="2"/>
    <x v="2"/>
    <x v="18"/>
    <x v="0"/>
    <x v="2096"/>
    <x v="3"/>
    <x v="0"/>
    <x v="2"/>
  </r>
  <r>
    <x v="2102"/>
    <x v="35"/>
    <x v="1"/>
    <x v="22"/>
    <x v="3"/>
    <x v="2097"/>
    <x v="0"/>
    <x v="0"/>
    <x v="2"/>
  </r>
  <r>
    <x v="2103"/>
    <x v="9"/>
    <x v="7"/>
    <x v="0"/>
    <x v="0"/>
    <x v="2098"/>
    <x v="3"/>
    <x v="0"/>
    <x v="5"/>
  </r>
  <r>
    <x v="2104"/>
    <x v="11"/>
    <x v="0"/>
    <x v="15"/>
    <x v="0"/>
    <x v="2099"/>
    <x v="3"/>
    <x v="0"/>
    <x v="0"/>
  </r>
  <r>
    <x v="2105"/>
    <x v="12"/>
    <x v="0"/>
    <x v="28"/>
    <x v="0"/>
    <x v="2100"/>
    <x v="3"/>
    <x v="2"/>
    <x v="2"/>
  </r>
  <r>
    <x v="2106"/>
    <x v="4"/>
    <x v="4"/>
    <x v="3"/>
    <x v="1"/>
    <x v="2101"/>
    <x v="3"/>
    <x v="2"/>
    <x v="0"/>
  </r>
  <r>
    <x v="2107"/>
    <x v="12"/>
    <x v="3"/>
    <x v="17"/>
    <x v="0"/>
    <x v="2102"/>
    <x v="3"/>
    <x v="0"/>
    <x v="2"/>
  </r>
  <r>
    <x v="2108"/>
    <x v="4"/>
    <x v="7"/>
    <x v="17"/>
    <x v="0"/>
    <x v="2103"/>
    <x v="0"/>
    <x v="0"/>
    <x v="2"/>
  </r>
  <r>
    <x v="2109"/>
    <x v="22"/>
    <x v="0"/>
    <x v="7"/>
    <x v="2"/>
    <x v="2104"/>
    <x v="0"/>
    <x v="0"/>
    <x v="2"/>
  </r>
  <r>
    <x v="2110"/>
    <x v="39"/>
    <x v="7"/>
    <x v="15"/>
    <x v="0"/>
    <x v="2105"/>
    <x v="0"/>
    <x v="2"/>
    <x v="2"/>
  </r>
  <r>
    <x v="2111"/>
    <x v="2"/>
    <x v="6"/>
    <x v="12"/>
    <x v="0"/>
    <x v="2106"/>
    <x v="0"/>
    <x v="1"/>
    <x v="2"/>
  </r>
  <r>
    <x v="2112"/>
    <x v="6"/>
    <x v="6"/>
    <x v="12"/>
    <x v="0"/>
    <x v="2107"/>
    <x v="0"/>
    <x v="2"/>
    <x v="2"/>
  </r>
  <r>
    <x v="2113"/>
    <x v="23"/>
    <x v="0"/>
    <x v="16"/>
    <x v="2"/>
    <x v="2108"/>
    <x v="0"/>
    <x v="0"/>
    <x v="2"/>
  </r>
  <r>
    <x v="2114"/>
    <x v="31"/>
    <x v="6"/>
    <x v="7"/>
    <x v="1"/>
    <x v="2109"/>
    <x v="0"/>
    <x v="1"/>
    <x v="2"/>
  </r>
  <r>
    <x v="2115"/>
    <x v="26"/>
    <x v="2"/>
    <x v="7"/>
    <x v="0"/>
    <x v="2110"/>
    <x v="3"/>
    <x v="1"/>
    <x v="12"/>
  </r>
  <r>
    <x v="2116"/>
    <x v="2"/>
    <x v="4"/>
    <x v="12"/>
    <x v="0"/>
    <x v="2111"/>
    <x v="3"/>
    <x v="1"/>
    <x v="5"/>
  </r>
  <r>
    <x v="2117"/>
    <x v="39"/>
    <x v="4"/>
    <x v="1"/>
    <x v="1"/>
    <x v="2112"/>
    <x v="0"/>
    <x v="2"/>
    <x v="2"/>
  </r>
  <r>
    <x v="2118"/>
    <x v="6"/>
    <x v="0"/>
    <x v="0"/>
    <x v="0"/>
    <x v="2113"/>
    <x v="3"/>
    <x v="2"/>
    <x v="2"/>
  </r>
  <r>
    <x v="2119"/>
    <x v="15"/>
    <x v="3"/>
    <x v="11"/>
    <x v="2"/>
    <x v="2114"/>
    <x v="0"/>
    <x v="1"/>
    <x v="2"/>
  </r>
  <r>
    <x v="2120"/>
    <x v="32"/>
    <x v="3"/>
    <x v="12"/>
    <x v="0"/>
    <x v="2115"/>
    <x v="0"/>
    <x v="0"/>
    <x v="2"/>
  </r>
  <r>
    <x v="2121"/>
    <x v="15"/>
    <x v="1"/>
    <x v="4"/>
    <x v="0"/>
    <x v="2116"/>
    <x v="3"/>
    <x v="2"/>
    <x v="2"/>
  </r>
  <r>
    <x v="2122"/>
    <x v="29"/>
    <x v="4"/>
    <x v="25"/>
    <x v="0"/>
    <x v="2117"/>
    <x v="0"/>
    <x v="2"/>
    <x v="2"/>
  </r>
  <r>
    <x v="2123"/>
    <x v="0"/>
    <x v="3"/>
    <x v="2"/>
    <x v="0"/>
    <x v="2118"/>
    <x v="0"/>
    <x v="0"/>
    <x v="2"/>
  </r>
  <r>
    <x v="2124"/>
    <x v="29"/>
    <x v="7"/>
    <x v="3"/>
    <x v="0"/>
    <x v="2119"/>
    <x v="3"/>
    <x v="1"/>
    <x v="2"/>
  </r>
  <r>
    <x v="2125"/>
    <x v="42"/>
    <x v="6"/>
    <x v="7"/>
    <x v="0"/>
    <x v="2120"/>
    <x v="0"/>
    <x v="1"/>
    <x v="2"/>
  </r>
  <r>
    <x v="2126"/>
    <x v="32"/>
    <x v="6"/>
    <x v="23"/>
    <x v="0"/>
    <x v="2121"/>
    <x v="3"/>
    <x v="0"/>
    <x v="2"/>
  </r>
  <r>
    <x v="44"/>
    <x v="10"/>
    <x v="7"/>
    <x v="2"/>
    <x v="0"/>
    <x v="2122"/>
    <x v="3"/>
    <x v="2"/>
    <x v="2"/>
  </r>
  <r>
    <x v="2127"/>
    <x v="10"/>
    <x v="1"/>
    <x v="11"/>
    <x v="0"/>
    <x v="2122"/>
    <x v="0"/>
    <x v="0"/>
    <x v="2"/>
  </r>
  <r>
    <x v="2128"/>
    <x v="10"/>
    <x v="4"/>
    <x v="17"/>
    <x v="2"/>
    <x v="2123"/>
    <x v="0"/>
    <x v="0"/>
    <x v="0"/>
  </r>
  <r>
    <x v="2129"/>
    <x v="27"/>
    <x v="4"/>
    <x v="11"/>
    <x v="3"/>
    <x v="2124"/>
    <x v="0"/>
    <x v="1"/>
    <x v="2"/>
  </r>
  <r>
    <x v="2130"/>
    <x v="28"/>
    <x v="0"/>
    <x v="21"/>
    <x v="0"/>
    <x v="2125"/>
    <x v="0"/>
    <x v="0"/>
    <x v="1"/>
  </r>
  <r>
    <x v="2131"/>
    <x v="35"/>
    <x v="7"/>
    <x v="6"/>
    <x v="3"/>
    <x v="2126"/>
    <x v="0"/>
    <x v="2"/>
    <x v="2"/>
  </r>
  <r>
    <x v="2132"/>
    <x v="0"/>
    <x v="2"/>
    <x v="14"/>
    <x v="0"/>
    <x v="2127"/>
    <x v="0"/>
    <x v="1"/>
    <x v="2"/>
  </r>
  <r>
    <x v="2133"/>
    <x v="19"/>
    <x v="1"/>
    <x v="12"/>
    <x v="1"/>
    <x v="2128"/>
    <x v="3"/>
    <x v="0"/>
    <x v="2"/>
  </r>
  <r>
    <x v="2134"/>
    <x v="7"/>
    <x v="3"/>
    <x v="6"/>
    <x v="3"/>
    <x v="2129"/>
    <x v="0"/>
    <x v="0"/>
    <x v="0"/>
  </r>
  <r>
    <x v="2135"/>
    <x v="41"/>
    <x v="0"/>
    <x v="12"/>
    <x v="0"/>
    <x v="2130"/>
    <x v="0"/>
    <x v="1"/>
    <x v="2"/>
  </r>
  <r>
    <x v="2136"/>
    <x v="8"/>
    <x v="6"/>
    <x v="4"/>
    <x v="3"/>
    <x v="2131"/>
    <x v="3"/>
    <x v="1"/>
    <x v="2"/>
  </r>
  <r>
    <x v="2137"/>
    <x v="25"/>
    <x v="1"/>
    <x v="6"/>
    <x v="3"/>
    <x v="2132"/>
    <x v="0"/>
    <x v="2"/>
    <x v="2"/>
  </r>
  <r>
    <x v="2138"/>
    <x v="6"/>
    <x v="2"/>
    <x v="8"/>
    <x v="3"/>
    <x v="2133"/>
    <x v="3"/>
    <x v="0"/>
    <x v="0"/>
  </r>
  <r>
    <x v="2139"/>
    <x v="9"/>
    <x v="6"/>
    <x v="1"/>
    <x v="0"/>
    <x v="2134"/>
    <x v="0"/>
    <x v="2"/>
    <x v="0"/>
  </r>
  <r>
    <x v="2140"/>
    <x v="28"/>
    <x v="4"/>
    <x v="19"/>
    <x v="0"/>
    <x v="2135"/>
    <x v="0"/>
    <x v="0"/>
    <x v="1"/>
  </r>
  <r>
    <x v="2141"/>
    <x v="7"/>
    <x v="7"/>
    <x v="5"/>
    <x v="2"/>
    <x v="2136"/>
    <x v="3"/>
    <x v="0"/>
    <x v="5"/>
  </r>
  <r>
    <x v="2142"/>
    <x v="1"/>
    <x v="4"/>
    <x v="13"/>
    <x v="0"/>
    <x v="2137"/>
    <x v="3"/>
    <x v="0"/>
    <x v="2"/>
  </r>
  <r>
    <x v="2143"/>
    <x v="12"/>
    <x v="3"/>
    <x v="16"/>
    <x v="0"/>
    <x v="2138"/>
    <x v="3"/>
    <x v="1"/>
    <x v="1"/>
  </r>
  <r>
    <x v="2144"/>
    <x v="9"/>
    <x v="4"/>
    <x v="22"/>
    <x v="0"/>
    <x v="2139"/>
    <x v="3"/>
    <x v="2"/>
    <x v="0"/>
  </r>
  <r>
    <x v="2145"/>
    <x v="0"/>
    <x v="2"/>
    <x v="25"/>
    <x v="0"/>
    <x v="2140"/>
    <x v="0"/>
    <x v="2"/>
    <x v="2"/>
  </r>
  <r>
    <x v="2146"/>
    <x v="39"/>
    <x v="7"/>
    <x v="14"/>
    <x v="0"/>
    <x v="2141"/>
    <x v="3"/>
    <x v="0"/>
    <x v="2"/>
  </r>
  <r>
    <x v="2147"/>
    <x v="31"/>
    <x v="2"/>
    <x v="16"/>
    <x v="1"/>
    <x v="2142"/>
    <x v="3"/>
    <x v="2"/>
    <x v="2"/>
  </r>
  <r>
    <x v="2148"/>
    <x v="12"/>
    <x v="4"/>
    <x v="0"/>
    <x v="3"/>
    <x v="2143"/>
    <x v="0"/>
    <x v="0"/>
    <x v="2"/>
  </r>
  <r>
    <x v="2149"/>
    <x v="40"/>
    <x v="1"/>
    <x v="11"/>
    <x v="0"/>
    <x v="2144"/>
    <x v="0"/>
    <x v="2"/>
    <x v="2"/>
  </r>
  <r>
    <x v="2150"/>
    <x v="29"/>
    <x v="6"/>
    <x v="0"/>
    <x v="0"/>
    <x v="2145"/>
    <x v="0"/>
    <x v="0"/>
    <x v="2"/>
  </r>
  <r>
    <x v="2151"/>
    <x v="0"/>
    <x v="7"/>
    <x v="0"/>
    <x v="0"/>
    <x v="2146"/>
    <x v="3"/>
    <x v="2"/>
    <x v="2"/>
  </r>
  <r>
    <x v="2152"/>
    <x v="44"/>
    <x v="0"/>
    <x v="7"/>
    <x v="4"/>
    <x v="2147"/>
    <x v="0"/>
    <x v="2"/>
    <x v="0"/>
  </r>
  <r>
    <x v="2153"/>
    <x v="33"/>
    <x v="0"/>
    <x v="10"/>
    <x v="0"/>
    <x v="2148"/>
    <x v="3"/>
    <x v="1"/>
    <x v="2"/>
  </r>
  <r>
    <x v="2154"/>
    <x v="38"/>
    <x v="4"/>
    <x v="13"/>
    <x v="0"/>
    <x v="2149"/>
    <x v="0"/>
    <x v="1"/>
    <x v="2"/>
  </r>
  <r>
    <x v="44"/>
    <x v="0"/>
    <x v="7"/>
    <x v="19"/>
    <x v="0"/>
    <x v="2150"/>
    <x v="3"/>
    <x v="2"/>
    <x v="2"/>
  </r>
  <r>
    <x v="2155"/>
    <x v="0"/>
    <x v="0"/>
    <x v="6"/>
    <x v="0"/>
    <x v="2150"/>
    <x v="0"/>
    <x v="0"/>
    <x v="2"/>
  </r>
  <r>
    <x v="2156"/>
    <x v="30"/>
    <x v="4"/>
    <x v="16"/>
    <x v="0"/>
    <x v="2151"/>
    <x v="3"/>
    <x v="0"/>
    <x v="2"/>
  </r>
  <r>
    <x v="2157"/>
    <x v="12"/>
    <x v="2"/>
    <x v="27"/>
    <x v="0"/>
    <x v="2152"/>
    <x v="0"/>
    <x v="1"/>
    <x v="1"/>
  </r>
  <r>
    <x v="2158"/>
    <x v="41"/>
    <x v="0"/>
    <x v="18"/>
    <x v="3"/>
    <x v="2153"/>
    <x v="0"/>
    <x v="2"/>
    <x v="2"/>
  </r>
  <r>
    <x v="2159"/>
    <x v="14"/>
    <x v="2"/>
    <x v="23"/>
    <x v="2"/>
    <x v="2154"/>
    <x v="0"/>
    <x v="2"/>
    <x v="2"/>
  </r>
  <r>
    <x v="2160"/>
    <x v="36"/>
    <x v="7"/>
    <x v="12"/>
    <x v="0"/>
    <x v="2155"/>
    <x v="0"/>
    <x v="1"/>
    <x v="2"/>
  </r>
  <r>
    <x v="2161"/>
    <x v="26"/>
    <x v="6"/>
    <x v="2"/>
    <x v="3"/>
    <x v="2156"/>
    <x v="0"/>
    <x v="1"/>
    <x v="2"/>
  </r>
  <r>
    <x v="2162"/>
    <x v="0"/>
    <x v="6"/>
    <x v="22"/>
    <x v="0"/>
    <x v="2157"/>
    <x v="3"/>
    <x v="1"/>
    <x v="0"/>
  </r>
  <r>
    <x v="2163"/>
    <x v="0"/>
    <x v="3"/>
    <x v="2"/>
    <x v="0"/>
    <x v="2158"/>
    <x v="0"/>
    <x v="0"/>
    <x v="2"/>
  </r>
  <r>
    <x v="2164"/>
    <x v="14"/>
    <x v="1"/>
    <x v="5"/>
    <x v="2"/>
    <x v="2159"/>
    <x v="0"/>
    <x v="2"/>
    <x v="2"/>
  </r>
  <r>
    <x v="2165"/>
    <x v="15"/>
    <x v="4"/>
    <x v="17"/>
    <x v="2"/>
    <x v="2160"/>
    <x v="0"/>
    <x v="1"/>
    <x v="2"/>
  </r>
  <r>
    <x v="2166"/>
    <x v="13"/>
    <x v="2"/>
    <x v="23"/>
    <x v="0"/>
    <x v="2161"/>
    <x v="0"/>
    <x v="0"/>
    <x v="2"/>
  </r>
  <r>
    <x v="2167"/>
    <x v="4"/>
    <x v="7"/>
    <x v="1"/>
    <x v="0"/>
    <x v="2162"/>
    <x v="0"/>
    <x v="2"/>
    <x v="0"/>
  </r>
  <r>
    <x v="2168"/>
    <x v="10"/>
    <x v="3"/>
    <x v="16"/>
    <x v="1"/>
    <x v="2163"/>
    <x v="3"/>
    <x v="0"/>
    <x v="15"/>
  </r>
  <r>
    <x v="2169"/>
    <x v="16"/>
    <x v="7"/>
    <x v="17"/>
    <x v="2"/>
    <x v="2164"/>
    <x v="0"/>
    <x v="2"/>
    <x v="2"/>
  </r>
  <r>
    <x v="2170"/>
    <x v="20"/>
    <x v="1"/>
    <x v="17"/>
    <x v="0"/>
    <x v="2165"/>
    <x v="0"/>
    <x v="1"/>
    <x v="8"/>
  </r>
  <r>
    <x v="2171"/>
    <x v="31"/>
    <x v="1"/>
    <x v="0"/>
    <x v="1"/>
    <x v="2166"/>
    <x v="0"/>
    <x v="0"/>
    <x v="2"/>
  </r>
  <r>
    <x v="2172"/>
    <x v="34"/>
    <x v="7"/>
    <x v="1"/>
    <x v="0"/>
    <x v="2167"/>
    <x v="3"/>
    <x v="0"/>
    <x v="2"/>
  </r>
  <r>
    <x v="2173"/>
    <x v="25"/>
    <x v="6"/>
    <x v="28"/>
    <x v="3"/>
    <x v="2168"/>
    <x v="0"/>
    <x v="1"/>
    <x v="2"/>
  </r>
  <r>
    <x v="2174"/>
    <x v="5"/>
    <x v="3"/>
    <x v="3"/>
    <x v="2"/>
    <x v="2169"/>
    <x v="3"/>
    <x v="2"/>
    <x v="1"/>
  </r>
  <r>
    <x v="2175"/>
    <x v="10"/>
    <x v="7"/>
    <x v="8"/>
    <x v="3"/>
    <x v="2170"/>
    <x v="3"/>
    <x v="1"/>
    <x v="0"/>
  </r>
  <r>
    <x v="2176"/>
    <x v="16"/>
    <x v="1"/>
    <x v="25"/>
    <x v="1"/>
    <x v="2171"/>
    <x v="3"/>
    <x v="2"/>
    <x v="4"/>
  </r>
  <r>
    <x v="2177"/>
    <x v="23"/>
    <x v="2"/>
    <x v="4"/>
    <x v="2"/>
    <x v="2172"/>
    <x v="0"/>
    <x v="2"/>
    <x v="1"/>
  </r>
  <r>
    <x v="2178"/>
    <x v="33"/>
    <x v="7"/>
    <x v="13"/>
    <x v="0"/>
    <x v="2173"/>
    <x v="0"/>
    <x v="0"/>
    <x v="2"/>
  </r>
  <r>
    <x v="2179"/>
    <x v="15"/>
    <x v="7"/>
    <x v="23"/>
    <x v="1"/>
    <x v="2174"/>
    <x v="0"/>
    <x v="0"/>
    <x v="9"/>
  </r>
  <r>
    <x v="2180"/>
    <x v="35"/>
    <x v="3"/>
    <x v="14"/>
    <x v="3"/>
    <x v="2175"/>
    <x v="0"/>
    <x v="2"/>
    <x v="2"/>
  </r>
  <r>
    <x v="2181"/>
    <x v="18"/>
    <x v="6"/>
    <x v="21"/>
    <x v="0"/>
    <x v="2176"/>
    <x v="3"/>
    <x v="1"/>
    <x v="0"/>
  </r>
  <r>
    <x v="2182"/>
    <x v="22"/>
    <x v="0"/>
    <x v="9"/>
    <x v="2"/>
    <x v="2177"/>
    <x v="0"/>
    <x v="2"/>
    <x v="2"/>
  </r>
  <r>
    <x v="2183"/>
    <x v="25"/>
    <x v="3"/>
    <x v="0"/>
    <x v="0"/>
    <x v="2178"/>
    <x v="3"/>
    <x v="2"/>
    <x v="2"/>
  </r>
  <r>
    <x v="2184"/>
    <x v="2"/>
    <x v="0"/>
    <x v="7"/>
    <x v="0"/>
    <x v="2179"/>
    <x v="3"/>
    <x v="0"/>
    <x v="0"/>
  </r>
  <r>
    <x v="2185"/>
    <x v="30"/>
    <x v="1"/>
    <x v="11"/>
    <x v="0"/>
    <x v="2180"/>
    <x v="0"/>
    <x v="2"/>
    <x v="2"/>
  </r>
  <r>
    <x v="2186"/>
    <x v="13"/>
    <x v="3"/>
    <x v="26"/>
    <x v="2"/>
    <x v="2181"/>
    <x v="0"/>
    <x v="0"/>
    <x v="2"/>
  </r>
  <r>
    <x v="2187"/>
    <x v="42"/>
    <x v="2"/>
    <x v="25"/>
    <x v="0"/>
    <x v="2182"/>
    <x v="0"/>
    <x v="0"/>
    <x v="2"/>
  </r>
  <r>
    <x v="2188"/>
    <x v="24"/>
    <x v="6"/>
    <x v="25"/>
    <x v="1"/>
    <x v="2183"/>
    <x v="3"/>
    <x v="2"/>
    <x v="0"/>
  </r>
  <r>
    <x v="2189"/>
    <x v="13"/>
    <x v="7"/>
    <x v="1"/>
    <x v="1"/>
    <x v="2184"/>
    <x v="3"/>
    <x v="2"/>
    <x v="0"/>
  </r>
  <r>
    <x v="2190"/>
    <x v="24"/>
    <x v="2"/>
    <x v="8"/>
    <x v="3"/>
    <x v="2185"/>
    <x v="3"/>
    <x v="0"/>
    <x v="2"/>
  </r>
  <r>
    <x v="2191"/>
    <x v="5"/>
    <x v="3"/>
    <x v="17"/>
    <x v="3"/>
    <x v="2186"/>
    <x v="3"/>
    <x v="0"/>
    <x v="2"/>
  </r>
  <r>
    <x v="2192"/>
    <x v="33"/>
    <x v="6"/>
    <x v="12"/>
    <x v="0"/>
    <x v="2187"/>
    <x v="0"/>
    <x v="0"/>
    <x v="2"/>
  </r>
  <r>
    <x v="2193"/>
    <x v="32"/>
    <x v="4"/>
    <x v="29"/>
    <x v="0"/>
    <x v="2188"/>
    <x v="0"/>
    <x v="1"/>
    <x v="2"/>
  </r>
  <r>
    <x v="2194"/>
    <x v="18"/>
    <x v="2"/>
    <x v="27"/>
    <x v="3"/>
    <x v="2189"/>
    <x v="3"/>
    <x v="2"/>
    <x v="2"/>
  </r>
  <r>
    <x v="2195"/>
    <x v="7"/>
    <x v="1"/>
    <x v="8"/>
    <x v="3"/>
    <x v="2190"/>
    <x v="0"/>
    <x v="2"/>
    <x v="8"/>
  </r>
  <r>
    <x v="2196"/>
    <x v="16"/>
    <x v="0"/>
    <x v="2"/>
    <x v="2"/>
    <x v="2191"/>
    <x v="0"/>
    <x v="2"/>
    <x v="2"/>
  </r>
  <r>
    <x v="2197"/>
    <x v="18"/>
    <x v="0"/>
    <x v="4"/>
    <x v="1"/>
    <x v="2192"/>
    <x v="3"/>
    <x v="0"/>
    <x v="0"/>
  </r>
  <r>
    <x v="44"/>
    <x v="14"/>
    <x v="1"/>
    <x v="12"/>
    <x v="3"/>
    <x v="2193"/>
    <x v="3"/>
    <x v="0"/>
    <x v="2"/>
  </r>
  <r>
    <x v="2198"/>
    <x v="14"/>
    <x v="1"/>
    <x v="24"/>
    <x v="3"/>
    <x v="2193"/>
    <x v="0"/>
    <x v="2"/>
    <x v="2"/>
  </r>
  <r>
    <x v="2199"/>
    <x v="35"/>
    <x v="2"/>
    <x v="21"/>
    <x v="3"/>
    <x v="2194"/>
    <x v="0"/>
    <x v="2"/>
    <x v="1"/>
  </r>
  <r>
    <x v="2200"/>
    <x v="14"/>
    <x v="1"/>
    <x v="26"/>
    <x v="2"/>
    <x v="2195"/>
    <x v="3"/>
    <x v="2"/>
    <x v="1"/>
  </r>
  <r>
    <x v="2201"/>
    <x v="9"/>
    <x v="4"/>
    <x v="16"/>
    <x v="0"/>
    <x v="2196"/>
    <x v="0"/>
    <x v="2"/>
    <x v="0"/>
  </r>
  <r>
    <x v="2202"/>
    <x v="25"/>
    <x v="4"/>
    <x v="28"/>
    <x v="3"/>
    <x v="2197"/>
    <x v="0"/>
    <x v="1"/>
    <x v="2"/>
  </r>
  <r>
    <x v="2203"/>
    <x v="42"/>
    <x v="2"/>
    <x v="19"/>
    <x v="0"/>
    <x v="2198"/>
    <x v="0"/>
    <x v="2"/>
    <x v="2"/>
  </r>
  <r>
    <x v="2204"/>
    <x v="39"/>
    <x v="0"/>
    <x v="1"/>
    <x v="0"/>
    <x v="2199"/>
    <x v="3"/>
    <x v="2"/>
    <x v="2"/>
  </r>
  <r>
    <x v="2205"/>
    <x v="17"/>
    <x v="2"/>
    <x v="25"/>
    <x v="2"/>
    <x v="2200"/>
    <x v="0"/>
    <x v="2"/>
    <x v="2"/>
  </r>
  <r>
    <x v="2206"/>
    <x v="35"/>
    <x v="4"/>
    <x v="21"/>
    <x v="3"/>
    <x v="2201"/>
    <x v="0"/>
    <x v="0"/>
    <x v="2"/>
  </r>
  <r>
    <x v="2207"/>
    <x v="24"/>
    <x v="3"/>
    <x v="18"/>
    <x v="3"/>
    <x v="2202"/>
    <x v="0"/>
    <x v="0"/>
    <x v="2"/>
  </r>
  <r>
    <x v="2208"/>
    <x v="27"/>
    <x v="7"/>
    <x v="8"/>
    <x v="3"/>
    <x v="2203"/>
    <x v="3"/>
    <x v="1"/>
    <x v="2"/>
  </r>
  <r>
    <x v="2209"/>
    <x v="20"/>
    <x v="3"/>
    <x v="4"/>
    <x v="1"/>
    <x v="2204"/>
    <x v="3"/>
    <x v="0"/>
    <x v="12"/>
  </r>
  <r>
    <x v="2210"/>
    <x v="23"/>
    <x v="6"/>
    <x v="6"/>
    <x v="1"/>
    <x v="2205"/>
    <x v="3"/>
    <x v="1"/>
    <x v="5"/>
  </r>
  <r>
    <x v="2211"/>
    <x v="40"/>
    <x v="0"/>
    <x v="15"/>
    <x v="0"/>
    <x v="2206"/>
    <x v="0"/>
    <x v="1"/>
    <x v="2"/>
  </r>
  <r>
    <x v="2212"/>
    <x v="0"/>
    <x v="1"/>
    <x v="1"/>
    <x v="3"/>
    <x v="2207"/>
    <x v="3"/>
    <x v="0"/>
    <x v="2"/>
  </r>
  <r>
    <x v="2213"/>
    <x v="23"/>
    <x v="6"/>
    <x v="25"/>
    <x v="2"/>
    <x v="2208"/>
    <x v="0"/>
    <x v="0"/>
    <x v="2"/>
  </r>
  <r>
    <x v="2214"/>
    <x v="27"/>
    <x v="6"/>
    <x v="16"/>
    <x v="3"/>
    <x v="2209"/>
    <x v="0"/>
    <x v="0"/>
    <x v="2"/>
  </r>
  <r>
    <x v="2215"/>
    <x v="37"/>
    <x v="2"/>
    <x v="18"/>
    <x v="0"/>
    <x v="2210"/>
    <x v="0"/>
    <x v="2"/>
    <x v="2"/>
  </r>
  <r>
    <x v="2216"/>
    <x v="27"/>
    <x v="0"/>
    <x v="8"/>
    <x v="1"/>
    <x v="2211"/>
    <x v="3"/>
    <x v="2"/>
    <x v="3"/>
  </r>
  <r>
    <x v="2217"/>
    <x v="19"/>
    <x v="0"/>
    <x v="16"/>
    <x v="2"/>
    <x v="2212"/>
    <x v="3"/>
    <x v="2"/>
    <x v="12"/>
  </r>
  <r>
    <x v="2218"/>
    <x v="4"/>
    <x v="6"/>
    <x v="15"/>
    <x v="0"/>
    <x v="2213"/>
    <x v="3"/>
    <x v="0"/>
    <x v="0"/>
  </r>
  <r>
    <x v="2219"/>
    <x v="26"/>
    <x v="4"/>
    <x v="17"/>
    <x v="3"/>
    <x v="2214"/>
    <x v="0"/>
    <x v="1"/>
    <x v="1"/>
  </r>
  <r>
    <x v="2220"/>
    <x v="36"/>
    <x v="3"/>
    <x v="7"/>
    <x v="0"/>
    <x v="2215"/>
    <x v="0"/>
    <x v="2"/>
    <x v="2"/>
  </r>
  <r>
    <x v="2221"/>
    <x v="12"/>
    <x v="0"/>
    <x v="25"/>
    <x v="0"/>
    <x v="2216"/>
    <x v="3"/>
    <x v="1"/>
    <x v="0"/>
  </r>
  <r>
    <x v="2222"/>
    <x v="26"/>
    <x v="6"/>
    <x v="8"/>
    <x v="1"/>
    <x v="2217"/>
    <x v="0"/>
    <x v="1"/>
    <x v="1"/>
  </r>
  <r>
    <x v="2223"/>
    <x v="29"/>
    <x v="4"/>
    <x v="17"/>
    <x v="0"/>
    <x v="2218"/>
    <x v="3"/>
    <x v="2"/>
    <x v="2"/>
  </r>
  <r>
    <x v="2224"/>
    <x v="17"/>
    <x v="0"/>
    <x v="18"/>
    <x v="1"/>
    <x v="2219"/>
    <x v="3"/>
    <x v="1"/>
    <x v="10"/>
  </r>
  <r>
    <x v="2225"/>
    <x v="20"/>
    <x v="0"/>
    <x v="17"/>
    <x v="3"/>
    <x v="2220"/>
    <x v="0"/>
    <x v="1"/>
    <x v="2"/>
  </r>
  <r>
    <x v="2226"/>
    <x v="22"/>
    <x v="2"/>
    <x v="5"/>
    <x v="2"/>
    <x v="2221"/>
    <x v="0"/>
    <x v="2"/>
    <x v="2"/>
  </r>
  <r>
    <x v="2227"/>
    <x v="20"/>
    <x v="6"/>
    <x v="12"/>
    <x v="1"/>
    <x v="2222"/>
    <x v="3"/>
    <x v="2"/>
    <x v="0"/>
  </r>
  <r>
    <x v="2228"/>
    <x v="31"/>
    <x v="4"/>
    <x v="24"/>
    <x v="1"/>
    <x v="2223"/>
    <x v="0"/>
    <x v="2"/>
    <x v="2"/>
  </r>
  <r>
    <x v="2229"/>
    <x v="17"/>
    <x v="6"/>
    <x v="26"/>
    <x v="2"/>
    <x v="2224"/>
    <x v="0"/>
    <x v="0"/>
    <x v="1"/>
  </r>
  <r>
    <x v="2230"/>
    <x v="23"/>
    <x v="4"/>
    <x v="22"/>
    <x v="3"/>
    <x v="2225"/>
    <x v="3"/>
    <x v="1"/>
    <x v="1"/>
  </r>
  <r>
    <x v="2231"/>
    <x v="27"/>
    <x v="4"/>
    <x v="4"/>
    <x v="3"/>
    <x v="2226"/>
    <x v="3"/>
    <x v="0"/>
    <x v="2"/>
  </r>
  <r>
    <x v="2232"/>
    <x v="37"/>
    <x v="6"/>
    <x v="8"/>
    <x v="0"/>
    <x v="2227"/>
    <x v="3"/>
    <x v="0"/>
    <x v="2"/>
  </r>
  <r>
    <x v="2233"/>
    <x v="22"/>
    <x v="7"/>
    <x v="10"/>
    <x v="3"/>
    <x v="2228"/>
    <x v="3"/>
    <x v="2"/>
    <x v="2"/>
  </r>
  <r>
    <x v="2234"/>
    <x v="20"/>
    <x v="7"/>
    <x v="27"/>
    <x v="4"/>
    <x v="2229"/>
    <x v="3"/>
    <x v="2"/>
    <x v="2"/>
  </r>
  <r>
    <x v="2235"/>
    <x v="25"/>
    <x v="6"/>
    <x v="14"/>
    <x v="3"/>
    <x v="2230"/>
    <x v="3"/>
    <x v="0"/>
    <x v="1"/>
  </r>
  <r>
    <x v="2236"/>
    <x v="19"/>
    <x v="0"/>
    <x v="13"/>
    <x v="1"/>
    <x v="2231"/>
    <x v="3"/>
    <x v="2"/>
    <x v="2"/>
  </r>
  <r>
    <x v="2237"/>
    <x v="19"/>
    <x v="7"/>
    <x v="6"/>
    <x v="1"/>
    <x v="2232"/>
    <x v="3"/>
    <x v="0"/>
    <x v="0"/>
  </r>
  <r>
    <x v="2238"/>
    <x v="26"/>
    <x v="2"/>
    <x v="3"/>
    <x v="3"/>
    <x v="2233"/>
    <x v="3"/>
    <x v="0"/>
    <x v="1"/>
  </r>
  <r>
    <x v="2239"/>
    <x v="40"/>
    <x v="3"/>
    <x v="6"/>
    <x v="0"/>
    <x v="2234"/>
    <x v="3"/>
    <x v="0"/>
    <x v="2"/>
  </r>
  <r>
    <x v="2240"/>
    <x v="37"/>
    <x v="6"/>
    <x v="8"/>
    <x v="0"/>
    <x v="2235"/>
    <x v="3"/>
    <x v="0"/>
    <x v="2"/>
  </r>
  <r>
    <x v="2241"/>
    <x v="20"/>
    <x v="1"/>
    <x v="28"/>
    <x v="0"/>
    <x v="2236"/>
    <x v="3"/>
    <x v="2"/>
    <x v="0"/>
  </r>
  <r>
    <x v="2242"/>
    <x v="31"/>
    <x v="0"/>
    <x v="23"/>
    <x v="1"/>
    <x v="2237"/>
    <x v="3"/>
    <x v="0"/>
    <x v="1"/>
  </r>
  <r>
    <x v="2243"/>
    <x v="33"/>
    <x v="3"/>
    <x v="22"/>
    <x v="0"/>
    <x v="2238"/>
    <x v="3"/>
    <x v="1"/>
    <x v="2"/>
  </r>
  <r>
    <x v="2244"/>
    <x v="35"/>
    <x v="4"/>
    <x v="9"/>
    <x v="2"/>
    <x v="2239"/>
    <x v="3"/>
    <x v="0"/>
    <x v="1"/>
  </r>
  <r>
    <x v="2245"/>
    <x v="30"/>
    <x v="2"/>
    <x v="23"/>
    <x v="0"/>
    <x v="2240"/>
    <x v="3"/>
    <x v="0"/>
    <x v="2"/>
  </r>
  <r>
    <x v="2246"/>
    <x v="7"/>
    <x v="0"/>
    <x v="24"/>
    <x v="1"/>
    <x v="2241"/>
    <x v="3"/>
    <x v="1"/>
    <x v="8"/>
  </r>
  <r>
    <x v="2247"/>
    <x v="0"/>
    <x v="6"/>
    <x v="6"/>
    <x v="2"/>
    <x v="2242"/>
    <x v="3"/>
    <x v="2"/>
    <x v="0"/>
  </r>
  <r>
    <x v="2248"/>
    <x v="25"/>
    <x v="3"/>
    <x v="25"/>
    <x v="2"/>
    <x v="2243"/>
    <x v="3"/>
    <x v="2"/>
    <x v="0"/>
  </r>
  <r>
    <x v="2249"/>
    <x v="22"/>
    <x v="3"/>
    <x v="26"/>
    <x v="2"/>
    <x v="2244"/>
    <x v="3"/>
    <x v="2"/>
    <x v="2"/>
  </r>
  <r>
    <x v="2250"/>
    <x v="28"/>
    <x v="2"/>
    <x v="16"/>
    <x v="0"/>
    <x v="2245"/>
    <x v="3"/>
    <x v="2"/>
    <x v="0"/>
  </r>
  <r>
    <x v="2251"/>
    <x v="25"/>
    <x v="7"/>
    <x v="20"/>
    <x v="1"/>
    <x v="2246"/>
    <x v="3"/>
    <x v="0"/>
    <x v="12"/>
  </r>
  <r>
    <x v="2252"/>
    <x v="30"/>
    <x v="6"/>
    <x v="8"/>
    <x v="0"/>
    <x v="2247"/>
    <x v="3"/>
    <x v="2"/>
    <x v="2"/>
  </r>
  <r>
    <x v="2253"/>
    <x v="30"/>
    <x v="3"/>
    <x v="19"/>
    <x v="0"/>
    <x v="2248"/>
    <x v="3"/>
    <x v="0"/>
    <x v="5"/>
  </r>
  <r>
    <x v="2254"/>
    <x v="34"/>
    <x v="6"/>
    <x v="26"/>
    <x v="0"/>
    <x v="2249"/>
    <x v="3"/>
    <x v="2"/>
    <x v="2"/>
  </r>
  <r>
    <x v="2255"/>
    <x v="42"/>
    <x v="2"/>
    <x v="19"/>
    <x v="0"/>
    <x v="2250"/>
    <x v="3"/>
    <x v="0"/>
    <x v="2"/>
  </r>
  <r>
    <x v="2256"/>
    <x v="26"/>
    <x v="6"/>
    <x v="3"/>
    <x v="3"/>
    <x v="2251"/>
    <x v="3"/>
    <x v="2"/>
    <x v="2"/>
  </r>
  <r>
    <x v="2257"/>
    <x v="42"/>
    <x v="7"/>
    <x v="15"/>
    <x v="0"/>
    <x v="2252"/>
    <x v="3"/>
    <x v="2"/>
    <x v="2"/>
  </r>
  <r>
    <x v="2258"/>
    <x v="32"/>
    <x v="7"/>
    <x v="25"/>
    <x v="0"/>
    <x v="2253"/>
    <x v="3"/>
    <x v="2"/>
    <x v="2"/>
  </r>
  <r>
    <x v="2259"/>
    <x v="39"/>
    <x v="4"/>
    <x v="12"/>
    <x v="0"/>
    <x v="2254"/>
    <x v="3"/>
    <x v="2"/>
    <x v="2"/>
  </r>
  <r>
    <x v="2260"/>
    <x v="28"/>
    <x v="1"/>
    <x v="18"/>
    <x v="0"/>
    <x v="2255"/>
    <x v="3"/>
    <x v="1"/>
    <x v="2"/>
  </r>
  <r>
    <x v="2261"/>
    <x v="35"/>
    <x v="7"/>
    <x v="7"/>
    <x v="1"/>
    <x v="2256"/>
    <x v="3"/>
    <x v="0"/>
    <x v="2"/>
  </r>
  <r>
    <x v="2262"/>
    <x v="31"/>
    <x v="1"/>
    <x v="10"/>
    <x v="0"/>
    <x v="2257"/>
    <x v="3"/>
    <x v="2"/>
    <x v="0"/>
  </r>
  <r>
    <x v="2263"/>
    <x v="31"/>
    <x v="3"/>
    <x v="7"/>
    <x v="1"/>
    <x v="2258"/>
    <x v="3"/>
    <x v="1"/>
    <x v="2"/>
  </r>
  <r>
    <x v="2264"/>
    <x v="40"/>
    <x v="3"/>
    <x v="12"/>
    <x v="0"/>
    <x v="2259"/>
    <x v="3"/>
    <x v="0"/>
    <x v="2"/>
  </r>
  <r>
    <x v="2265"/>
    <x v="37"/>
    <x v="3"/>
    <x v="27"/>
    <x v="0"/>
    <x v="2260"/>
    <x v="3"/>
    <x v="0"/>
    <x v="2"/>
  </r>
  <r>
    <x v="2266"/>
    <x v="30"/>
    <x v="2"/>
    <x v="26"/>
    <x v="1"/>
    <x v="2261"/>
    <x v="3"/>
    <x v="1"/>
    <x v="5"/>
  </r>
  <r>
    <x v="2267"/>
    <x v="21"/>
    <x v="1"/>
    <x v="23"/>
    <x v="2"/>
    <x v="2262"/>
    <x v="3"/>
    <x v="1"/>
    <x v="0"/>
  </r>
  <r>
    <x v="2268"/>
    <x v="36"/>
    <x v="4"/>
    <x v="11"/>
    <x v="1"/>
    <x v="2263"/>
    <x v="3"/>
    <x v="0"/>
    <x v="0"/>
  </r>
  <r>
    <x v="2269"/>
    <x v="35"/>
    <x v="1"/>
    <x v="13"/>
    <x v="0"/>
    <x v="2264"/>
    <x v="3"/>
    <x v="1"/>
    <x v="8"/>
  </r>
  <r>
    <x v="2270"/>
    <x v="6"/>
    <x v="4"/>
    <x v="0"/>
    <x v="3"/>
    <x v="2265"/>
    <x v="3"/>
    <x v="0"/>
    <x v="0"/>
  </r>
  <r>
    <x v="2271"/>
    <x v="25"/>
    <x v="0"/>
    <x v="28"/>
    <x v="2"/>
    <x v="2266"/>
    <x v="3"/>
    <x v="1"/>
    <x v="0"/>
  </r>
  <r>
    <x v="2272"/>
    <x v="29"/>
    <x v="3"/>
    <x v="14"/>
    <x v="0"/>
    <x v="2267"/>
    <x v="3"/>
    <x v="1"/>
    <x v="2"/>
  </r>
  <r>
    <x v="2273"/>
    <x v="31"/>
    <x v="6"/>
    <x v="21"/>
    <x v="1"/>
    <x v="2268"/>
    <x v="3"/>
    <x v="0"/>
    <x v="0"/>
  </r>
  <r>
    <x v="2274"/>
    <x v="39"/>
    <x v="2"/>
    <x v="13"/>
    <x v="0"/>
    <x v="2269"/>
    <x v="3"/>
    <x v="2"/>
    <x v="5"/>
  </r>
  <r>
    <x v="2275"/>
    <x v="36"/>
    <x v="6"/>
    <x v="28"/>
    <x v="0"/>
    <x v="2270"/>
    <x v="3"/>
    <x v="2"/>
    <x v="2"/>
  </r>
  <r>
    <x v="2276"/>
    <x v="39"/>
    <x v="2"/>
    <x v="3"/>
    <x v="0"/>
    <x v="2271"/>
    <x v="3"/>
    <x v="0"/>
    <x v="2"/>
  </r>
  <r>
    <x v="2277"/>
    <x v="25"/>
    <x v="4"/>
    <x v="3"/>
    <x v="3"/>
    <x v="2272"/>
    <x v="3"/>
    <x v="0"/>
    <x v="0"/>
  </r>
  <r>
    <x v="2278"/>
    <x v="32"/>
    <x v="1"/>
    <x v="28"/>
    <x v="0"/>
    <x v="2273"/>
    <x v="3"/>
    <x v="0"/>
    <x v="2"/>
  </r>
  <r>
    <x v="2279"/>
    <x v="26"/>
    <x v="7"/>
    <x v="27"/>
    <x v="3"/>
    <x v="2274"/>
    <x v="3"/>
    <x v="2"/>
    <x v="1"/>
  </r>
  <r>
    <x v="2280"/>
    <x v="38"/>
    <x v="7"/>
    <x v="7"/>
    <x v="0"/>
    <x v="2275"/>
    <x v="3"/>
    <x v="2"/>
    <x v="2"/>
  </r>
  <r>
    <x v="2281"/>
    <x v="30"/>
    <x v="3"/>
    <x v="23"/>
    <x v="3"/>
    <x v="2276"/>
    <x v="3"/>
    <x v="1"/>
    <x v="2"/>
  </r>
  <r>
    <x v="2282"/>
    <x v="31"/>
    <x v="7"/>
    <x v="29"/>
    <x v="1"/>
    <x v="2277"/>
    <x v="3"/>
    <x v="0"/>
    <x v="0"/>
  </r>
  <r>
    <x v="2283"/>
    <x v="27"/>
    <x v="1"/>
    <x v="6"/>
    <x v="0"/>
    <x v="2278"/>
    <x v="3"/>
    <x v="2"/>
    <x v="1"/>
  </r>
  <r>
    <x v="2284"/>
    <x v="38"/>
    <x v="1"/>
    <x v="7"/>
    <x v="0"/>
    <x v="2279"/>
    <x v="0"/>
    <x v="2"/>
    <x v="2"/>
  </r>
  <r>
    <x v="2285"/>
    <x v="34"/>
    <x v="4"/>
    <x v="28"/>
    <x v="0"/>
    <x v="2280"/>
    <x v="0"/>
    <x v="2"/>
    <x v="5"/>
  </r>
  <r>
    <x v="2286"/>
    <x v="38"/>
    <x v="6"/>
    <x v="12"/>
    <x v="0"/>
    <x v="2281"/>
    <x v="0"/>
    <x v="2"/>
    <x v="1"/>
  </r>
  <r>
    <x v="2287"/>
    <x v="18"/>
    <x v="4"/>
    <x v="7"/>
    <x v="2"/>
    <x v="2282"/>
    <x v="0"/>
    <x v="1"/>
    <x v="3"/>
  </r>
  <r>
    <x v="2288"/>
    <x v="37"/>
    <x v="7"/>
    <x v="22"/>
    <x v="3"/>
    <x v="2283"/>
    <x v="0"/>
    <x v="2"/>
    <x v="0"/>
  </r>
  <r>
    <x v="2289"/>
    <x v="37"/>
    <x v="0"/>
    <x v="24"/>
    <x v="0"/>
    <x v="2284"/>
    <x v="0"/>
    <x v="0"/>
    <x v="1"/>
  </r>
  <r>
    <x v="2290"/>
    <x v="24"/>
    <x v="1"/>
    <x v="23"/>
    <x v="3"/>
    <x v="2285"/>
    <x v="0"/>
    <x v="1"/>
    <x v="0"/>
  </r>
  <r>
    <x v="2291"/>
    <x v="37"/>
    <x v="7"/>
    <x v="16"/>
    <x v="0"/>
    <x v="2286"/>
    <x v="0"/>
    <x v="2"/>
    <x v="1"/>
  </r>
  <r>
    <x v="2292"/>
    <x v="15"/>
    <x v="0"/>
    <x v="25"/>
    <x v="1"/>
    <x v="2287"/>
    <x v="0"/>
    <x v="1"/>
    <x v="1"/>
  </r>
  <r>
    <x v="2293"/>
    <x v="31"/>
    <x v="2"/>
    <x v="5"/>
    <x v="3"/>
    <x v="2288"/>
    <x v="0"/>
    <x v="2"/>
    <x v="0"/>
  </r>
  <r>
    <x v="2294"/>
    <x v="36"/>
    <x v="1"/>
    <x v="18"/>
    <x v="3"/>
    <x v="2289"/>
    <x v="0"/>
    <x v="1"/>
    <x v="0"/>
  </r>
  <r>
    <x v="2295"/>
    <x v="32"/>
    <x v="7"/>
    <x v="7"/>
    <x v="0"/>
    <x v="2290"/>
    <x v="0"/>
    <x v="2"/>
    <x v="0"/>
  </r>
  <r>
    <x v="2296"/>
    <x v="39"/>
    <x v="3"/>
    <x v="10"/>
    <x v="0"/>
    <x v="2291"/>
    <x v="0"/>
    <x v="0"/>
    <x v="0"/>
  </r>
  <r>
    <x v="2297"/>
    <x v="10"/>
    <x v="6"/>
    <x v="24"/>
    <x v="1"/>
    <x v="2292"/>
    <x v="0"/>
    <x v="0"/>
    <x v="0"/>
  </r>
  <r>
    <x v="2298"/>
    <x v="1"/>
    <x v="7"/>
    <x v="20"/>
    <x v="3"/>
    <x v="2293"/>
    <x v="0"/>
    <x v="2"/>
    <x v="2"/>
  </r>
  <r>
    <x v="2299"/>
    <x v="32"/>
    <x v="6"/>
    <x v="2"/>
    <x v="3"/>
    <x v="2294"/>
    <x v="0"/>
    <x v="0"/>
    <x v="8"/>
  </r>
  <r>
    <x v="2300"/>
    <x v="40"/>
    <x v="4"/>
    <x v="17"/>
    <x v="0"/>
    <x v="2295"/>
    <x v="0"/>
    <x v="2"/>
    <x v="0"/>
  </r>
  <r>
    <x v="2301"/>
    <x v="28"/>
    <x v="6"/>
    <x v="0"/>
    <x v="3"/>
    <x v="2296"/>
    <x v="0"/>
    <x v="2"/>
    <x v="1"/>
  </r>
  <r>
    <x v="2302"/>
    <x v="45"/>
    <x v="4"/>
    <x v="27"/>
    <x v="0"/>
    <x v="2297"/>
    <x v="0"/>
    <x v="2"/>
    <x v="5"/>
  </r>
  <r>
    <x v="2303"/>
    <x v="25"/>
    <x v="6"/>
    <x v="8"/>
    <x v="0"/>
    <x v="2298"/>
    <x v="0"/>
    <x v="1"/>
    <x v="0"/>
  </r>
  <r>
    <x v="2304"/>
    <x v="20"/>
    <x v="3"/>
    <x v="1"/>
    <x v="3"/>
    <x v="2299"/>
    <x v="0"/>
    <x v="0"/>
    <x v="2"/>
  </r>
  <r>
    <x v="2305"/>
    <x v="40"/>
    <x v="4"/>
    <x v="6"/>
    <x v="2"/>
    <x v="2300"/>
    <x v="3"/>
    <x v="1"/>
    <x v="1"/>
  </r>
  <r>
    <x v="2306"/>
    <x v="35"/>
    <x v="4"/>
    <x v="24"/>
    <x v="2"/>
    <x v="2301"/>
    <x v="3"/>
    <x v="0"/>
    <x v="0"/>
  </r>
  <r>
    <x v="2307"/>
    <x v="27"/>
    <x v="6"/>
    <x v="17"/>
    <x v="3"/>
    <x v="2302"/>
    <x v="3"/>
    <x v="1"/>
    <x v="0"/>
  </r>
  <r>
    <x v="2308"/>
    <x v="32"/>
    <x v="4"/>
    <x v="19"/>
    <x v="2"/>
    <x v="2303"/>
    <x v="3"/>
    <x v="0"/>
    <x v="8"/>
  </r>
  <r>
    <x v="2309"/>
    <x v="44"/>
    <x v="6"/>
    <x v="26"/>
    <x v="0"/>
    <x v="2304"/>
    <x v="3"/>
    <x v="1"/>
    <x v="0"/>
  </r>
  <r>
    <x v="2310"/>
    <x v="34"/>
    <x v="2"/>
    <x v="29"/>
    <x v="2"/>
    <x v="2305"/>
    <x v="3"/>
    <x v="0"/>
    <x v="1"/>
  </r>
  <r>
    <x v="2311"/>
    <x v="45"/>
    <x v="1"/>
    <x v="17"/>
    <x v="2"/>
    <x v="2306"/>
    <x v="3"/>
    <x v="1"/>
    <x v="1"/>
  </r>
  <r>
    <x v="2312"/>
    <x v="47"/>
    <x v="3"/>
    <x v="21"/>
    <x v="0"/>
    <x v="2307"/>
    <x v="0"/>
    <x v="0"/>
    <x v="0"/>
  </r>
  <r>
    <x v="2313"/>
    <x v="46"/>
    <x v="0"/>
    <x v="10"/>
    <x v="0"/>
    <x v="2308"/>
    <x v="0"/>
    <x v="1"/>
    <x v="0"/>
  </r>
  <r>
    <x v="2314"/>
    <x v="33"/>
    <x v="4"/>
    <x v="13"/>
    <x v="3"/>
    <x v="2309"/>
    <x v="3"/>
    <x v="2"/>
    <x v="0"/>
  </r>
  <r>
    <x v="2315"/>
    <x v="47"/>
    <x v="3"/>
    <x v="28"/>
    <x v="3"/>
    <x v="2310"/>
    <x v="0"/>
    <x v="1"/>
    <x v="2"/>
  </r>
  <r>
    <x v="2316"/>
    <x v="46"/>
    <x v="7"/>
    <x v="6"/>
    <x v="3"/>
    <x v="2311"/>
    <x v="0"/>
    <x v="1"/>
    <x v="2"/>
  </r>
  <r>
    <x v="2317"/>
    <x v="44"/>
    <x v="2"/>
    <x v="2"/>
    <x v="1"/>
    <x v="2312"/>
    <x v="3"/>
    <x v="0"/>
    <x v="2"/>
  </r>
  <r>
    <x v="2318"/>
    <x v="32"/>
    <x v="3"/>
    <x v="3"/>
    <x v="3"/>
    <x v="2313"/>
    <x v="3"/>
    <x v="2"/>
    <x v="0"/>
  </r>
  <r>
    <x v="2319"/>
    <x v="42"/>
    <x v="1"/>
    <x v="15"/>
    <x v="3"/>
    <x v="2314"/>
    <x v="3"/>
    <x v="0"/>
    <x v="1"/>
  </r>
  <r>
    <x v="2320"/>
    <x v="41"/>
    <x v="6"/>
    <x v="16"/>
    <x v="1"/>
    <x v="2315"/>
    <x v="3"/>
    <x v="0"/>
    <x v="8"/>
  </r>
  <r>
    <x v="2321"/>
    <x v="47"/>
    <x v="1"/>
    <x v="25"/>
    <x v="1"/>
    <x v="2316"/>
    <x v="0"/>
    <x v="0"/>
    <x v="2"/>
  </r>
  <r>
    <x v="2322"/>
    <x v="40"/>
    <x v="6"/>
    <x v="3"/>
    <x v="0"/>
    <x v="2317"/>
    <x v="3"/>
    <x v="0"/>
    <x v="2"/>
  </r>
  <r>
    <x v="2323"/>
    <x v="44"/>
    <x v="4"/>
    <x v="27"/>
    <x v="1"/>
    <x v="2318"/>
    <x v="3"/>
    <x v="0"/>
    <x v="8"/>
  </r>
  <r>
    <x v="2324"/>
    <x v="36"/>
    <x v="4"/>
    <x v="5"/>
    <x v="2"/>
    <x v="2319"/>
    <x v="3"/>
    <x v="0"/>
    <x v="5"/>
  </r>
  <r>
    <x v="2325"/>
    <x v="40"/>
    <x v="7"/>
    <x v="20"/>
    <x v="0"/>
    <x v="2320"/>
    <x v="3"/>
    <x v="2"/>
    <x v="0"/>
  </r>
  <r>
    <x v="2326"/>
    <x v="38"/>
    <x v="7"/>
    <x v="3"/>
    <x v="1"/>
    <x v="2321"/>
    <x v="3"/>
    <x v="2"/>
    <x v="0"/>
  </r>
  <r>
    <x v="2327"/>
    <x v="46"/>
    <x v="0"/>
    <x v="12"/>
    <x v="0"/>
    <x v="2322"/>
    <x v="0"/>
    <x v="1"/>
    <x v="2"/>
  </r>
  <r>
    <x v="2328"/>
    <x v="27"/>
    <x v="4"/>
    <x v="7"/>
    <x v="0"/>
    <x v="2323"/>
    <x v="3"/>
    <x v="2"/>
    <x v="0"/>
  </r>
  <r>
    <x v="2329"/>
    <x v="41"/>
    <x v="3"/>
    <x v="6"/>
    <x v="1"/>
    <x v="2324"/>
    <x v="3"/>
    <x v="2"/>
    <x v="0"/>
  </r>
  <r>
    <x v="2330"/>
    <x v="47"/>
    <x v="2"/>
    <x v="3"/>
    <x v="3"/>
    <x v="2325"/>
    <x v="0"/>
    <x v="2"/>
    <x v="0"/>
  </r>
  <r>
    <x v="2331"/>
    <x v="11"/>
    <x v="7"/>
    <x v="3"/>
    <x v="1"/>
    <x v="2326"/>
    <x v="3"/>
    <x v="0"/>
    <x v="2"/>
  </r>
  <r>
    <x v="2332"/>
    <x v="40"/>
    <x v="6"/>
    <x v="6"/>
    <x v="0"/>
    <x v="2327"/>
    <x v="3"/>
    <x v="0"/>
    <x v="2"/>
  </r>
  <r>
    <x v="2333"/>
    <x v="13"/>
    <x v="2"/>
    <x v="11"/>
    <x v="0"/>
    <x v="2328"/>
    <x v="3"/>
    <x v="2"/>
    <x v="1"/>
  </r>
  <r>
    <x v="2334"/>
    <x v="14"/>
    <x v="2"/>
    <x v="19"/>
    <x v="1"/>
    <x v="2329"/>
    <x v="3"/>
    <x v="0"/>
    <x v="8"/>
  </r>
  <r>
    <x v="2335"/>
    <x v="33"/>
    <x v="5"/>
    <x v="20"/>
    <x v="2"/>
    <x v="2330"/>
    <x v="3"/>
    <x v="1"/>
    <x v="1"/>
  </r>
  <r>
    <x v="2336"/>
    <x v="26"/>
    <x v="2"/>
    <x v="26"/>
    <x v="0"/>
    <x v="2331"/>
    <x v="0"/>
    <x v="0"/>
    <x v="0"/>
  </r>
  <r>
    <x v="2337"/>
    <x v="36"/>
    <x v="7"/>
    <x v="8"/>
    <x v="0"/>
    <x v="2332"/>
    <x v="3"/>
    <x v="0"/>
    <x v="0"/>
  </r>
  <r>
    <x v="2338"/>
    <x v="48"/>
    <x v="8"/>
    <x v="30"/>
    <x v="6"/>
    <x v="2333"/>
    <x v="4"/>
    <x v="4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A4:G11" firstHeaderRow="1" firstDataRow="2" firstDataCol="1" rowPageCount="2" colPageCount="1"/>
  <pivotFields count="9">
    <pivotField axis="axisPage" compact="0" showAll="0">
      <items count="2340">
        <item x="44"/>
        <item x="2337"/>
        <item x="2328"/>
        <item x="2238"/>
        <item x="1336"/>
        <item x="1335"/>
        <item x="1334"/>
        <item x="1333"/>
        <item x="1332"/>
        <item x="1331"/>
        <item x="1330"/>
        <item x="1329"/>
        <item x="1328"/>
        <item x="1327"/>
        <item x="2237"/>
        <item x="1326"/>
        <item x="1325"/>
        <item x="1324"/>
        <item x="1323"/>
        <item x="1322"/>
        <item x="1321"/>
        <item x="1320"/>
        <item x="1319"/>
        <item x="1318"/>
        <item x="1317"/>
        <item x="2236"/>
        <item x="1316"/>
        <item x="1315"/>
        <item x="1314"/>
        <item x="1313"/>
        <item x="1312"/>
        <item x="1311"/>
        <item x="1310"/>
        <item x="1309"/>
        <item x="1308"/>
        <item x="1307"/>
        <item x="2235"/>
        <item x="1306"/>
        <item x="1305"/>
        <item x="1304"/>
        <item x="1303"/>
        <item x="1302"/>
        <item x="1301"/>
        <item x="1300"/>
        <item x="1299"/>
        <item x="1298"/>
        <item x="1297"/>
        <item x="2234"/>
        <item x="1296"/>
        <item x="1295"/>
        <item x="1294"/>
        <item x="1293"/>
        <item x="1292"/>
        <item x="1291"/>
        <item x="1290"/>
        <item x="1289"/>
        <item x="1288"/>
        <item x="1287"/>
        <item x="2233"/>
        <item x="1286"/>
        <item x="1285"/>
        <item x="1284"/>
        <item x="1283"/>
        <item x="1282"/>
        <item x="1281"/>
        <item x="1280"/>
        <item x="1279"/>
        <item x="1278"/>
        <item x="1277"/>
        <item x="2232"/>
        <item x="1276"/>
        <item x="1275"/>
        <item x="1274"/>
        <item x="1273"/>
        <item x="1272"/>
        <item x="1271"/>
        <item x="1270"/>
        <item x="1269"/>
        <item x="1268"/>
        <item x="1267"/>
        <item x="2231"/>
        <item x="1266"/>
        <item x="1265"/>
        <item x="1264"/>
        <item x="1263"/>
        <item x="1262"/>
        <item x="1261"/>
        <item x="1260"/>
        <item x="1259"/>
        <item x="1258"/>
        <item x="1257"/>
        <item x="2230"/>
        <item x="1256"/>
        <item x="1255"/>
        <item x="1254"/>
        <item x="1253"/>
        <item x="1252"/>
        <item x="1251"/>
        <item x="1250"/>
        <item x="1249"/>
        <item x="1248"/>
        <item x="1247"/>
        <item x="2229"/>
        <item x="1246"/>
        <item x="1245"/>
        <item x="1244"/>
        <item x="1243"/>
        <item x="1242"/>
        <item x="1241"/>
        <item x="1240"/>
        <item x="1239"/>
        <item x="1238"/>
        <item x="1237"/>
        <item x="2327"/>
        <item x="2228"/>
        <item x="1236"/>
        <item x="1235"/>
        <item x="1234"/>
        <item x="1233"/>
        <item x="1232"/>
        <item x="1231"/>
        <item x="1230"/>
        <item x="1229"/>
        <item x="1228"/>
        <item x="1227"/>
        <item x="2227"/>
        <item x="1226"/>
        <item x="1225"/>
        <item x="1224"/>
        <item x="1223"/>
        <item x="1222"/>
        <item x="1221"/>
        <item x="1220"/>
        <item x="1219"/>
        <item x="1218"/>
        <item x="1217"/>
        <item x="2226"/>
        <item x="1216"/>
        <item x="1215"/>
        <item x="1214"/>
        <item x="1213"/>
        <item x="1212"/>
        <item x="1211"/>
        <item x="1210"/>
        <item x="1209"/>
        <item x="1208"/>
        <item x="1207"/>
        <item x="2225"/>
        <item x="1206"/>
        <item x="1205"/>
        <item x="1204"/>
        <item x="1203"/>
        <item x="1202"/>
        <item x="1201"/>
        <item x="1200"/>
        <item x="1199"/>
        <item x="1198"/>
        <item x="1197"/>
        <item x="2224"/>
        <item x="1196"/>
        <item x="1195"/>
        <item x="1194"/>
        <item x="1193"/>
        <item x="1192"/>
        <item x="1191"/>
        <item x="1190"/>
        <item x="1189"/>
        <item x="1188"/>
        <item x="1187"/>
        <item x="2223"/>
        <item x="1186"/>
        <item x="1185"/>
        <item x="1184"/>
        <item x="1183"/>
        <item x="1182"/>
        <item x="1181"/>
        <item x="1180"/>
        <item x="1179"/>
        <item x="1178"/>
        <item x="1177"/>
        <item x="2222"/>
        <item x="1176"/>
        <item x="1175"/>
        <item x="1174"/>
        <item x="1173"/>
        <item x="1172"/>
        <item x="1171"/>
        <item x="1170"/>
        <item x="1169"/>
        <item x="1168"/>
        <item x="1167"/>
        <item x="2221"/>
        <item x="1166"/>
        <item x="1165"/>
        <item x="1164"/>
        <item x="1163"/>
        <item x="1162"/>
        <item x="1161"/>
        <item x="1160"/>
        <item x="1159"/>
        <item x="1158"/>
        <item x="1157"/>
        <item x="2220"/>
        <item x="1156"/>
        <item x="1155"/>
        <item x="1154"/>
        <item x="1153"/>
        <item x="1152"/>
        <item x="1151"/>
        <item x="1150"/>
        <item x="1149"/>
        <item x="1148"/>
        <item x="1147"/>
        <item x="2219"/>
        <item x="1146"/>
        <item x="1145"/>
        <item x="1144"/>
        <item x="1143"/>
        <item x="1142"/>
        <item x="1141"/>
        <item x="1140"/>
        <item x="1139"/>
        <item x="1138"/>
        <item x="1137"/>
        <item x="2326"/>
        <item x="2218"/>
        <item x="1136"/>
        <item x="1135"/>
        <item x="1134"/>
        <item x="1133"/>
        <item x="1132"/>
        <item x="1131"/>
        <item x="1130"/>
        <item x="1129"/>
        <item x="1128"/>
        <item x="1127"/>
        <item x="2217"/>
        <item x="1126"/>
        <item x="1125"/>
        <item x="1124"/>
        <item x="1123"/>
        <item x="1122"/>
        <item x="1121"/>
        <item x="1120"/>
        <item x="1119"/>
        <item x="1118"/>
        <item x="1117"/>
        <item x="2216"/>
        <item x="1116"/>
        <item x="1115"/>
        <item x="1114"/>
        <item x="1113"/>
        <item x="1112"/>
        <item x="1111"/>
        <item x="1110"/>
        <item x="1109"/>
        <item x="1108"/>
        <item x="1107"/>
        <item x="2215"/>
        <item x="1106"/>
        <item x="1105"/>
        <item x="1104"/>
        <item x="1103"/>
        <item x="1102"/>
        <item x="1101"/>
        <item x="1100"/>
        <item x="1099"/>
        <item x="1098"/>
        <item x="1097"/>
        <item x="2214"/>
        <item x="1096"/>
        <item x="1095"/>
        <item x="1094"/>
        <item x="1093"/>
        <item x="1092"/>
        <item x="1091"/>
        <item x="1090"/>
        <item x="1089"/>
        <item x="1088"/>
        <item x="1087"/>
        <item x="2213"/>
        <item x="1086"/>
        <item x="1085"/>
        <item x="1084"/>
        <item x="1083"/>
        <item x="1082"/>
        <item x="1081"/>
        <item x="1080"/>
        <item x="1079"/>
        <item x="1078"/>
        <item x="1077"/>
        <item x="2212"/>
        <item x="1076"/>
        <item x="1075"/>
        <item x="1074"/>
        <item x="1073"/>
        <item x="1072"/>
        <item x="1071"/>
        <item x="1070"/>
        <item x="1069"/>
        <item x="1068"/>
        <item x="1067"/>
        <item x="2211"/>
        <item x="1066"/>
        <item x="1065"/>
        <item x="1064"/>
        <item x="1063"/>
        <item x="1062"/>
        <item x="1061"/>
        <item x="1060"/>
        <item x="1059"/>
        <item x="1058"/>
        <item x="1057"/>
        <item x="2210"/>
        <item x="1056"/>
        <item x="1055"/>
        <item x="1054"/>
        <item x="1053"/>
        <item x="1052"/>
        <item x="1051"/>
        <item x="1050"/>
        <item x="1049"/>
        <item x="1048"/>
        <item x="1047"/>
        <item x="2209"/>
        <item x="1046"/>
        <item x="1045"/>
        <item x="1044"/>
        <item x="1043"/>
        <item x="1042"/>
        <item x="1041"/>
        <item x="1040"/>
        <item x="1039"/>
        <item x="1038"/>
        <item x="1037"/>
        <item x="2325"/>
        <item x="2208"/>
        <item x="1036"/>
        <item x="1035"/>
        <item x="1034"/>
        <item x="1033"/>
        <item x="1032"/>
        <item x="1031"/>
        <item x="1030"/>
        <item x="1029"/>
        <item x="1028"/>
        <item x="1027"/>
        <item x="2207"/>
        <item x="1026"/>
        <item x="1025"/>
        <item x="1024"/>
        <item x="1023"/>
        <item x="1022"/>
        <item x="1021"/>
        <item x="1020"/>
        <item x="1019"/>
        <item x="1018"/>
        <item x="1017"/>
        <item x="2206"/>
        <item x="1016"/>
        <item x="1015"/>
        <item x="1014"/>
        <item x="1013"/>
        <item x="1012"/>
        <item x="1011"/>
        <item x="1010"/>
        <item x="1009"/>
        <item x="1008"/>
        <item x="1007"/>
        <item x="2205"/>
        <item x="1006"/>
        <item x="1005"/>
        <item x="1004"/>
        <item x="1003"/>
        <item x="1002"/>
        <item x="1001"/>
        <item x="1000"/>
        <item x="999"/>
        <item x="998"/>
        <item x="997"/>
        <item x="2204"/>
        <item x="996"/>
        <item x="995"/>
        <item x="994"/>
        <item x="993"/>
        <item x="992"/>
        <item x="991"/>
        <item x="990"/>
        <item x="989"/>
        <item x="988"/>
        <item x="987"/>
        <item x="2203"/>
        <item x="986"/>
        <item x="985"/>
        <item x="984"/>
        <item x="983"/>
        <item x="982"/>
        <item x="981"/>
        <item x="980"/>
        <item x="979"/>
        <item x="978"/>
        <item x="977"/>
        <item x="2202"/>
        <item x="976"/>
        <item x="975"/>
        <item x="974"/>
        <item x="973"/>
        <item x="972"/>
        <item x="971"/>
        <item x="970"/>
        <item x="969"/>
        <item x="968"/>
        <item x="967"/>
        <item x="2201"/>
        <item x="966"/>
        <item x="965"/>
        <item x="964"/>
        <item x="963"/>
        <item x="962"/>
        <item x="961"/>
        <item x="960"/>
        <item x="959"/>
        <item x="958"/>
        <item x="957"/>
        <item x="2200"/>
        <item x="956"/>
        <item x="955"/>
        <item x="954"/>
        <item x="953"/>
        <item x="952"/>
        <item x="951"/>
        <item x="950"/>
        <item x="949"/>
        <item x="948"/>
        <item x="947"/>
        <item x="2199"/>
        <item x="946"/>
        <item x="945"/>
        <item x="944"/>
        <item x="943"/>
        <item x="942"/>
        <item x="941"/>
        <item x="940"/>
        <item x="939"/>
        <item x="938"/>
        <item x="937"/>
        <item x="2324"/>
        <item x="2198"/>
        <item x="936"/>
        <item x="935"/>
        <item x="934"/>
        <item x="933"/>
        <item x="932"/>
        <item x="931"/>
        <item x="930"/>
        <item x="929"/>
        <item x="928"/>
        <item x="927"/>
        <item x="2197"/>
        <item x="926"/>
        <item x="925"/>
        <item x="924"/>
        <item x="923"/>
        <item x="922"/>
        <item x="921"/>
        <item x="920"/>
        <item x="919"/>
        <item x="918"/>
        <item x="917"/>
        <item x="2196"/>
        <item x="916"/>
        <item x="915"/>
        <item x="914"/>
        <item x="913"/>
        <item x="912"/>
        <item x="911"/>
        <item x="910"/>
        <item x="909"/>
        <item x="908"/>
        <item x="907"/>
        <item x="2195"/>
        <item x="906"/>
        <item x="905"/>
        <item x="904"/>
        <item x="903"/>
        <item x="902"/>
        <item x="901"/>
        <item x="900"/>
        <item x="899"/>
        <item x="898"/>
        <item x="897"/>
        <item x="2194"/>
        <item x="896"/>
        <item x="895"/>
        <item x="894"/>
        <item x="893"/>
        <item x="892"/>
        <item x="891"/>
        <item x="890"/>
        <item x="889"/>
        <item x="888"/>
        <item x="887"/>
        <item x="2193"/>
        <item x="886"/>
        <item x="885"/>
        <item x="884"/>
        <item x="883"/>
        <item x="882"/>
        <item x="881"/>
        <item x="880"/>
        <item x="879"/>
        <item x="878"/>
        <item x="877"/>
        <item x="2192"/>
        <item x="876"/>
        <item x="875"/>
        <item x="874"/>
        <item x="873"/>
        <item x="872"/>
        <item x="871"/>
        <item x="870"/>
        <item x="869"/>
        <item x="868"/>
        <item x="867"/>
        <item x="2191"/>
        <item x="866"/>
        <item x="865"/>
        <item x="864"/>
        <item x="863"/>
        <item x="862"/>
        <item x="861"/>
        <item x="860"/>
        <item x="859"/>
        <item x="858"/>
        <item x="857"/>
        <item x="2190"/>
        <item x="856"/>
        <item x="855"/>
        <item x="854"/>
        <item x="853"/>
        <item x="852"/>
        <item x="851"/>
        <item x="850"/>
        <item x="849"/>
        <item x="848"/>
        <item x="847"/>
        <item x="2189"/>
        <item x="846"/>
        <item x="845"/>
        <item x="844"/>
        <item x="843"/>
        <item x="842"/>
        <item x="841"/>
        <item x="840"/>
        <item x="839"/>
        <item x="838"/>
        <item x="837"/>
        <item x="2323"/>
        <item x="2188"/>
        <item x="836"/>
        <item x="835"/>
        <item x="834"/>
        <item x="833"/>
        <item x="832"/>
        <item x="831"/>
        <item x="830"/>
        <item x="829"/>
        <item x="828"/>
        <item x="827"/>
        <item x="2187"/>
        <item x="826"/>
        <item x="825"/>
        <item x="824"/>
        <item x="823"/>
        <item x="822"/>
        <item x="821"/>
        <item x="820"/>
        <item x="819"/>
        <item x="818"/>
        <item x="817"/>
        <item x="2186"/>
        <item x="816"/>
        <item x="815"/>
        <item x="814"/>
        <item x="813"/>
        <item x="812"/>
        <item x="811"/>
        <item x="810"/>
        <item x="809"/>
        <item x="808"/>
        <item x="807"/>
        <item x="2185"/>
        <item x="806"/>
        <item x="805"/>
        <item x="804"/>
        <item x="803"/>
        <item x="802"/>
        <item x="801"/>
        <item x="800"/>
        <item x="799"/>
        <item x="798"/>
        <item x="797"/>
        <item x="2184"/>
        <item x="796"/>
        <item x="795"/>
        <item x="794"/>
        <item x="793"/>
        <item x="792"/>
        <item x="791"/>
        <item x="790"/>
        <item x="789"/>
        <item x="788"/>
        <item x="787"/>
        <item x="2183"/>
        <item x="786"/>
        <item x="785"/>
        <item x="784"/>
        <item x="783"/>
        <item x="782"/>
        <item x="781"/>
        <item x="780"/>
        <item x="779"/>
        <item x="778"/>
        <item x="777"/>
        <item x="2182"/>
        <item x="776"/>
        <item x="775"/>
        <item x="774"/>
        <item x="773"/>
        <item x="772"/>
        <item x="771"/>
        <item x="770"/>
        <item x="769"/>
        <item x="768"/>
        <item x="767"/>
        <item x="2181"/>
        <item x="766"/>
        <item x="765"/>
        <item x="764"/>
        <item x="763"/>
        <item x="762"/>
        <item x="761"/>
        <item x="760"/>
        <item x="759"/>
        <item x="758"/>
        <item x="757"/>
        <item x="2180"/>
        <item x="756"/>
        <item x="755"/>
        <item x="754"/>
        <item x="753"/>
        <item x="752"/>
        <item x="751"/>
        <item x="750"/>
        <item x="749"/>
        <item x="748"/>
        <item x="747"/>
        <item x="2179"/>
        <item x="746"/>
        <item x="745"/>
        <item x="744"/>
        <item x="743"/>
        <item x="742"/>
        <item x="741"/>
        <item x="740"/>
        <item x="739"/>
        <item x="738"/>
        <item x="737"/>
        <item x="2322"/>
        <item x="2178"/>
        <item x="736"/>
        <item x="735"/>
        <item x="734"/>
        <item x="733"/>
        <item x="732"/>
        <item x="731"/>
        <item x="730"/>
        <item x="729"/>
        <item x="728"/>
        <item x="727"/>
        <item x="2177"/>
        <item x="726"/>
        <item x="725"/>
        <item x="724"/>
        <item x="723"/>
        <item x="722"/>
        <item x="721"/>
        <item x="720"/>
        <item x="719"/>
        <item x="718"/>
        <item x="717"/>
        <item x="2176"/>
        <item x="716"/>
        <item x="715"/>
        <item x="714"/>
        <item x="713"/>
        <item x="712"/>
        <item x="711"/>
        <item x="710"/>
        <item x="709"/>
        <item x="708"/>
        <item x="707"/>
        <item x="2175"/>
        <item x="706"/>
        <item x="705"/>
        <item x="704"/>
        <item x="703"/>
        <item x="702"/>
        <item x="701"/>
        <item x="700"/>
        <item x="699"/>
        <item x="698"/>
        <item x="697"/>
        <item x="2174"/>
        <item x="696"/>
        <item x="695"/>
        <item x="694"/>
        <item x="693"/>
        <item x="692"/>
        <item x="691"/>
        <item x="690"/>
        <item x="689"/>
        <item x="688"/>
        <item x="687"/>
        <item x="2173"/>
        <item x="686"/>
        <item x="685"/>
        <item x="684"/>
        <item x="683"/>
        <item x="682"/>
        <item x="681"/>
        <item x="680"/>
        <item x="679"/>
        <item x="678"/>
        <item x="677"/>
        <item x="2172"/>
        <item x="676"/>
        <item x="675"/>
        <item x="674"/>
        <item x="673"/>
        <item x="672"/>
        <item x="671"/>
        <item x="670"/>
        <item x="669"/>
        <item x="668"/>
        <item x="667"/>
        <item x="2171"/>
        <item x="666"/>
        <item x="665"/>
        <item x="664"/>
        <item x="663"/>
        <item x="662"/>
        <item x="661"/>
        <item x="660"/>
        <item x="659"/>
        <item x="658"/>
        <item x="657"/>
        <item x="2170"/>
        <item x="656"/>
        <item x="655"/>
        <item x="654"/>
        <item x="653"/>
        <item x="652"/>
        <item x="651"/>
        <item x="650"/>
        <item x="649"/>
        <item x="648"/>
        <item x="647"/>
        <item x="2169"/>
        <item x="646"/>
        <item x="645"/>
        <item x="644"/>
        <item x="643"/>
        <item x="642"/>
        <item x="641"/>
        <item x="640"/>
        <item x="639"/>
        <item x="638"/>
        <item x="637"/>
        <item x="2321"/>
        <item x="2168"/>
        <item x="636"/>
        <item x="635"/>
        <item x="634"/>
        <item x="633"/>
        <item x="632"/>
        <item x="631"/>
        <item x="630"/>
        <item x="629"/>
        <item x="628"/>
        <item x="627"/>
        <item x="2167"/>
        <item x="626"/>
        <item x="625"/>
        <item x="624"/>
        <item x="623"/>
        <item x="622"/>
        <item x="621"/>
        <item x="620"/>
        <item x="619"/>
        <item x="618"/>
        <item x="617"/>
        <item x="2166"/>
        <item x="616"/>
        <item x="615"/>
        <item x="614"/>
        <item x="613"/>
        <item x="612"/>
        <item x="611"/>
        <item x="610"/>
        <item x="609"/>
        <item x="608"/>
        <item x="607"/>
        <item x="2165"/>
        <item x="606"/>
        <item x="605"/>
        <item x="604"/>
        <item x="603"/>
        <item x="602"/>
        <item x="601"/>
        <item x="600"/>
        <item x="599"/>
        <item x="598"/>
        <item x="597"/>
        <item x="2164"/>
        <item x="596"/>
        <item x="595"/>
        <item x="594"/>
        <item x="593"/>
        <item x="592"/>
        <item x="591"/>
        <item x="590"/>
        <item x="589"/>
        <item x="588"/>
        <item x="587"/>
        <item x="2163"/>
        <item x="586"/>
        <item x="585"/>
        <item x="584"/>
        <item x="583"/>
        <item x="582"/>
        <item x="581"/>
        <item x="580"/>
        <item x="579"/>
        <item x="578"/>
        <item x="577"/>
        <item x="2162"/>
        <item x="576"/>
        <item x="575"/>
        <item x="574"/>
        <item x="573"/>
        <item x="572"/>
        <item x="571"/>
        <item x="570"/>
        <item x="569"/>
        <item x="568"/>
        <item x="567"/>
        <item x="2161"/>
        <item x="566"/>
        <item x="565"/>
        <item x="564"/>
        <item x="563"/>
        <item x="562"/>
        <item x="561"/>
        <item x="560"/>
        <item x="559"/>
        <item x="558"/>
        <item x="557"/>
        <item x="2160"/>
        <item x="556"/>
        <item x="555"/>
        <item x="554"/>
        <item x="553"/>
        <item x="552"/>
        <item x="551"/>
        <item x="550"/>
        <item x="549"/>
        <item x="548"/>
        <item x="547"/>
        <item x="2159"/>
        <item x="546"/>
        <item x="545"/>
        <item x="544"/>
        <item x="543"/>
        <item x="542"/>
        <item x="541"/>
        <item x="540"/>
        <item x="539"/>
        <item x="538"/>
        <item x="537"/>
        <item x="2320"/>
        <item x="2158"/>
        <item x="536"/>
        <item x="535"/>
        <item x="534"/>
        <item x="533"/>
        <item x="532"/>
        <item x="531"/>
        <item x="530"/>
        <item x="529"/>
        <item x="528"/>
        <item x="527"/>
        <item x="2157"/>
        <item x="526"/>
        <item x="525"/>
        <item x="524"/>
        <item x="523"/>
        <item x="522"/>
        <item x="521"/>
        <item x="520"/>
        <item x="519"/>
        <item x="518"/>
        <item x="517"/>
        <item x="2156"/>
        <item x="516"/>
        <item x="515"/>
        <item x="514"/>
        <item x="513"/>
        <item x="512"/>
        <item x="511"/>
        <item x="510"/>
        <item x="509"/>
        <item x="508"/>
        <item x="507"/>
        <item x="2155"/>
        <item x="506"/>
        <item x="505"/>
        <item x="504"/>
        <item x="503"/>
        <item x="502"/>
        <item x="501"/>
        <item x="500"/>
        <item x="499"/>
        <item x="498"/>
        <item x="497"/>
        <item x="2154"/>
        <item x="496"/>
        <item x="495"/>
        <item x="494"/>
        <item x="493"/>
        <item x="492"/>
        <item x="491"/>
        <item x="490"/>
        <item x="489"/>
        <item x="488"/>
        <item x="487"/>
        <item x="2153"/>
        <item x="486"/>
        <item x="485"/>
        <item x="484"/>
        <item x="483"/>
        <item x="482"/>
        <item x="481"/>
        <item x="480"/>
        <item x="479"/>
        <item x="478"/>
        <item x="477"/>
        <item x="2152"/>
        <item x="476"/>
        <item x="475"/>
        <item x="474"/>
        <item x="473"/>
        <item x="472"/>
        <item x="471"/>
        <item x="470"/>
        <item x="469"/>
        <item x="468"/>
        <item x="467"/>
        <item x="2151"/>
        <item x="466"/>
        <item x="465"/>
        <item x="464"/>
        <item x="463"/>
        <item x="462"/>
        <item x="461"/>
        <item x="460"/>
        <item x="459"/>
        <item x="458"/>
        <item x="457"/>
        <item x="2150"/>
        <item x="456"/>
        <item x="455"/>
        <item x="454"/>
        <item x="453"/>
        <item x="452"/>
        <item x="451"/>
        <item x="450"/>
        <item x="449"/>
        <item x="448"/>
        <item x="447"/>
        <item x="2149"/>
        <item x="446"/>
        <item x="445"/>
        <item x="444"/>
        <item x="443"/>
        <item x="442"/>
        <item x="441"/>
        <item x="440"/>
        <item x="439"/>
        <item x="438"/>
        <item x="437"/>
        <item x="2319"/>
        <item x="2148"/>
        <item x="436"/>
        <item x="435"/>
        <item x="434"/>
        <item x="433"/>
        <item x="432"/>
        <item x="431"/>
        <item x="430"/>
        <item x="429"/>
        <item x="428"/>
        <item x="427"/>
        <item x="2147"/>
        <item x="426"/>
        <item x="425"/>
        <item x="424"/>
        <item x="423"/>
        <item x="422"/>
        <item x="421"/>
        <item x="420"/>
        <item x="419"/>
        <item x="418"/>
        <item x="417"/>
        <item x="2146"/>
        <item x="416"/>
        <item x="415"/>
        <item x="414"/>
        <item x="413"/>
        <item x="412"/>
        <item x="411"/>
        <item x="410"/>
        <item x="409"/>
        <item x="408"/>
        <item x="407"/>
        <item x="2145"/>
        <item x="406"/>
        <item x="405"/>
        <item x="404"/>
        <item x="403"/>
        <item x="402"/>
        <item x="401"/>
        <item x="400"/>
        <item x="399"/>
        <item x="398"/>
        <item x="397"/>
        <item x="2144"/>
        <item x="396"/>
        <item x="395"/>
        <item x="394"/>
        <item x="393"/>
        <item x="392"/>
        <item x="391"/>
        <item x="390"/>
        <item x="389"/>
        <item x="388"/>
        <item x="387"/>
        <item x="2143"/>
        <item x="386"/>
        <item x="385"/>
        <item x="384"/>
        <item x="383"/>
        <item x="382"/>
        <item x="381"/>
        <item x="380"/>
        <item x="379"/>
        <item x="378"/>
        <item x="377"/>
        <item x="2142"/>
        <item x="376"/>
        <item x="375"/>
        <item x="374"/>
        <item x="373"/>
        <item x="372"/>
        <item x="371"/>
        <item x="370"/>
        <item x="369"/>
        <item x="368"/>
        <item x="367"/>
        <item x="2141"/>
        <item x="366"/>
        <item x="365"/>
        <item x="364"/>
        <item x="363"/>
        <item x="362"/>
        <item x="361"/>
        <item x="360"/>
        <item x="359"/>
        <item x="358"/>
        <item x="357"/>
        <item x="2140"/>
        <item x="356"/>
        <item x="355"/>
        <item x="354"/>
        <item x="353"/>
        <item x="352"/>
        <item x="351"/>
        <item x="350"/>
        <item x="349"/>
        <item x="348"/>
        <item x="347"/>
        <item x="2139"/>
        <item x="346"/>
        <item x="345"/>
        <item x="344"/>
        <item x="343"/>
        <item x="342"/>
        <item x="341"/>
        <item x="340"/>
        <item x="339"/>
        <item x="338"/>
        <item x="337"/>
        <item x="2336"/>
        <item x="2318"/>
        <item x="2138"/>
        <item x="336"/>
        <item x="335"/>
        <item x="334"/>
        <item x="333"/>
        <item x="332"/>
        <item x="331"/>
        <item x="330"/>
        <item x="329"/>
        <item x="328"/>
        <item x="327"/>
        <item x="2137"/>
        <item x="326"/>
        <item x="325"/>
        <item x="324"/>
        <item x="323"/>
        <item x="322"/>
        <item x="321"/>
        <item x="320"/>
        <item x="319"/>
        <item x="318"/>
        <item x="317"/>
        <item x="2136"/>
        <item x="316"/>
        <item x="315"/>
        <item x="314"/>
        <item x="313"/>
        <item x="312"/>
        <item x="311"/>
        <item x="310"/>
        <item x="309"/>
        <item x="308"/>
        <item x="307"/>
        <item x="2135"/>
        <item x="306"/>
        <item x="305"/>
        <item x="304"/>
        <item x="303"/>
        <item x="302"/>
        <item x="301"/>
        <item x="300"/>
        <item x="299"/>
        <item x="298"/>
        <item x="297"/>
        <item x="2134"/>
        <item x="296"/>
        <item x="295"/>
        <item x="294"/>
        <item x="293"/>
        <item x="292"/>
        <item x="291"/>
        <item x="290"/>
        <item x="289"/>
        <item x="288"/>
        <item x="287"/>
        <item x="2133"/>
        <item x="286"/>
        <item x="285"/>
        <item x="284"/>
        <item x="283"/>
        <item x="282"/>
        <item x="281"/>
        <item x="280"/>
        <item x="279"/>
        <item x="278"/>
        <item x="277"/>
        <item x="2132"/>
        <item x="276"/>
        <item x="275"/>
        <item x="274"/>
        <item x="273"/>
        <item x="272"/>
        <item x="271"/>
        <item x="270"/>
        <item x="269"/>
        <item x="268"/>
        <item x="267"/>
        <item x="2131"/>
        <item x="266"/>
        <item x="265"/>
        <item x="264"/>
        <item x="263"/>
        <item x="262"/>
        <item x="261"/>
        <item x="260"/>
        <item x="259"/>
        <item x="258"/>
        <item x="257"/>
        <item x="2130"/>
        <item x="256"/>
        <item x="255"/>
        <item x="254"/>
        <item x="253"/>
        <item x="252"/>
        <item x="251"/>
        <item x="250"/>
        <item x="249"/>
        <item x="248"/>
        <item x="247"/>
        <item x="2129"/>
        <item x="246"/>
        <item x="245"/>
        <item x="244"/>
        <item x="243"/>
        <item x="242"/>
        <item x="241"/>
        <item x="240"/>
        <item x="239"/>
        <item x="238"/>
        <item x="237"/>
        <item x="2317"/>
        <item x="2128"/>
        <item x="236"/>
        <item x="235"/>
        <item x="234"/>
        <item x="233"/>
        <item x="232"/>
        <item x="231"/>
        <item x="230"/>
        <item x="229"/>
        <item x="228"/>
        <item x="227"/>
        <item x="2127"/>
        <item x="226"/>
        <item x="225"/>
        <item x="224"/>
        <item x="223"/>
        <item x="222"/>
        <item x="221"/>
        <item x="220"/>
        <item x="219"/>
        <item x="218"/>
        <item x="217"/>
        <item x="2126"/>
        <item x="216"/>
        <item x="215"/>
        <item x="214"/>
        <item x="213"/>
        <item x="212"/>
        <item x="211"/>
        <item x="210"/>
        <item x="209"/>
        <item x="208"/>
        <item x="207"/>
        <item x="2125"/>
        <item x="206"/>
        <item x="205"/>
        <item x="204"/>
        <item x="203"/>
        <item x="202"/>
        <item x="201"/>
        <item x="200"/>
        <item x="199"/>
        <item x="198"/>
        <item x="197"/>
        <item x="2124"/>
        <item x="196"/>
        <item x="195"/>
        <item x="194"/>
        <item x="193"/>
        <item x="192"/>
        <item x="191"/>
        <item x="190"/>
        <item x="189"/>
        <item x="188"/>
        <item x="187"/>
        <item x="2123"/>
        <item x="186"/>
        <item x="185"/>
        <item x="184"/>
        <item x="183"/>
        <item x="182"/>
        <item x="181"/>
        <item x="180"/>
        <item x="179"/>
        <item x="178"/>
        <item x="177"/>
        <item x="2122"/>
        <item x="176"/>
        <item x="175"/>
        <item x="174"/>
        <item x="173"/>
        <item x="172"/>
        <item x="171"/>
        <item x="170"/>
        <item x="169"/>
        <item x="168"/>
        <item x="167"/>
        <item x="2121"/>
        <item x="166"/>
        <item x="165"/>
        <item x="164"/>
        <item x="163"/>
        <item x="162"/>
        <item x="161"/>
        <item x="160"/>
        <item x="159"/>
        <item x="158"/>
        <item x="157"/>
        <item x="2120"/>
        <item x="156"/>
        <item x="155"/>
        <item x="154"/>
        <item x="153"/>
        <item x="152"/>
        <item x="151"/>
        <item x="150"/>
        <item x="149"/>
        <item x="148"/>
        <item x="147"/>
        <item x="2119"/>
        <item x="146"/>
        <item x="145"/>
        <item x="144"/>
        <item x="143"/>
        <item x="142"/>
        <item x="141"/>
        <item x="140"/>
        <item x="139"/>
        <item x="138"/>
        <item x="137"/>
        <item x="2316"/>
        <item x="2118"/>
        <item x="136"/>
        <item x="135"/>
        <item x="134"/>
        <item x="133"/>
        <item x="132"/>
        <item x="131"/>
        <item x="130"/>
        <item x="129"/>
        <item x="128"/>
        <item x="127"/>
        <item x="2117"/>
        <item x="126"/>
        <item x="125"/>
        <item x="124"/>
        <item x="123"/>
        <item x="122"/>
        <item x="121"/>
        <item x="120"/>
        <item x="119"/>
        <item x="118"/>
        <item x="117"/>
        <item x="2116"/>
        <item x="116"/>
        <item x="115"/>
        <item x="114"/>
        <item x="113"/>
        <item x="112"/>
        <item x="111"/>
        <item x="110"/>
        <item x="109"/>
        <item x="108"/>
        <item x="107"/>
        <item x="2115"/>
        <item x="106"/>
        <item x="105"/>
        <item x="104"/>
        <item x="103"/>
        <item x="102"/>
        <item x="101"/>
        <item x="100"/>
        <item x="99"/>
        <item x="98"/>
        <item x="97"/>
        <item x="2114"/>
        <item x="96"/>
        <item x="95"/>
        <item x="94"/>
        <item x="93"/>
        <item x="92"/>
        <item x="91"/>
        <item x="90"/>
        <item x="89"/>
        <item x="88"/>
        <item x="87"/>
        <item x="2113"/>
        <item x="86"/>
        <item x="85"/>
        <item x="84"/>
        <item x="83"/>
        <item x="82"/>
        <item x="81"/>
        <item x="80"/>
        <item x="79"/>
        <item x="78"/>
        <item x="77"/>
        <item x="2112"/>
        <item x="76"/>
        <item x="75"/>
        <item x="74"/>
        <item x="73"/>
        <item x="72"/>
        <item x="71"/>
        <item x="70"/>
        <item x="69"/>
        <item x="68"/>
        <item x="67"/>
        <item x="2111"/>
        <item x="66"/>
        <item x="65"/>
        <item x="64"/>
        <item x="63"/>
        <item x="62"/>
        <item x="61"/>
        <item x="60"/>
        <item x="59"/>
        <item x="58"/>
        <item x="57"/>
        <item x="2110"/>
        <item x="56"/>
        <item x="55"/>
        <item x="54"/>
        <item x="52"/>
        <item x="51"/>
        <item x="50"/>
        <item x="49"/>
        <item x="48"/>
        <item x="47"/>
        <item x="46"/>
        <item x="2109"/>
        <item x="45"/>
        <item x="43"/>
        <item x="42"/>
        <item x="41"/>
        <item x="40"/>
        <item x="53"/>
        <item x="39"/>
        <item x="38"/>
        <item x="37"/>
        <item x="36"/>
        <item x="2315"/>
        <item x="2108"/>
        <item x="35"/>
        <item x="34"/>
        <item x="33"/>
        <item x="32"/>
        <item x="31"/>
        <item x="30"/>
        <item x="29"/>
        <item x="28"/>
        <item x="27"/>
        <item x="26"/>
        <item x="2107"/>
        <item x="25"/>
        <item x="24"/>
        <item x="23"/>
        <item x="22"/>
        <item x="21"/>
        <item x="20"/>
        <item x="19"/>
        <item x="18"/>
        <item x="17"/>
        <item x="16"/>
        <item x="2106"/>
        <item x="15"/>
        <item x="14"/>
        <item x="13"/>
        <item x="12"/>
        <item x="11"/>
        <item x="10"/>
        <item x="9"/>
        <item x="8"/>
        <item x="7"/>
        <item x="6"/>
        <item x="2105"/>
        <item x="5"/>
        <item x="4"/>
        <item x="3"/>
        <item x="2"/>
        <item x="1"/>
        <item x="0"/>
        <item x="2104"/>
        <item x="2103"/>
        <item x="2102"/>
        <item x="2101"/>
        <item x="2100"/>
        <item x="2099"/>
        <item x="2314"/>
        <item x="2098"/>
        <item x="2097"/>
        <item x="2095"/>
        <item x="2094"/>
        <item x="2093"/>
        <item x="1861"/>
        <item x="2092"/>
        <item x="2091"/>
        <item x="2090"/>
        <item x="2089"/>
        <item x="2088"/>
        <item x="2313"/>
        <item x="2087"/>
        <item x="2086"/>
        <item x="2085"/>
        <item x="2084"/>
        <item x="2083"/>
        <item x="2082"/>
        <item x="2081"/>
        <item x="2080"/>
        <item x="2079"/>
        <item x="2078"/>
        <item x="2312"/>
        <item x="2077"/>
        <item x="2076"/>
        <item x="2075"/>
        <item x="2074"/>
        <item x="2073"/>
        <item x="2072"/>
        <item x="2071"/>
        <item x="2070"/>
        <item x="2069"/>
        <item x="2068"/>
        <item x="2311"/>
        <item x="2067"/>
        <item x="2066"/>
        <item x="2065"/>
        <item x="2064"/>
        <item x="2063"/>
        <item x="2062"/>
        <item x="2061"/>
        <item x="2060"/>
        <item x="2059"/>
        <item x="2058"/>
        <item x="2310"/>
        <item x="2057"/>
        <item x="2056"/>
        <item x="2055"/>
        <item x="2054"/>
        <item x="2053"/>
        <item x="2052"/>
        <item x="2051"/>
        <item x="2050"/>
        <item x="2049"/>
        <item x="2048"/>
        <item x="2309"/>
        <item x="2047"/>
        <item x="2046"/>
        <item x="2045"/>
        <item x="2044"/>
        <item x="2043"/>
        <item x="2042"/>
        <item x="2041"/>
        <item x="2040"/>
        <item x="2039"/>
        <item x="2038"/>
        <item x="2335"/>
        <item x="2308"/>
        <item x="2037"/>
        <item x="2036"/>
        <item x="2035"/>
        <item x="2034"/>
        <item x="2033"/>
        <item x="2032"/>
        <item x="2031"/>
        <item x="2030"/>
        <item x="2029"/>
        <item x="2028"/>
        <item x="2307"/>
        <item x="2027"/>
        <item x="2026"/>
        <item x="2025"/>
        <item x="2024"/>
        <item x="2023"/>
        <item x="2022"/>
        <item x="2021"/>
        <item x="2020"/>
        <item x="2019"/>
        <item x="2018"/>
        <item x="2306"/>
        <item x="2017"/>
        <item x="2016"/>
        <item x="2015"/>
        <item x="2014"/>
        <item x="2013"/>
        <item x="2012"/>
        <item x="2011"/>
        <item x="2010"/>
        <item x="2009"/>
        <item x="2008"/>
        <item x="2305"/>
        <item x="2007"/>
        <item x="2006"/>
        <item x="2005"/>
        <item x="2004"/>
        <item x="2003"/>
        <item x="2002"/>
        <item x="2001"/>
        <item x="2000"/>
        <item x="1999"/>
        <item x="1998"/>
        <item x="2304"/>
        <item x="1997"/>
        <item x="1996"/>
        <item x="1995"/>
        <item x="1994"/>
        <item x="1993"/>
        <item x="2096"/>
        <item x="1992"/>
        <item x="1991"/>
        <item x="1990"/>
        <item x="1989"/>
        <item x="1988"/>
        <item x="2303"/>
        <item x="1987"/>
        <item x="1986"/>
        <item x="1985"/>
        <item x="1984"/>
        <item x="1983"/>
        <item x="1982"/>
        <item x="1981"/>
        <item x="1980"/>
        <item x="1979"/>
        <item x="1978"/>
        <item x="2302"/>
        <item x="1977"/>
        <item x="1976"/>
        <item x="1975"/>
        <item x="1974"/>
        <item x="1973"/>
        <item x="1972"/>
        <item x="1971"/>
        <item x="1970"/>
        <item x="1969"/>
        <item x="1968"/>
        <item x="2301"/>
        <item x="1967"/>
        <item x="1966"/>
        <item x="1965"/>
        <item x="1964"/>
        <item x="1963"/>
        <item x="1962"/>
        <item x="1961"/>
        <item x="1960"/>
        <item x="1959"/>
        <item x="1958"/>
        <item x="2300"/>
        <item x="1957"/>
        <item x="1956"/>
        <item x="1955"/>
        <item x="1954"/>
        <item x="1953"/>
        <item x="1952"/>
        <item x="1951"/>
        <item x="1950"/>
        <item x="1949"/>
        <item x="1948"/>
        <item x="2299"/>
        <item x="1947"/>
        <item x="1946"/>
        <item x="1945"/>
        <item x="1944"/>
        <item x="1943"/>
        <item x="1942"/>
        <item x="1941"/>
        <item x="1940"/>
        <item x="1939"/>
        <item x="1938"/>
        <item x="2334"/>
        <item x="2298"/>
        <item x="1937"/>
        <item x="1936"/>
        <item x="1935"/>
        <item x="1934"/>
        <item x="1933"/>
        <item x="1932"/>
        <item x="1931"/>
        <item x="1930"/>
        <item x="1929"/>
        <item x="1928"/>
        <item x="2297"/>
        <item x="1927"/>
        <item x="1926"/>
        <item x="1925"/>
        <item x="1924"/>
        <item x="1923"/>
        <item x="1922"/>
        <item x="1921"/>
        <item x="1920"/>
        <item x="1919"/>
        <item x="1918"/>
        <item x="2296"/>
        <item x="1917"/>
        <item x="1916"/>
        <item x="1915"/>
        <item x="1914"/>
        <item x="1913"/>
        <item x="1912"/>
        <item x="1911"/>
        <item x="1910"/>
        <item x="1909"/>
        <item x="1908"/>
        <item x="2295"/>
        <item x="1907"/>
        <item x="1906"/>
        <item x="1905"/>
        <item x="1904"/>
        <item x="1903"/>
        <item x="1902"/>
        <item x="1901"/>
        <item x="1900"/>
        <item x="1899"/>
        <item x="1898"/>
        <item x="2294"/>
        <item x="1897"/>
        <item x="1896"/>
        <item x="1895"/>
        <item x="1894"/>
        <item x="1893"/>
        <item x="1892"/>
        <item x="1891"/>
        <item x="1890"/>
        <item x="1889"/>
        <item x="1888"/>
        <item x="2293"/>
        <item x="1887"/>
        <item x="1886"/>
        <item x="1885"/>
        <item x="1884"/>
        <item x="1883"/>
        <item x="1882"/>
        <item x="1881"/>
        <item x="1880"/>
        <item x="1879"/>
        <item x="1878"/>
        <item x="2292"/>
        <item x="1877"/>
        <item x="1876"/>
        <item x="1875"/>
        <item x="1874"/>
        <item x="1873"/>
        <item x="1872"/>
        <item x="1871"/>
        <item x="1870"/>
        <item x="1869"/>
        <item x="1868"/>
        <item x="2291"/>
        <item x="1867"/>
        <item x="1866"/>
        <item x="1865"/>
        <item x="1864"/>
        <item x="1863"/>
        <item x="1862"/>
        <item x="1860"/>
        <item x="1859"/>
        <item x="1858"/>
        <item x="1857"/>
        <item x="2290"/>
        <item x="1856"/>
        <item x="1855"/>
        <item x="1854"/>
        <item x="1853"/>
        <item x="1852"/>
        <item x="1851"/>
        <item x="1850"/>
        <item x="1849"/>
        <item x="1848"/>
        <item x="1847"/>
        <item x="2289"/>
        <item x="1846"/>
        <item x="1845"/>
        <item x="1844"/>
        <item x="1843"/>
        <item x="1842"/>
        <item x="1841"/>
        <item x="1840"/>
        <item x="1839"/>
        <item x="1838"/>
        <item x="1837"/>
        <item x="2333"/>
        <item x="2288"/>
        <item x="1836"/>
        <item x="1835"/>
        <item x="1834"/>
        <item x="1833"/>
        <item x="1832"/>
        <item x="1831"/>
        <item x="1830"/>
        <item x="1829"/>
        <item x="1828"/>
        <item x="1827"/>
        <item x="2287"/>
        <item x="1826"/>
        <item x="1825"/>
        <item x="1824"/>
        <item x="1823"/>
        <item x="1822"/>
        <item x="1821"/>
        <item x="1820"/>
        <item x="1819"/>
        <item x="1818"/>
        <item x="1817"/>
        <item x="2286"/>
        <item x="1816"/>
        <item x="1815"/>
        <item x="1814"/>
        <item x="1813"/>
        <item x="1812"/>
        <item x="1811"/>
        <item x="1810"/>
        <item x="1809"/>
        <item x="1808"/>
        <item x="1807"/>
        <item x="2285"/>
        <item x="1806"/>
        <item x="1805"/>
        <item x="1804"/>
        <item x="1803"/>
        <item x="1802"/>
        <item x="1801"/>
        <item x="1800"/>
        <item x="1799"/>
        <item x="1798"/>
        <item x="1797"/>
        <item x="2284"/>
        <item x="1796"/>
        <item x="1795"/>
        <item x="1794"/>
        <item x="1793"/>
        <item x="1792"/>
        <item x="1791"/>
        <item x="1790"/>
        <item x="1789"/>
        <item x="1788"/>
        <item x="1787"/>
        <item x="2283"/>
        <item x="1786"/>
        <item x="1785"/>
        <item x="1784"/>
        <item x="1783"/>
        <item x="1782"/>
        <item x="1781"/>
        <item x="1780"/>
        <item x="1779"/>
        <item x="1778"/>
        <item x="1777"/>
        <item x="2282"/>
        <item x="1776"/>
        <item x="1775"/>
        <item x="1774"/>
        <item x="1773"/>
        <item x="1772"/>
        <item x="1771"/>
        <item x="1770"/>
        <item x="1769"/>
        <item x="1768"/>
        <item x="1767"/>
        <item x="2281"/>
        <item x="1766"/>
        <item x="1765"/>
        <item x="1764"/>
        <item x="1763"/>
        <item x="1762"/>
        <item x="1761"/>
        <item x="1760"/>
        <item x="1759"/>
        <item x="1758"/>
        <item x="1757"/>
        <item x="2280"/>
        <item x="1756"/>
        <item x="1755"/>
        <item x="1754"/>
        <item x="1753"/>
        <item x="1752"/>
        <item x="1751"/>
        <item x="1750"/>
        <item x="1749"/>
        <item x="1748"/>
        <item x="1747"/>
        <item x="2279"/>
        <item x="1746"/>
        <item x="1745"/>
        <item x="1744"/>
        <item x="1743"/>
        <item x="1742"/>
        <item x="1741"/>
        <item x="1740"/>
        <item x="1739"/>
        <item x="1738"/>
        <item x="1737"/>
        <item x="2332"/>
        <item x="2278"/>
        <item x="1736"/>
        <item x="1735"/>
        <item x="1734"/>
        <item x="1733"/>
        <item x="1732"/>
        <item x="1731"/>
        <item x="1730"/>
        <item x="1729"/>
        <item x="1728"/>
        <item x="1727"/>
        <item x="2277"/>
        <item x="1726"/>
        <item x="1725"/>
        <item x="1724"/>
        <item x="1723"/>
        <item x="1722"/>
        <item x="1721"/>
        <item x="1720"/>
        <item x="1719"/>
        <item x="1718"/>
        <item x="1717"/>
        <item x="2276"/>
        <item x="1716"/>
        <item x="1715"/>
        <item x="1714"/>
        <item x="1713"/>
        <item x="1712"/>
        <item x="1711"/>
        <item x="1710"/>
        <item x="1709"/>
        <item x="1708"/>
        <item x="1707"/>
        <item x="2275"/>
        <item x="1706"/>
        <item x="1705"/>
        <item x="1704"/>
        <item x="1703"/>
        <item x="1702"/>
        <item x="1701"/>
        <item x="1700"/>
        <item x="1699"/>
        <item x="1698"/>
        <item x="1697"/>
        <item x="2274"/>
        <item x="1696"/>
        <item x="1695"/>
        <item x="1694"/>
        <item x="1693"/>
        <item x="1692"/>
        <item x="1691"/>
        <item x="1690"/>
        <item x="1689"/>
        <item x="1688"/>
        <item x="1687"/>
        <item x="2273"/>
        <item x="1686"/>
        <item x="1685"/>
        <item x="1684"/>
        <item x="1683"/>
        <item x="1682"/>
        <item x="1681"/>
        <item x="1680"/>
        <item x="1679"/>
        <item x="1678"/>
        <item x="1677"/>
        <item x="2272"/>
        <item x="1676"/>
        <item x="1675"/>
        <item x="1674"/>
        <item x="1673"/>
        <item x="1672"/>
        <item x="1671"/>
        <item x="1670"/>
        <item x="1669"/>
        <item x="1668"/>
        <item x="1667"/>
        <item x="2271"/>
        <item x="1666"/>
        <item x="1665"/>
        <item x="1664"/>
        <item x="1663"/>
        <item x="1662"/>
        <item x="1661"/>
        <item x="1660"/>
        <item x="1659"/>
        <item x="1658"/>
        <item x="1657"/>
        <item x="2270"/>
        <item x="1656"/>
        <item x="1655"/>
        <item x="1654"/>
        <item x="1653"/>
        <item x="1652"/>
        <item x="1651"/>
        <item x="1650"/>
        <item x="1649"/>
        <item x="1648"/>
        <item x="1647"/>
        <item x="2269"/>
        <item x="1646"/>
        <item x="1645"/>
        <item x="1644"/>
        <item x="1643"/>
        <item x="1642"/>
        <item x="1641"/>
        <item x="1640"/>
        <item x="1639"/>
        <item x="1638"/>
        <item x="1637"/>
        <item x="2331"/>
        <item x="2268"/>
        <item x="1636"/>
        <item x="1635"/>
        <item x="1634"/>
        <item x="1633"/>
        <item x="1632"/>
        <item x="1631"/>
        <item x="1630"/>
        <item x="1629"/>
        <item x="1628"/>
        <item x="1627"/>
        <item x="2267"/>
        <item x="1626"/>
        <item x="1625"/>
        <item x="1624"/>
        <item x="1623"/>
        <item x="1622"/>
        <item x="1621"/>
        <item x="1620"/>
        <item x="1619"/>
        <item x="1618"/>
        <item x="1617"/>
        <item x="2266"/>
        <item x="1616"/>
        <item x="1615"/>
        <item x="1614"/>
        <item x="1613"/>
        <item x="1612"/>
        <item x="1611"/>
        <item x="1610"/>
        <item x="1609"/>
        <item x="1608"/>
        <item x="1607"/>
        <item x="2265"/>
        <item x="1606"/>
        <item x="1605"/>
        <item x="1604"/>
        <item x="1603"/>
        <item x="1602"/>
        <item x="1601"/>
        <item x="1600"/>
        <item x="1599"/>
        <item x="1598"/>
        <item x="1597"/>
        <item x="2264"/>
        <item x="1596"/>
        <item x="1595"/>
        <item x="1594"/>
        <item x="1593"/>
        <item x="1592"/>
        <item x="1591"/>
        <item x="1590"/>
        <item x="1589"/>
        <item x="1588"/>
        <item x="1587"/>
        <item x="2263"/>
        <item x="1586"/>
        <item x="1585"/>
        <item x="1584"/>
        <item x="1583"/>
        <item x="1582"/>
        <item x="1581"/>
        <item x="1580"/>
        <item x="1579"/>
        <item x="1578"/>
        <item x="1577"/>
        <item x="2262"/>
        <item x="1576"/>
        <item x="1575"/>
        <item x="1574"/>
        <item x="1573"/>
        <item x="1572"/>
        <item x="1571"/>
        <item x="1570"/>
        <item x="1569"/>
        <item x="1568"/>
        <item x="1567"/>
        <item x="2261"/>
        <item x="1566"/>
        <item x="1565"/>
        <item x="1564"/>
        <item x="1563"/>
        <item x="1562"/>
        <item x="1561"/>
        <item x="1560"/>
        <item x="1559"/>
        <item x="1558"/>
        <item x="1557"/>
        <item x="2260"/>
        <item x="1556"/>
        <item x="1555"/>
        <item x="1554"/>
        <item x="1553"/>
        <item x="1552"/>
        <item x="1551"/>
        <item x="1550"/>
        <item x="1549"/>
        <item x="1548"/>
        <item x="1547"/>
        <item x="2259"/>
        <item x="1546"/>
        <item x="1545"/>
        <item x="1544"/>
        <item x="1543"/>
        <item x="1542"/>
        <item x="1541"/>
        <item x="1540"/>
        <item x="1539"/>
        <item x="1538"/>
        <item x="1537"/>
        <item x="2330"/>
        <item x="2258"/>
        <item x="1536"/>
        <item x="1535"/>
        <item x="1534"/>
        <item x="1533"/>
        <item x="1532"/>
        <item x="1531"/>
        <item x="1530"/>
        <item x="1529"/>
        <item x="1528"/>
        <item x="1527"/>
        <item x="2257"/>
        <item x="1526"/>
        <item x="1525"/>
        <item x="1524"/>
        <item x="1523"/>
        <item x="1522"/>
        <item x="1521"/>
        <item x="1520"/>
        <item x="1519"/>
        <item x="1518"/>
        <item x="1517"/>
        <item x="2256"/>
        <item x="1516"/>
        <item x="1515"/>
        <item x="1514"/>
        <item x="1513"/>
        <item x="1512"/>
        <item x="1511"/>
        <item x="1510"/>
        <item x="1509"/>
        <item x="1508"/>
        <item x="1507"/>
        <item x="2255"/>
        <item x="1506"/>
        <item x="1505"/>
        <item x="1504"/>
        <item x="1503"/>
        <item x="1502"/>
        <item x="1501"/>
        <item x="1500"/>
        <item x="1499"/>
        <item x="1498"/>
        <item x="1497"/>
        <item x="2254"/>
        <item x="1496"/>
        <item x="1495"/>
        <item x="1494"/>
        <item x="1493"/>
        <item x="1492"/>
        <item x="1491"/>
        <item x="1490"/>
        <item x="1489"/>
        <item x="1488"/>
        <item x="1487"/>
        <item x="2253"/>
        <item x="1486"/>
        <item x="1485"/>
        <item x="1484"/>
        <item x="1483"/>
        <item x="1482"/>
        <item x="1481"/>
        <item x="1480"/>
        <item x="1479"/>
        <item x="1478"/>
        <item x="1477"/>
        <item x="2252"/>
        <item x="1476"/>
        <item x="1475"/>
        <item x="1474"/>
        <item x="1473"/>
        <item x="1472"/>
        <item x="1471"/>
        <item x="1470"/>
        <item x="1469"/>
        <item x="1468"/>
        <item x="1467"/>
        <item x="2251"/>
        <item x="1466"/>
        <item x="1465"/>
        <item x="1464"/>
        <item x="1463"/>
        <item x="1462"/>
        <item x="1461"/>
        <item x="1460"/>
        <item x="1459"/>
        <item x="1458"/>
        <item x="1457"/>
        <item x="2250"/>
        <item x="1456"/>
        <item x="1455"/>
        <item x="1454"/>
        <item x="1453"/>
        <item x="1452"/>
        <item x="1451"/>
        <item x="1450"/>
        <item x="1449"/>
        <item x="1448"/>
        <item x="1447"/>
        <item x="2249"/>
        <item x="1446"/>
        <item x="1445"/>
        <item x="1444"/>
        <item x="1443"/>
        <item x="1442"/>
        <item x="1441"/>
        <item x="1440"/>
        <item x="1439"/>
        <item x="1438"/>
        <item x="1437"/>
        <item x="2329"/>
        <item x="2248"/>
        <item x="1436"/>
        <item x="1435"/>
        <item x="1434"/>
        <item x="1433"/>
        <item x="1432"/>
        <item x="1431"/>
        <item x="1430"/>
        <item x="1429"/>
        <item x="1428"/>
        <item x="1427"/>
        <item x="2247"/>
        <item x="1426"/>
        <item x="1425"/>
        <item x="1424"/>
        <item x="1423"/>
        <item x="1422"/>
        <item x="1421"/>
        <item x="1420"/>
        <item x="1419"/>
        <item x="1418"/>
        <item x="1417"/>
        <item x="2246"/>
        <item x="1416"/>
        <item x="1415"/>
        <item x="1414"/>
        <item x="1413"/>
        <item x="1412"/>
        <item x="1411"/>
        <item x="1410"/>
        <item x="1409"/>
        <item x="1408"/>
        <item x="1407"/>
        <item x="2245"/>
        <item x="1406"/>
        <item x="1405"/>
        <item x="1404"/>
        <item x="1403"/>
        <item x="1402"/>
        <item x="1401"/>
        <item x="1400"/>
        <item x="1399"/>
        <item x="1398"/>
        <item x="1397"/>
        <item x="2244"/>
        <item x="1396"/>
        <item x="1395"/>
        <item x="1394"/>
        <item x="1393"/>
        <item x="1392"/>
        <item x="1391"/>
        <item x="1390"/>
        <item x="1389"/>
        <item x="1388"/>
        <item x="1387"/>
        <item x="2243"/>
        <item x="1386"/>
        <item x="1385"/>
        <item x="1384"/>
        <item x="1383"/>
        <item x="1382"/>
        <item x="1381"/>
        <item x="1380"/>
        <item x="1379"/>
        <item x="1378"/>
        <item x="1377"/>
        <item x="2242"/>
        <item x="1376"/>
        <item x="1375"/>
        <item x="1374"/>
        <item x="1373"/>
        <item x="1372"/>
        <item x="1371"/>
        <item x="1370"/>
        <item x="1369"/>
        <item x="1368"/>
        <item x="1367"/>
        <item x="2241"/>
        <item x="1366"/>
        <item x="1365"/>
        <item x="1364"/>
        <item x="1363"/>
        <item x="1362"/>
        <item x="1361"/>
        <item x="1360"/>
        <item x="1359"/>
        <item x="1358"/>
        <item x="1357"/>
        <item x="2240"/>
        <item x="1356"/>
        <item x="1355"/>
        <item x="1354"/>
        <item x="1353"/>
        <item x="1352"/>
        <item x="1351"/>
        <item x="1350"/>
        <item x="1349"/>
        <item x="1348"/>
        <item x="1347"/>
        <item x="2239"/>
        <item x="1346"/>
        <item x="1345"/>
        <item x="1344"/>
        <item x="1343"/>
        <item x="1342"/>
        <item x="1341"/>
        <item x="1340"/>
        <item x="1339"/>
        <item x="1338"/>
        <item x="1337"/>
        <item x="2338"/>
        <item t="default"/>
      </items>
    </pivotField>
    <pivotField dataField="1" compact="0" showAll="0"/>
    <pivotField axis="axisPage" compact="0" showAll="0">
      <items count="10">
        <item x="2"/>
        <item x="0"/>
        <item x="6"/>
        <item x="3"/>
        <item x="7"/>
        <item x="1"/>
        <item x="4"/>
        <item x="5"/>
        <item x="8"/>
        <item t="default"/>
      </items>
    </pivotField>
    <pivotField compact="0" showAll="0"/>
    <pivotField compact="0" showAll="0"/>
    <pivotField compact="0" showAll="0"/>
    <pivotField axis="axisRow" compact="0" showAll="0">
      <items count="6">
        <item x="2"/>
        <item x="3"/>
        <item x="0"/>
        <item x="1"/>
        <item x="4"/>
        <item t="default"/>
      </items>
    </pivotField>
    <pivotField axis="axisCol" compact="0" showAll="0">
      <items count="6">
        <item x="3"/>
        <item x="1"/>
        <item x="2"/>
        <item x="0"/>
        <item x="4"/>
        <item t="default"/>
      </items>
    </pivotField>
    <pivotField compact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0" hier="0"/>
    <pageField fld="2" hier="0"/>
  </pageFields>
  <dataFields count="1">
    <dataField name="Count of year" fld="1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36"/>
  <sheetViews>
    <sheetView workbookViewId="0">
      <selection activeCell="D1" sqref="D1"/>
    </sheetView>
  </sheetViews>
  <sheetFormatPr defaultColWidth="14.44140625" defaultRowHeight="15" customHeight="1"/>
  <cols>
    <col min="1" max="1" width="15.5546875" customWidth="1"/>
    <col min="2" max="2" width="37.44140625" customWidth="1"/>
    <col min="3" max="3" width="15.44140625" customWidth="1"/>
    <col min="4" max="5" width="24.77734375" customWidth="1"/>
    <col min="6" max="26" width="8.6640625" customWidth="1"/>
  </cols>
  <sheetData>
    <row r="1" spans="1:26" ht="18.75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>
      <c r="A2" s="9" t="s">
        <v>5</v>
      </c>
      <c r="B2" s="9" t="s">
        <v>6</v>
      </c>
      <c r="C2" t="str">
        <f>MID(B2,7,3)</f>
        <v>Ms</v>
      </c>
      <c r="D2" t="str">
        <f>LEFT(B2,5)</f>
        <v>Hawks</v>
      </c>
      <c r="E2" t="str">
        <f>RIGHT(B2,5)</f>
        <v>Kelly</v>
      </c>
    </row>
    <row r="3" spans="1:26" ht="15.6">
      <c r="A3" s="9" t="s">
        <v>7</v>
      </c>
      <c r="B3" s="9" t="s">
        <v>8</v>
      </c>
      <c r="C3" t="str">
        <f>MID(B3,8,3)</f>
        <v>Mr</v>
      </c>
      <c r="D3" t="str">
        <f>LEFT(B3,6)</f>
        <v>Lehner</v>
      </c>
      <c r="E3" t="str">
        <f t="shared" ref="E3:E66" si="0">RIGHT(B3,5)</f>
        <v>hew D</v>
      </c>
    </row>
    <row r="4" spans="1:26" ht="15.6">
      <c r="A4" s="9" t="s">
        <v>9</v>
      </c>
      <c r="B4" s="9" t="s">
        <v>10</v>
      </c>
      <c r="C4" t="str">
        <f>MID(B4,5,2)</f>
        <v>Mr</v>
      </c>
      <c r="D4" t="str">
        <f>LEFT(B4,6)</f>
        <v>Lu, Mr</v>
      </c>
      <c r="E4" t="str">
        <f t="shared" si="0"/>
        <v>Phil</v>
      </c>
    </row>
    <row r="5" spans="1:26" ht="15.6">
      <c r="A5" s="9" t="s">
        <v>11</v>
      </c>
      <c r="B5" s="9" t="s">
        <v>12</v>
      </c>
      <c r="C5" t="str">
        <f>MID(B5,9,3)</f>
        <v>Ms</v>
      </c>
      <c r="D5" t="str">
        <f>LEFT(B5,7)</f>
        <v>Osborne</v>
      </c>
      <c r="E5" t="str">
        <f t="shared" si="0"/>
        <v>elsey</v>
      </c>
    </row>
    <row r="6" spans="1:26" ht="15.6">
      <c r="A6" s="9" t="s">
        <v>13</v>
      </c>
      <c r="B6" s="9" t="s">
        <v>14</v>
      </c>
      <c r="C6" t="str">
        <f>MID(B6,8,3)</f>
        <v>Ms</v>
      </c>
      <c r="D6" t="str">
        <f t="shared" ref="D6:D66" si="1">LEFT(B6,5)</f>
        <v>Kadal</v>
      </c>
      <c r="E6" t="str">
        <f t="shared" si="0"/>
        <v>istyn</v>
      </c>
    </row>
    <row r="7" spans="1:26" ht="15.6">
      <c r="A7" s="9" t="s">
        <v>15</v>
      </c>
      <c r="B7" s="9" t="s">
        <v>16</v>
      </c>
      <c r="C7" t="str">
        <f t="shared" ref="C7:C66" si="2">MID(B7,7,3)</f>
        <v>Mr</v>
      </c>
      <c r="D7" t="str">
        <f t="shared" si="1"/>
        <v>Baker</v>
      </c>
      <c r="E7" t="str">
        <f t="shared" si="0"/>
        <v>ll B.</v>
      </c>
    </row>
    <row r="8" spans="1:26" ht="15.6">
      <c r="A8" s="9" t="s">
        <v>17</v>
      </c>
      <c r="B8" s="9" t="s">
        <v>18</v>
      </c>
      <c r="C8" t="str">
        <f>MID(B8,12,3)</f>
        <v>Mr</v>
      </c>
      <c r="D8" t="str">
        <f t="shared" si="1"/>
        <v>Macph</v>
      </c>
      <c r="E8" t="str">
        <f t="shared" si="0"/>
        <v>Scott</v>
      </c>
    </row>
    <row r="9" spans="1:26" ht="15.6">
      <c r="A9" s="9" t="s">
        <v>19</v>
      </c>
      <c r="B9" s="9" t="s">
        <v>20</v>
      </c>
      <c r="C9" t="str">
        <f>MID(B9,9,3)</f>
        <v>Mr</v>
      </c>
      <c r="D9" t="str">
        <f t="shared" si="1"/>
        <v>Hallm</v>
      </c>
      <c r="E9" t="str">
        <f t="shared" si="0"/>
        <v>ephen</v>
      </c>
    </row>
    <row r="10" spans="1:26" ht="15.6">
      <c r="A10" s="9" t="s">
        <v>21</v>
      </c>
      <c r="B10" s="9" t="s">
        <v>22</v>
      </c>
      <c r="C10" t="str">
        <f t="shared" si="2"/>
        <v>Mr</v>
      </c>
      <c r="D10" t="str">
        <f t="shared" si="1"/>
        <v>Moran</v>
      </c>
      <c r="E10" t="str">
        <f t="shared" si="0"/>
        <v>ck R.</v>
      </c>
    </row>
    <row r="11" spans="1:26" ht="15.6">
      <c r="A11" s="9" t="s">
        <v>23</v>
      </c>
      <c r="B11" s="9" t="s">
        <v>24</v>
      </c>
      <c r="C11" t="str">
        <f>MID(B11,8,3)</f>
        <v>Ms</v>
      </c>
      <c r="D11" t="str">
        <f>LEFT(B11,6)</f>
        <v>Benner</v>
      </c>
      <c r="E11" t="str">
        <f t="shared" si="0"/>
        <v>ke N.</v>
      </c>
    </row>
    <row r="12" spans="1:26" ht="15.6">
      <c r="A12" s="9" t="s">
        <v>25</v>
      </c>
      <c r="B12" s="9" t="s">
        <v>26</v>
      </c>
      <c r="C12" t="str">
        <f>MID(B12,15,3)</f>
        <v>Ms</v>
      </c>
      <c r="D12" t="str">
        <f>LEFT(B12,13)</f>
        <v>Fierro Vargas</v>
      </c>
      <c r="E12" t="str">
        <f t="shared" si="0"/>
        <v>ndrea</v>
      </c>
    </row>
    <row r="13" spans="1:26" ht="15.6">
      <c r="A13" s="9" t="s">
        <v>27</v>
      </c>
      <c r="B13" s="9" t="s">
        <v>28</v>
      </c>
      <c r="C13" t="str">
        <f t="shared" si="2"/>
        <v>Mr</v>
      </c>
      <c r="D13" t="str">
        <f>LEFT(B13,5)</f>
        <v>Franz</v>
      </c>
      <c r="E13" t="str">
        <f t="shared" si="0"/>
        <v>David</v>
      </c>
    </row>
    <row r="14" spans="1:26" ht="15.6">
      <c r="A14" s="9" t="s">
        <v>29</v>
      </c>
      <c r="B14" s="9" t="s">
        <v>30</v>
      </c>
      <c r="C14" t="str">
        <f>MID(B14,8,3)</f>
        <v>Mr</v>
      </c>
      <c r="D14" t="str">
        <f>LEFT(B14,6)</f>
        <v>Foster</v>
      </c>
      <c r="E14" t="str">
        <f t="shared" si="0"/>
        <v>Wade</v>
      </c>
    </row>
    <row r="15" spans="1:26" ht="15.6">
      <c r="A15" s="9" t="s">
        <v>31</v>
      </c>
      <c r="B15" s="9" t="s">
        <v>32</v>
      </c>
      <c r="C15" t="str">
        <f>MID(B15,9,3)</f>
        <v>Mr</v>
      </c>
      <c r="D15" t="str">
        <f>LEFT(B15,7)</f>
        <v>Tenorio</v>
      </c>
      <c r="E15" t="str">
        <f t="shared" si="0"/>
        <v>nklin</v>
      </c>
    </row>
    <row r="16" spans="1:26" ht="15.6">
      <c r="A16" s="9" t="s">
        <v>33</v>
      </c>
      <c r="B16" s="9" t="s">
        <v>34</v>
      </c>
      <c r="C16" t="str">
        <f>MID(B16,7,2)</f>
        <v>Ms</v>
      </c>
      <c r="D16" t="str">
        <f>LEFT(B16,4)</f>
        <v>Rios</v>
      </c>
      <c r="E16" t="str">
        <f t="shared" si="0"/>
        <v>ni M.</v>
      </c>
    </row>
    <row r="17" spans="1:5" ht="15.6">
      <c r="A17" s="9" t="s">
        <v>35</v>
      </c>
      <c r="B17" s="9" t="s">
        <v>36</v>
      </c>
      <c r="C17" t="str">
        <f>MID(B17,13,3)</f>
        <v>Mr</v>
      </c>
      <c r="D17" t="str">
        <f t="shared" si="1"/>
        <v>Viau-</v>
      </c>
      <c r="E17" t="str">
        <f t="shared" si="0"/>
        <v>lippe</v>
      </c>
    </row>
    <row r="18" spans="1:5" ht="15.6">
      <c r="A18" s="9" t="s">
        <v>37</v>
      </c>
      <c r="B18" s="9" t="s">
        <v>38</v>
      </c>
      <c r="C18" t="str">
        <f>MID(B18,7,3)</f>
        <v>, M</v>
      </c>
      <c r="D18" t="str">
        <f t="shared" si="1"/>
        <v>Croni</v>
      </c>
      <c r="E18" t="str">
        <f t="shared" si="0"/>
        <v>er A.</v>
      </c>
    </row>
    <row r="19" spans="1:5" ht="15.6">
      <c r="A19" s="9" t="s">
        <v>39</v>
      </c>
      <c r="B19" s="9" t="s">
        <v>40</v>
      </c>
      <c r="C19" t="str">
        <f t="shared" si="2"/>
        <v>tar</v>
      </c>
      <c r="D19" t="str">
        <f t="shared" si="1"/>
        <v>Noord</v>
      </c>
      <c r="E19" t="str">
        <f t="shared" si="0"/>
        <v>na M.</v>
      </c>
    </row>
    <row r="20" spans="1:5" ht="15.6">
      <c r="A20" s="9" t="s">
        <v>41</v>
      </c>
      <c r="B20" s="9" t="s">
        <v>42</v>
      </c>
      <c r="C20" t="str">
        <f t="shared" si="2"/>
        <v>ia,</v>
      </c>
      <c r="D20" t="str">
        <f t="shared" si="1"/>
        <v>Bouda</v>
      </c>
      <c r="E20" t="str">
        <f t="shared" si="0"/>
        <v>d Sr.</v>
      </c>
    </row>
    <row r="21" spans="1:5" ht="15.75" customHeight="1">
      <c r="A21" s="9" t="s">
        <v>43</v>
      </c>
      <c r="B21" s="9" t="s">
        <v>44</v>
      </c>
      <c r="C21" t="str">
        <f t="shared" si="2"/>
        <v>Mr.</v>
      </c>
      <c r="D21" t="str">
        <f t="shared" si="1"/>
        <v>Flor,</v>
      </c>
      <c r="E21" t="str">
        <f t="shared" si="0"/>
        <v>John</v>
      </c>
    </row>
    <row r="22" spans="1:5" ht="15.75" customHeight="1">
      <c r="A22" s="9" t="s">
        <v>45</v>
      </c>
      <c r="B22" s="9" t="s">
        <v>46</v>
      </c>
      <c r="C22" t="str">
        <f t="shared" si="2"/>
        <v>, M</v>
      </c>
      <c r="D22" t="str">
        <f t="shared" si="1"/>
        <v>Fenno</v>
      </c>
      <c r="E22" t="str">
        <f t="shared" si="0"/>
        <v>Myles</v>
      </c>
    </row>
    <row r="23" spans="1:5" ht="15.75" customHeight="1">
      <c r="A23" s="9" t="s">
        <v>47</v>
      </c>
      <c r="B23" s="9" t="s">
        <v>48</v>
      </c>
      <c r="C23" t="str">
        <f t="shared" si="2"/>
        <v>, M</v>
      </c>
      <c r="D23" t="str">
        <f t="shared" si="1"/>
        <v>Hriba</v>
      </c>
      <c r="E23" t="str">
        <f t="shared" si="0"/>
        <v>lyn C</v>
      </c>
    </row>
    <row r="24" spans="1:5" ht="15.75" customHeight="1">
      <c r="A24" s="9" t="s">
        <v>49</v>
      </c>
      <c r="B24" s="9" t="s">
        <v>50</v>
      </c>
      <c r="C24" t="str">
        <f t="shared" si="2"/>
        <v>lo,</v>
      </c>
      <c r="D24" t="str">
        <f t="shared" si="1"/>
        <v>Tasse</v>
      </c>
      <c r="E24" t="str">
        <f t="shared" si="0"/>
        <v>icole</v>
      </c>
    </row>
    <row r="25" spans="1:5" ht="15.75" customHeight="1">
      <c r="A25" s="9" t="s">
        <v>51</v>
      </c>
      <c r="B25" s="9" t="s">
        <v>52</v>
      </c>
      <c r="C25" t="str">
        <f t="shared" si="2"/>
        <v>ett</v>
      </c>
      <c r="D25" t="str">
        <f t="shared" si="1"/>
        <v>Mauri</v>
      </c>
      <c r="E25" t="str">
        <f t="shared" si="0"/>
        <v>ic A.</v>
      </c>
    </row>
    <row r="26" spans="1:5" ht="15.75" customHeight="1">
      <c r="A26" s="9" t="s">
        <v>53</v>
      </c>
      <c r="B26" s="9" t="s">
        <v>54</v>
      </c>
      <c r="C26" t="str">
        <f t="shared" si="2"/>
        <v>, M</v>
      </c>
      <c r="D26" t="str">
        <f t="shared" si="1"/>
        <v>Garci</v>
      </c>
      <c r="E26" t="str">
        <f t="shared" si="0"/>
        <v>no I.</v>
      </c>
    </row>
    <row r="27" spans="1:5" ht="15.75" customHeight="1">
      <c r="A27" s="9" t="s">
        <v>55</v>
      </c>
      <c r="B27" s="9" t="s">
        <v>56</v>
      </c>
      <c r="C27" t="str">
        <f t="shared" si="2"/>
        <v>i,</v>
      </c>
      <c r="D27" t="str">
        <f t="shared" si="1"/>
        <v>Airol</v>
      </c>
      <c r="E27" t="str">
        <f t="shared" si="0"/>
        <v>Adam</v>
      </c>
    </row>
    <row r="28" spans="1:5" ht="15.75" customHeight="1">
      <c r="A28" s="9" t="s">
        <v>57</v>
      </c>
      <c r="B28" s="9" t="s">
        <v>58</v>
      </c>
      <c r="C28" t="str">
        <f t="shared" si="2"/>
        <v>Cyk</v>
      </c>
      <c r="D28" t="str">
        <f t="shared" si="1"/>
        <v>Cater</v>
      </c>
      <c r="E28" t="str">
        <f t="shared" si="0"/>
        <v>Zach</v>
      </c>
    </row>
    <row r="29" spans="1:5" ht="15.75" customHeight="1">
      <c r="A29" s="9" t="s">
        <v>59</v>
      </c>
      <c r="B29" s="9" t="s">
        <v>60</v>
      </c>
      <c r="C29" t="str">
        <f t="shared" si="2"/>
        <v>Ms.</v>
      </c>
      <c r="D29" t="str">
        <f t="shared" si="1"/>
        <v>Hamm,</v>
      </c>
      <c r="E29" t="str">
        <f t="shared" si="0"/>
        <v>ie W.</v>
      </c>
    </row>
    <row r="30" spans="1:5" ht="15.75" customHeight="1">
      <c r="A30" s="9" t="s">
        <v>61</v>
      </c>
      <c r="B30" s="9" t="s">
        <v>62</v>
      </c>
      <c r="C30" t="str">
        <f t="shared" si="2"/>
        <v>r.</v>
      </c>
      <c r="D30" t="str">
        <f t="shared" si="1"/>
        <v>Cox,</v>
      </c>
      <c r="E30" t="str">
        <f t="shared" si="0"/>
        <v>ephen</v>
      </c>
    </row>
    <row r="31" spans="1:5" ht="15.75" customHeight="1">
      <c r="A31" s="9" t="s">
        <v>63</v>
      </c>
      <c r="B31" s="9" t="s">
        <v>64</v>
      </c>
      <c r="C31" t="str">
        <f t="shared" si="2"/>
        <v>jda</v>
      </c>
      <c r="D31" t="str">
        <f t="shared" si="1"/>
        <v>Sachr</v>
      </c>
      <c r="E31" t="str">
        <f t="shared" si="0"/>
        <v>talie</v>
      </c>
    </row>
    <row r="32" spans="1:5" ht="15.75" customHeight="1">
      <c r="A32" s="9" t="s">
        <v>65</v>
      </c>
      <c r="B32" s="9" t="s">
        <v>66</v>
      </c>
      <c r="C32" t="str">
        <f t="shared" si="2"/>
        <v>, M</v>
      </c>
      <c r="D32" t="str">
        <f t="shared" si="1"/>
        <v>Garer</v>
      </c>
      <c r="E32" t="str">
        <f t="shared" si="0"/>
        <v>le J.</v>
      </c>
    </row>
    <row r="33" spans="1:5" ht="15.75" customHeight="1">
      <c r="A33" s="9" t="s">
        <v>67</v>
      </c>
      <c r="B33" s="9" t="s">
        <v>68</v>
      </c>
      <c r="C33" t="str">
        <f t="shared" si="2"/>
        <v>Mr</v>
      </c>
      <c r="D33" t="str">
        <f t="shared" si="1"/>
        <v>Welch</v>
      </c>
      <c r="E33" t="str">
        <f t="shared" si="0"/>
        <v>son D</v>
      </c>
    </row>
    <row r="34" spans="1:5" ht="15.75" customHeight="1">
      <c r="A34" s="9" t="s">
        <v>69</v>
      </c>
      <c r="B34" s="9" t="s">
        <v>70</v>
      </c>
      <c r="C34" t="str">
        <f t="shared" si="2"/>
        <v>vil</v>
      </c>
      <c r="D34" t="str">
        <f t="shared" si="1"/>
        <v>Prind</v>
      </c>
      <c r="E34" t="str">
        <f t="shared" si="0"/>
        <v>an D.</v>
      </c>
    </row>
    <row r="35" spans="1:5" ht="15.75" customHeight="1">
      <c r="A35" s="9" t="s">
        <v>71</v>
      </c>
      <c r="B35" s="9" t="s">
        <v>72</v>
      </c>
      <c r="C35" t="str">
        <f t="shared" si="2"/>
        <v>d,</v>
      </c>
      <c r="D35" t="str">
        <f t="shared" si="1"/>
        <v>Kinca</v>
      </c>
      <c r="E35" t="str">
        <f t="shared" si="0"/>
        <v>rtney</v>
      </c>
    </row>
    <row r="36" spans="1:5" ht="15.75" customHeight="1">
      <c r="A36" s="9" t="s">
        <v>73</v>
      </c>
      <c r="B36" s="9" t="s">
        <v>74</v>
      </c>
      <c r="C36" t="str">
        <f t="shared" si="2"/>
        <v>le,</v>
      </c>
      <c r="D36" t="str">
        <f t="shared" si="1"/>
        <v>Brues</v>
      </c>
      <c r="E36" t="str">
        <f t="shared" si="0"/>
        <v>ey L.</v>
      </c>
    </row>
    <row r="37" spans="1:5" ht="15.75" customHeight="1">
      <c r="A37" s="9" t="s">
        <v>75</v>
      </c>
      <c r="B37" s="9" t="s">
        <v>76</v>
      </c>
      <c r="C37" t="str">
        <f t="shared" si="2"/>
        <v>ce,</v>
      </c>
      <c r="D37" t="str">
        <f t="shared" si="1"/>
        <v>Lacha</v>
      </c>
      <c r="E37" t="str">
        <f t="shared" si="0"/>
        <v>ulien</v>
      </c>
    </row>
    <row r="38" spans="1:5" ht="15.75" customHeight="1">
      <c r="A38" s="9" t="s">
        <v>77</v>
      </c>
      <c r="B38" s="9" t="s">
        <v>78</v>
      </c>
      <c r="C38" t="str">
        <f t="shared" si="2"/>
        <v>Mr</v>
      </c>
      <c r="D38" t="str">
        <f t="shared" si="1"/>
        <v>Eason</v>
      </c>
      <c r="E38" t="str">
        <f t="shared" si="0"/>
        <v>yan M</v>
      </c>
    </row>
    <row r="39" spans="1:5" ht="15.75" customHeight="1">
      <c r="A39" s="9" t="s">
        <v>79</v>
      </c>
      <c r="B39" s="9" t="s">
        <v>80</v>
      </c>
      <c r="C39" t="str">
        <f t="shared" si="2"/>
        <v>n,</v>
      </c>
      <c r="D39" t="str">
        <f t="shared" si="1"/>
        <v>Grumm</v>
      </c>
      <c r="E39" t="str">
        <f t="shared" si="0"/>
        <v>na H.</v>
      </c>
    </row>
    <row r="40" spans="1:5" ht="15.75" customHeight="1">
      <c r="A40" s="9" t="s">
        <v>81</v>
      </c>
      <c r="B40" s="9" t="s">
        <v>82</v>
      </c>
      <c r="C40" t="str">
        <f t="shared" si="2"/>
        <v>hel</v>
      </c>
      <c r="D40" t="str">
        <f t="shared" si="1"/>
        <v>Vanwe</v>
      </c>
      <c r="E40" t="str">
        <f t="shared" si="0"/>
        <v>antha</v>
      </c>
    </row>
    <row r="41" spans="1:5" ht="15.75" customHeight="1">
      <c r="A41" s="9" t="s">
        <v>83</v>
      </c>
      <c r="B41" s="9" t="s">
        <v>84</v>
      </c>
      <c r="C41" t="str">
        <f t="shared" si="2"/>
        <v>, M</v>
      </c>
      <c r="D41" t="str">
        <f t="shared" si="1"/>
        <v>Fishe</v>
      </c>
      <c r="E41" t="str">
        <f t="shared" si="0"/>
        <v>obert</v>
      </c>
    </row>
    <row r="42" spans="1:5" ht="15.75" customHeight="1">
      <c r="A42" s="9" t="s">
        <v>85</v>
      </c>
      <c r="B42" s="9" t="s">
        <v>86</v>
      </c>
      <c r="C42" t="str">
        <f t="shared" si="2"/>
        <v>s,</v>
      </c>
      <c r="D42" t="str">
        <f t="shared" si="1"/>
        <v>Jenki</v>
      </c>
      <c r="E42" t="str">
        <f t="shared" si="0"/>
        <v>es R.</v>
      </c>
    </row>
    <row r="43" spans="1:5" ht="15.75" customHeight="1">
      <c r="A43" s="9" t="s">
        <v>87</v>
      </c>
      <c r="B43" s="9" t="s">
        <v>88</v>
      </c>
      <c r="C43" t="str">
        <f t="shared" si="2"/>
        <v>, M</v>
      </c>
      <c r="D43" t="str">
        <f t="shared" si="1"/>
        <v>Peter</v>
      </c>
      <c r="E43" t="str">
        <f t="shared" si="0"/>
        <v>seann</v>
      </c>
    </row>
    <row r="44" spans="1:5" ht="15.75" customHeight="1">
      <c r="A44" s="9" t="s">
        <v>89</v>
      </c>
      <c r="B44" s="9" t="s">
        <v>90</v>
      </c>
      <c r="C44" t="str">
        <f t="shared" si="2"/>
        <v>s.</v>
      </c>
      <c r="D44" t="str">
        <f t="shared" si="1"/>
        <v>Aha,</v>
      </c>
      <c r="E44" t="str">
        <f t="shared" si="0"/>
        <v>icole</v>
      </c>
    </row>
    <row r="45" spans="1:5" ht="15.75" customHeight="1">
      <c r="A45" s="9" t="s">
        <v>91</v>
      </c>
      <c r="B45" s="9" t="s">
        <v>92</v>
      </c>
      <c r="C45" t="str">
        <f t="shared" si="2"/>
        <v>in,</v>
      </c>
      <c r="D45" t="str">
        <f t="shared" si="1"/>
        <v>McElw</v>
      </c>
      <c r="E45" t="str">
        <f t="shared" si="0"/>
        <v>encer</v>
      </c>
    </row>
    <row r="46" spans="1:5" ht="15.75" customHeight="1">
      <c r="A46" s="9" t="s">
        <v>93</v>
      </c>
      <c r="B46" s="9" t="s">
        <v>94</v>
      </c>
      <c r="C46" t="str">
        <f t="shared" si="2"/>
        <v>ews</v>
      </c>
      <c r="D46" t="str">
        <f t="shared" si="1"/>
        <v>Janus</v>
      </c>
      <c r="E46" t="str">
        <f t="shared" si="0"/>
        <v>ric W</v>
      </c>
    </row>
    <row r="47" spans="1:5" ht="15.75" customHeight="1">
      <c r="A47" s="9" t="s">
        <v>95</v>
      </c>
      <c r="B47" s="9" t="s">
        <v>96</v>
      </c>
      <c r="C47" t="str">
        <f t="shared" si="2"/>
        <v>Ms</v>
      </c>
      <c r="D47" t="str">
        <f t="shared" si="1"/>
        <v>Rohne</v>
      </c>
      <c r="E47" t="str">
        <f t="shared" si="0"/>
        <v>nna L</v>
      </c>
    </row>
    <row r="48" spans="1:5" ht="15.75" customHeight="1">
      <c r="A48" s="9" t="s">
        <v>97</v>
      </c>
      <c r="B48" s="9" t="s">
        <v>98</v>
      </c>
      <c r="C48" t="str">
        <f t="shared" si="2"/>
        <v>y,</v>
      </c>
      <c r="D48" t="str">
        <f t="shared" si="1"/>
        <v>O'Gra</v>
      </c>
      <c r="E48" t="str">
        <f t="shared" si="0"/>
        <v>as J.</v>
      </c>
    </row>
    <row r="49" spans="1:5" ht="15.75" customHeight="1">
      <c r="A49" s="9" t="s">
        <v>99</v>
      </c>
      <c r="B49" s="9" t="s">
        <v>100</v>
      </c>
      <c r="C49" t="str">
        <f t="shared" si="2"/>
        <v>, M</v>
      </c>
      <c r="D49" t="str">
        <f t="shared" si="1"/>
        <v>Peter</v>
      </c>
      <c r="E49" t="str">
        <f t="shared" si="0"/>
        <v>ssa L</v>
      </c>
    </row>
    <row r="50" spans="1:5" ht="15.75" customHeight="1">
      <c r="A50" s="9" t="s">
        <v>101</v>
      </c>
      <c r="B50" s="9" t="s">
        <v>102</v>
      </c>
      <c r="C50" t="str">
        <f t="shared" si="2"/>
        <v>one</v>
      </c>
      <c r="D50" t="str">
        <f t="shared" si="1"/>
        <v>De Si</v>
      </c>
      <c r="E50" t="str">
        <f t="shared" si="0"/>
        <v>lavio</v>
      </c>
    </row>
    <row r="51" spans="1:5" ht="15.75" customHeight="1">
      <c r="A51" s="9" t="s">
        <v>103</v>
      </c>
      <c r="B51" s="9" t="s">
        <v>104</v>
      </c>
      <c r="C51" t="str">
        <f t="shared" si="2"/>
        <v>t,</v>
      </c>
      <c r="D51" t="str">
        <f t="shared" si="1"/>
        <v>Becke</v>
      </c>
      <c r="E51" t="str">
        <f t="shared" si="0"/>
        <v>Ryan</v>
      </c>
    </row>
    <row r="52" spans="1:5" ht="15.75" customHeight="1">
      <c r="A52" s="9" t="s">
        <v>105</v>
      </c>
      <c r="B52" s="9" t="s">
        <v>106</v>
      </c>
      <c r="C52" t="str">
        <f t="shared" si="2"/>
        <v>sky</v>
      </c>
      <c r="D52" t="str">
        <f t="shared" si="1"/>
        <v>Sobri</v>
      </c>
      <c r="E52" t="str">
        <f t="shared" si="0"/>
        <v>ny J.</v>
      </c>
    </row>
    <row r="53" spans="1:5" ht="15.75" customHeight="1">
      <c r="A53" s="9" t="s">
        <v>107</v>
      </c>
      <c r="B53" s="9" t="s">
        <v>108</v>
      </c>
      <c r="C53" t="str">
        <f t="shared" si="2"/>
        <v>Ms.</v>
      </c>
      <c r="D53" t="str">
        <f t="shared" si="1"/>
        <v>Wang,</v>
      </c>
      <c r="E53" t="str">
        <f t="shared" si="0"/>
        <v>Alex</v>
      </c>
    </row>
    <row r="54" spans="1:5" ht="15.75" customHeight="1">
      <c r="A54" s="9" t="s">
        <v>109</v>
      </c>
      <c r="B54" s="9" t="s">
        <v>110</v>
      </c>
      <c r="C54" t="str">
        <f t="shared" si="2"/>
        <v>Mr</v>
      </c>
      <c r="D54" t="str">
        <f t="shared" si="1"/>
        <v>Campa</v>
      </c>
      <c r="E54" t="str">
        <f t="shared" si="0"/>
        <v>David</v>
      </c>
    </row>
    <row r="55" spans="1:5" ht="15.75" customHeight="1">
      <c r="A55" s="9" t="s">
        <v>111</v>
      </c>
      <c r="B55" s="9" t="s">
        <v>112</v>
      </c>
      <c r="C55" t="str">
        <f t="shared" si="2"/>
        <v>rd,</v>
      </c>
      <c r="D55" t="str">
        <f t="shared" si="1"/>
        <v>Cliff</v>
      </c>
      <c r="E55" t="str">
        <f t="shared" si="0"/>
        <v>rew B</v>
      </c>
    </row>
    <row r="56" spans="1:5" ht="15.75" customHeight="1">
      <c r="A56" s="9" t="s">
        <v>113</v>
      </c>
      <c r="B56" s="9" t="s">
        <v>114</v>
      </c>
      <c r="C56" t="str">
        <f t="shared" si="2"/>
        <v>a,</v>
      </c>
      <c r="D56" t="str">
        <f t="shared" si="1"/>
        <v>Dalma</v>
      </c>
      <c r="E56" t="str">
        <f t="shared" si="0"/>
        <v>ara E</v>
      </c>
    </row>
    <row r="57" spans="1:5" ht="15.75" customHeight="1">
      <c r="A57" s="9" t="s">
        <v>115</v>
      </c>
      <c r="B57" s="9" t="s">
        <v>116</v>
      </c>
      <c r="C57" t="str">
        <f t="shared" si="2"/>
        <v>, M</v>
      </c>
      <c r="D57" t="str">
        <f t="shared" si="1"/>
        <v>Vishi</v>
      </c>
      <c r="E57" t="str">
        <f t="shared" si="0"/>
        <v>Inna</v>
      </c>
    </row>
    <row r="58" spans="1:5" ht="15.75" customHeight="1">
      <c r="A58" s="9" t="s">
        <v>117</v>
      </c>
      <c r="B58" s="9" t="s">
        <v>118</v>
      </c>
      <c r="C58" t="str">
        <f t="shared" si="2"/>
        <v>, M</v>
      </c>
      <c r="D58" t="str">
        <f t="shared" si="1"/>
        <v>Schor</v>
      </c>
      <c r="E58" t="str">
        <f t="shared" si="0"/>
        <v>Ari</v>
      </c>
    </row>
    <row r="59" spans="1:5" ht="15.75" customHeight="1">
      <c r="A59" s="9" t="s">
        <v>119</v>
      </c>
      <c r="B59" s="9" t="s">
        <v>120</v>
      </c>
      <c r="C59" t="str">
        <f t="shared" si="2"/>
        <v>i,</v>
      </c>
      <c r="D59" t="str">
        <f t="shared" si="1"/>
        <v>Lusar</v>
      </c>
      <c r="E59" t="str">
        <f t="shared" si="0"/>
        <v>ndsey</v>
      </c>
    </row>
    <row r="60" spans="1:5" ht="15.75" customHeight="1">
      <c r="A60" s="9" t="s">
        <v>121</v>
      </c>
      <c r="B60" s="9" t="s">
        <v>122</v>
      </c>
      <c r="C60" t="str">
        <f t="shared" si="2"/>
        <v>, M</v>
      </c>
      <c r="D60" t="str">
        <f t="shared" si="1"/>
        <v>Rayne</v>
      </c>
      <c r="E60" t="str">
        <f t="shared" si="0"/>
        <v>Kenny</v>
      </c>
    </row>
    <row r="61" spans="1:5" ht="15.75" customHeight="1">
      <c r="A61" s="9" t="s">
        <v>123</v>
      </c>
      <c r="B61" s="9" t="s">
        <v>124</v>
      </c>
      <c r="C61" t="str">
        <f t="shared" si="2"/>
        <v>, M</v>
      </c>
      <c r="D61" t="str">
        <f t="shared" si="1"/>
        <v>Voghe</v>
      </c>
      <c r="E61" t="str">
        <f t="shared" si="0"/>
        <v>ouise</v>
      </c>
    </row>
    <row r="62" spans="1:5" ht="15.75" customHeight="1">
      <c r="A62" s="9" t="s">
        <v>125</v>
      </c>
      <c r="B62" s="9" t="s">
        <v>126</v>
      </c>
      <c r="C62" t="str">
        <f t="shared" si="2"/>
        <v>Mr</v>
      </c>
      <c r="D62" t="str">
        <f t="shared" si="1"/>
        <v>Rieth</v>
      </c>
      <c r="E62" t="str">
        <f t="shared" si="0"/>
        <v>meron</v>
      </c>
    </row>
    <row r="63" spans="1:5" ht="15.75" customHeight="1">
      <c r="A63" s="9" t="s">
        <v>127</v>
      </c>
      <c r="B63" s="9" t="s">
        <v>128</v>
      </c>
      <c r="C63" t="str">
        <f t="shared" si="2"/>
        <v>to,</v>
      </c>
      <c r="D63" t="str">
        <f t="shared" si="1"/>
        <v>Gollo</v>
      </c>
      <c r="E63" t="str">
        <f t="shared" si="0"/>
        <v>ie T.</v>
      </c>
    </row>
    <row r="64" spans="1:5" ht="15.75" customHeight="1">
      <c r="A64" s="9" t="s">
        <v>129</v>
      </c>
      <c r="B64" s="9" t="s">
        <v>130</v>
      </c>
      <c r="C64" t="str">
        <f t="shared" si="2"/>
        <v>Ms.</v>
      </c>
      <c r="D64" t="str">
        <f t="shared" si="1"/>
        <v>Dunn,</v>
      </c>
      <c r="E64" t="str">
        <f t="shared" si="0"/>
        <v>Casey</v>
      </c>
    </row>
    <row r="65" spans="1:5" ht="15.75" customHeight="1">
      <c r="A65" s="9" t="s">
        <v>131</v>
      </c>
      <c r="B65" s="9" t="s">
        <v>132</v>
      </c>
      <c r="C65" t="str">
        <f t="shared" si="2"/>
        <v>r,</v>
      </c>
      <c r="D65" t="str">
        <f t="shared" si="1"/>
        <v>Blitz</v>
      </c>
      <c r="E65" t="str">
        <f t="shared" si="0"/>
        <v>David</v>
      </c>
    </row>
    <row r="66" spans="1:5" ht="15.75" customHeight="1">
      <c r="A66" s="9" t="s">
        <v>133</v>
      </c>
      <c r="B66" s="9" t="s">
        <v>134</v>
      </c>
      <c r="C66" t="str">
        <f t="shared" si="2"/>
        <v>Mr</v>
      </c>
      <c r="D66" t="str">
        <f t="shared" si="1"/>
        <v>Smith</v>
      </c>
      <c r="E66" t="str">
        <f t="shared" si="0"/>
        <v>on C.</v>
      </c>
    </row>
    <row r="67" spans="1:5" ht="15.75" customHeight="1">
      <c r="A67" s="9" t="s">
        <v>135</v>
      </c>
      <c r="B67" s="9" t="s">
        <v>136</v>
      </c>
      <c r="C67" t="str">
        <f t="shared" ref="C67:C130" si="3">MID(B67,7,3)</f>
        <v>, M</v>
      </c>
      <c r="D67" t="str">
        <f t="shared" ref="D67:D130" si="4">LEFT(B67,5)</f>
        <v>Hylan</v>
      </c>
      <c r="E67" t="str">
        <f t="shared" ref="E67:E130" si="5">RIGHT(B67,5)</f>
        <v>Megan</v>
      </c>
    </row>
    <row r="68" spans="1:5" ht="15.75" customHeight="1">
      <c r="A68" s="9" t="s">
        <v>137</v>
      </c>
      <c r="B68" s="9" t="s">
        <v>138</v>
      </c>
      <c r="C68" t="str">
        <f t="shared" si="3"/>
        <v>me,</v>
      </c>
      <c r="D68" t="str">
        <f t="shared" si="4"/>
        <v>Ducha</v>
      </c>
      <c r="E68" t="str">
        <f t="shared" si="5"/>
        <v>aniel</v>
      </c>
    </row>
    <row r="69" spans="1:5" ht="15.75" customHeight="1">
      <c r="A69" s="9" t="s">
        <v>139</v>
      </c>
      <c r="B69" s="9" t="s">
        <v>140</v>
      </c>
      <c r="C69" t="str">
        <f t="shared" si="3"/>
        <v>n,</v>
      </c>
      <c r="D69" t="str">
        <f t="shared" si="4"/>
        <v>Johns</v>
      </c>
      <c r="E69" t="str">
        <f t="shared" si="5"/>
        <v>en M.</v>
      </c>
    </row>
    <row r="70" spans="1:5" ht="15.75" customHeight="1">
      <c r="A70" s="9" t="s">
        <v>141</v>
      </c>
      <c r="B70" s="9" t="s">
        <v>142</v>
      </c>
      <c r="C70" t="str">
        <f t="shared" si="3"/>
        <v>Ms.</v>
      </c>
      <c r="D70" t="str">
        <f t="shared" si="4"/>
        <v>Mutz,</v>
      </c>
      <c r="E70" t="str">
        <f t="shared" si="5"/>
        <v>na L.</v>
      </c>
    </row>
    <row r="71" spans="1:5" ht="15.75" customHeight="1">
      <c r="A71" s="9" t="s">
        <v>143</v>
      </c>
      <c r="B71" s="9" t="s">
        <v>144</v>
      </c>
      <c r="C71" t="str">
        <f t="shared" si="3"/>
        <v>r.</v>
      </c>
      <c r="D71" t="str">
        <f t="shared" si="4"/>
        <v>Lee,</v>
      </c>
      <c r="E71" t="str">
        <f t="shared" si="5"/>
        <v>eeman</v>
      </c>
    </row>
    <row r="72" spans="1:5" ht="15.75" customHeight="1">
      <c r="A72" s="9" t="s">
        <v>145</v>
      </c>
      <c r="B72" s="9" t="s">
        <v>146</v>
      </c>
      <c r="C72" t="str">
        <f t="shared" si="3"/>
        <v>, M</v>
      </c>
      <c r="D72" t="str">
        <f t="shared" si="4"/>
        <v>Turne</v>
      </c>
      <c r="E72" t="str">
        <f t="shared" si="5"/>
        <v>Jeff</v>
      </c>
    </row>
    <row r="73" spans="1:5" ht="15.75" customHeight="1">
      <c r="A73" s="9" t="s">
        <v>147</v>
      </c>
      <c r="B73" s="9" t="s">
        <v>148</v>
      </c>
      <c r="C73" t="str">
        <f t="shared" si="3"/>
        <v>, M</v>
      </c>
      <c r="D73" t="str">
        <f t="shared" si="4"/>
        <v>Range</v>
      </c>
      <c r="E73" t="str">
        <f t="shared" si="5"/>
        <v>. Sr.</v>
      </c>
    </row>
    <row r="74" spans="1:5" ht="15.75" customHeight="1">
      <c r="A74" s="9" t="s">
        <v>149</v>
      </c>
      <c r="B74" s="9" t="s">
        <v>150</v>
      </c>
      <c r="C74" t="str">
        <f t="shared" si="3"/>
        <v>Ms</v>
      </c>
      <c r="D74" t="str">
        <f t="shared" si="4"/>
        <v>Lacey</v>
      </c>
      <c r="E74" t="str">
        <f t="shared" si="5"/>
        <v>aurya</v>
      </c>
    </row>
    <row r="75" spans="1:5" ht="15.75" customHeight="1">
      <c r="A75" s="9" t="s">
        <v>151</v>
      </c>
      <c r="B75" s="9" t="s">
        <v>152</v>
      </c>
      <c r="C75" t="str">
        <f t="shared" si="3"/>
        <v>, M</v>
      </c>
      <c r="D75" t="str">
        <f t="shared" si="4"/>
        <v>Stige</v>
      </c>
      <c r="E75" t="str">
        <f t="shared" si="5"/>
        <v>tha C</v>
      </c>
    </row>
    <row r="76" spans="1:5" ht="15.75" customHeight="1">
      <c r="A76" s="9" t="s">
        <v>153</v>
      </c>
      <c r="B76" s="9" t="s">
        <v>154</v>
      </c>
      <c r="C76" t="str">
        <f t="shared" si="3"/>
        <v>ll,</v>
      </c>
      <c r="D76" t="str">
        <f t="shared" si="4"/>
        <v>Caldw</v>
      </c>
      <c r="E76" t="str">
        <f t="shared" si="5"/>
        <v>any A</v>
      </c>
    </row>
    <row r="77" spans="1:5" ht="15.75" customHeight="1">
      <c r="A77" s="9" t="s">
        <v>155</v>
      </c>
      <c r="B77" s="9" t="s">
        <v>156</v>
      </c>
      <c r="C77" t="str">
        <f t="shared" si="3"/>
        <v>lod</v>
      </c>
      <c r="D77" t="str">
        <f t="shared" si="4"/>
        <v>Marmi</v>
      </c>
      <c r="E77" t="str">
        <f t="shared" si="5"/>
        <v>Yves</v>
      </c>
    </row>
    <row r="78" spans="1:5" ht="15.75" customHeight="1">
      <c r="A78" s="9" t="s">
        <v>157</v>
      </c>
      <c r="B78" s="9" t="s">
        <v>158</v>
      </c>
      <c r="C78" t="str">
        <f t="shared" si="3"/>
        <v>er-</v>
      </c>
      <c r="D78" t="str">
        <f t="shared" si="4"/>
        <v>Clout</v>
      </c>
      <c r="E78" t="str">
        <f t="shared" si="5"/>
        <v>ielle</v>
      </c>
    </row>
    <row r="79" spans="1:5" ht="15.75" customHeight="1">
      <c r="A79" s="9" t="s">
        <v>159</v>
      </c>
      <c r="B79" s="9" t="s">
        <v>160</v>
      </c>
      <c r="C79" t="str">
        <f t="shared" si="3"/>
        <v>Ms</v>
      </c>
      <c r="D79" t="str">
        <f t="shared" si="4"/>
        <v>Vegas</v>
      </c>
      <c r="E79" t="str">
        <f t="shared" si="5"/>
        <v>Julia</v>
      </c>
    </row>
    <row r="80" spans="1:5" ht="15.75" customHeight="1">
      <c r="A80" s="9" t="s">
        <v>161</v>
      </c>
      <c r="B80" s="9" t="s">
        <v>162</v>
      </c>
      <c r="C80" t="str">
        <f t="shared" si="3"/>
        <v>n,</v>
      </c>
      <c r="D80" t="str">
        <f t="shared" si="4"/>
        <v>Cochr</v>
      </c>
      <c r="E80" t="str">
        <f t="shared" si="5"/>
        <v>oshua</v>
      </c>
    </row>
    <row r="81" spans="1:5" ht="15.75" customHeight="1">
      <c r="A81" s="9" t="s">
        <v>163</v>
      </c>
      <c r="B81" s="9" t="s">
        <v>164</v>
      </c>
      <c r="C81" t="str">
        <f t="shared" si="3"/>
        <v>ppl</v>
      </c>
      <c r="D81" t="str">
        <f t="shared" si="4"/>
        <v>Holtz</v>
      </c>
      <c r="E81" t="str">
        <f t="shared" si="5"/>
        <v>nifer</v>
      </c>
    </row>
    <row r="82" spans="1:5" ht="15.75" customHeight="1">
      <c r="A82" s="9" t="s">
        <v>165</v>
      </c>
      <c r="B82" s="9" t="s">
        <v>166</v>
      </c>
      <c r="C82" t="str">
        <f t="shared" si="3"/>
        <v>Ms</v>
      </c>
      <c r="D82" t="str">
        <f t="shared" si="4"/>
        <v>Meyer</v>
      </c>
      <c r="E82" t="str">
        <f t="shared" si="5"/>
        <v>en M.</v>
      </c>
    </row>
    <row r="83" spans="1:5" ht="15.75" customHeight="1">
      <c r="A83" s="9" t="s">
        <v>167</v>
      </c>
      <c r="B83" s="9" t="s">
        <v>168</v>
      </c>
      <c r="C83" t="str">
        <f t="shared" si="3"/>
        <v>ey,</v>
      </c>
      <c r="D83" t="str">
        <f t="shared" si="4"/>
        <v>Brick</v>
      </c>
      <c r="E83" t="str">
        <f t="shared" si="5"/>
        <v>trick</v>
      </c>
    </row>
    <row r="84" spans="1:5" ht="15.75" customHeight="1">
      <c r="A84" s="9" t="s">
        <v>169</v>
      </c>
      <c r="B84" s="9" t="s">
        <v>170</v>
      </c>
      <c r="C84" t="str">
        <f t="shared" si="3"/>
        <v>Ms</v>
      </c>
      <c r="D84" t="str">
        <f t="shared" si="4"/>
        <v>Magee</v>
      </c>
      <c r="E84" t="str">
        <f t="shared" si="5"/>
        <v>Kate</v>
      </c>
    </row>
    <row r="85" spans="1:5" ht="15.75" customHeight="1">
      <c r="A85" s="9" t="s">
        <v>171</v>
      </c>
      <c r="B85" s="9" t="s">
        <v>172</v>
      </c>
      <c r="C85" t="str">
        <f t="shared" si="3"/>
        <v>Mr</v>
      </c>
      <c r="D85" t="str">
        <f t="shared" si="4"/>
        <v>Thoma</v>
      </c>
      <c r="E85" t="str">
        <f t="shared" si="5"/>
        <v>Kevin</v>
      </c>
    </row>
    <row r="86" spans="1:5" ht="15.75" customHeight="1">
      <c r="A86" s="9" t="s">
        <v>173</v>
      </c>
      <c r="B86" s="9" t="s">
        <v>174</v>
      </c>
      <c r="C86" t="str">
        <f t="shared" si="3"/>
        <v>Mr</v>
      </c>
      <c r="D86" t="str">
        <f t="shared" si="4"/>
        <v>Heagy</v>
      </c>
      <c r="E86" t="str">
        <f t="shared" si="5"/>
        <v>en II</v>
      </c>
    </row>
    <row r="87" spans="1:5" ht="15.75" customHeight="1">
      <c r="A87" s="9" t="s">
        <v>175</v>
      </c>
      <c r="B87" s="9" t="s">
        <v>176</v>
      </c>
      <c r="C87" t="str">
        <f t="shared" si="3"/>
        <v>r,</v>
      </c>
      <c r="D87" t="str">
        <f t="shared" si="4"/>
        <v>Regni</v>
      </c>
      <c r="E87" t="str">
        <f t="shared" si="5"/>
        <v>hilip</v>
      </c>
    </row>
    <row r="88" spans="1:5" ht="15.75" customHeight="1">
      <c r="A88" s="9" t="s">
        <v>177</v>
      </c>
      <c r="B88" s="9" t="s">
        <v>178</v>
      </c>
      <c r="C88" t="str">
        <f t="shared" si="3"/>
        <v>o,</v>
      </c>
      <c r="D88" t="str">
        <f t="shared" si="4"/>
        <v>Paren</v>
      </c>
      <c r="E88" t="str">
        <f t="shared" si="5"/>
        <v>ett A</v>
      </c>
    </row>
    <row r="89" spans="1:5" ht="15.75" customHeight="1">
      <c r="A89" s="9" t="s">
        <v>179</v>
      </c>
      <c r="B89" s="9" t="s">
        <v>180</v>
      </c>
      <c r="C89" t="str">
        <f t="shared" si="3"/>
        <v>, M</v>
      </c>
      <c r="D89" t="str">
        <f t="shared" si="4"/>
        <v>Schel</v>
      </c>
      <c r="E89" t="str">
        <f t="shared" si="5"/>
        <v>becca</v>
      </c>
    </row>
    <row r="90" spans="1:5" ht="15.75" customHeight="1">
      <c r="A90" s="9" t="s">
        <v>181</v>
      </c>
      <c r="B90" s="9" t="s">
        <v>182</v>
      </c>
      <c r="C90" t="str">
        <f t="shared" si="3"/>
        <v>ll,</v>
      </c>
      <c r="D90" t="str">
        <f t="shared" si="4"/>
        <v>Drisc</v>
      </c>
      <c r="E90" t="str">
        <f t="shared" si="5"/>
        <v>elley</v>
      </c>
    </row>
    <row r="91" spans="1:5" ht="15.75" customHeight="1">
      <c r="A91" s="9" t="s">
        <v>183</v>
      </c>
      <c r="B91" s="9" t="s">
        <v>184</v>
      </c>
      <c r="C91" t="str">
        <f t="shared" si="3"/>
        <v>ll,</v>
      </c>
      <c r="D91" t="str">
        <f t="shared" si="4"/>
        <v>Mitch</v>
      </c>
      <c r="E91" t="str">
        <f t="shared" si="5"/>
        <v>ail K</v>
      </c>
    </row>
    <row r="92" spans="1:5" ht="15.75" customHeight="1">
      <c r="A92" s="9" t="s">
        <v>185</v>
      </c>
      <c r="B92" s="9" t="s">
        <v>186</v>
      </c>
      <c r="C92" t="str">
        <f t="shared" si="3"/>
        <v>, M</v>
      </c>
      <c r="D92" t="str">
        <f t="shared" si="4"/>
        <v>Cutle</v>
      </c>
      <c r="E92" t="str">
        <f t="shared" si="5"/>
        <v>Hope</v>
      </c>
    </row>
    <row r="93" spans="1:5" ht="15.75" customHeight="1">
      <c r="A93" s="9" t="s">
        <v>187</v>
      </c>
      <c r="B93" s="9" t="s">
        <v>188</v>
      </c>
      <c r="C93" t="str">
        <f t="shared" si="3"/>
        <v>, M</v>
      </c>
      <c r="D93" t="str">
        <f t="shared" si="4"/>
        <v>Deria</v>
      </c>
      <c r="E93" t="str">
        <f t="shared" si="5"/>
        <v>se M.</v>
      </c>
    </row>
    <row r="94" spans="1:5" ht="15.75" customHeight="1">
      <c r="A94" s="9" t="s">
        <v>189</v>
      </c>
      <c r="B94" s="9" t="s">
        <v>190</v>
      </c>
      <c r="C94" t="str">
        <f t="shared" si="3"/>
        <v>, M</v>
      </c>
      <c r="D94" t="str">
        <f t="shared" si="4"/>
        <v>Farin</v>
      </c>
      <c r="E94" t="str">
        <f t="shared" si="5"/>
        <v>holas</v>
      </c>
    </row>
    <row r="95" spans="1:5" ht="15.75" customHeight="1">
      <c r="A95" s="9" t="s">
        <v>191</v>
      </c>
      <c r="B95" s="9" t="s">
        <v>192</v>
      </c>
      <c r="C95" t="str">
        <f t="shared" si="3"/>
        <v>rs,</v>
      </c>
      <c r="D95" t="str">
        <f t="shared" si="4"/>
        <v>Saund</v>
      </c>
      <c r="E95" t="str">
        <f t="shared" si="5"/>
        <v>David</v>
      </c>
    </row>
    <row r="96" spans="1:5" ht="15.75" customHeight="1">
      <c r="A96" s="9" t="s">
        <v>193</v>
      </c>
      <c r="B96" s="9" t="s">
        <v>194</v>
      </c>
      <c r="C96" t="str">
        <f t="shared" si="3"/>
        <v>Ms</v>
      </c>
      <c r="D96" t="str">
        <f t="shared" si="4"/>
        <v>Kratz</v>
      </c>
      <c r="E96" t="str">
        <f t="shared" si="5"/>
        <v>talie</v>
      </c>
    </row>
    <row r="97" spans="1:5" ht="15.75" customHeight="1">
      <c r="A97" s="9" t="s">
        <v>195</v>
      </c>
      <c r="B97" s="9" t="s">
        <v>196</v>
      </c>
      <c r="C97" t="str">
        <f t="shared" si="3"/>
        <v>, M</v>
      </c>
      <c r="D97" t="str">
        <f t="shared" si="4"/>
        <v>Bolan</v>
      </c>
      <c r="E97" t="str">
        <f t="shared" si="5"/>
        <v>homas</v>
      </c>
    </row>
    <row r="98" spans="1:5" ht="15.75" customHeight="1">
      <c r="A98" s="9" t="s">
        <v>197</v>
      </c>
      <c r="B98" s="9" t="s">
        <v>198</v>
      </c>
      <c r="C98" t="str">
        <f t="shared" si="3"/>
        <v>ut,</v>
      </c>
      <c r="D98" t="str">
        <f t="shared" si="4"/>
        <v>Van H</v>
      </c>
      <c r="E98" t="str">
        <f t="shared" si="5"/>
        <v>la J.</v>
      </c>
    </row>
    <row r="99" spans="1:5" ht="15.75" customHeight="1">
      <c r="A99" s="9" t="s">
        <v>199</v>
      </c>
      <c r="B99" s="9" t="s">
        <v>200</v>
      </c>
      <c r="C99" t="str">
        <f t="shared" si="3"/>
        <v>, M</v>
      </c>
      <c r="D99" t="str">
        <f t="shared" si="4"/>
        <v>Ramse</v>
      </c>
      <c r="E99" t="str">
        <f t="shared" si="5"/>
        <v>ssica</v>
      </c>
    </row>
    <row r="100" spans="1:5" ht="15.75" customHeight="1">
      <c r="A100" s="9" t="s">
        <v>201</v>
      </c>
      <c r="B100" s="9" t="s">
        <v>202</v>
      </c>
      <c r="C100" t="str">
        <f t="shared" si="3"/>
        <v>Mr.</v>
      </c>
      <c r="D100" t="str">
        <f t="shared" si="4"/>
        <v>Gage,</v>
      </c>
      <c r="E100" t="str">
        <f t="shared" si="5"/>
        <v>Ron N</v>
      </c>
    </row>
    <row r="101" spans="1:5" ht="15.75" customHeight="1">
      <c r="A101" s="9" t="s">
        <v>203</v>
      </c>
      <c r="B101" s="9" t="s">
        <v>204</v>
      </c>
      <c r="C101" t="str">
        <f t="shared" si="3"/>
        <v>s,</v>
      </c>
      <c r="D101" t="str">
        <f t="shared" si="4"/>
        <v>Golli</v>
      </c>
      <c r="E101" t="str">
        <f t="shared" si="5"/>
        <v>aniel</v>
      </c>
    </row>
    <row r="102" spans="1:5" ht="15.75" customHeight="1">
      <c r="A102" s="9" t="s">
        <v>205</v>
      </c>
      <c r="B102" s="9" t="s">
        <v>206</v>
      </c>
      <c r="C102" t="str">
        <f t="shared" si="3"/>
        <v>ad,</v>
      </c>
      <c r="D102" t="str">
        <f t="shared" si="4"/>
        <v>Benes</v>
      </c>
      <c r="E102" t="str">
        <f t="shared" si="5"/>
        <v>Brian</v>
      </c>
    </row>
    <row r="103" spans="1:5" ht="15.75" customHeight="1">
      <c r="A103" s="9" t="s">
        <v>207</v>
      </c>
      <c r="B103" s="9" t="s">
        <v>208</v>
      </c>
      <c r="C103" t="str">
        <f t="shared" si="3"/>
        <v>Ms.</v>
      </c>
      <c r="D103" t="str">
        <f t="shared" si="4"/>
        <v>Aviv,</v>
      </c>
      <c r="E103" t="str">
        <f t="shared" si="5"/>
        <v>Sari</v>
      </c>
    </row>
    <row r="104" spans="1:5" ht="15.75" customHeight="1">
      <c r="A104" s="9" t="s">
        <v>209</v>
      </c>
      <c r="B104" s="9" t="s">
        <v>210</v>
      </c>
      <c r="C104" t="str">
        <f t="shared" si="3"/>
        <v>Mr</v>
      </c>
      <c r="D104" t="str">
        <f t="shared" si="4"/>
        <v>Burns</v>
      </c>
      <c r="E104" t="str">
        <f t="shared" si="5"/>
        <v>rt M.</v>
      </c>
    </row>
    <row r="105" spans="1:5" ht="15.75" customHeight="1">
      <c r="A105" s="9" t="s">
        <v>211</v>
      </c>
      <c r="B105" s="9" t="s">
        <v>212</v>
      </c>
      <c r="C105" t="str">
        <f t="shared" si="3"/>
        <v>ado</v>
      </c>
      <c r="D105" t="str">
        <f t="shared" si="4"/>
        <v>Maldo</v>
      </c>
      <c r="E105" t="str">
        <f t="shared" si="5"/>
        <v>cardo</v>
      </c>
    </row>
    <row r="106" spans="1:5" ht="15.75" customHeight="1">
      <c r="A106" s="9" t="s">
        <v>213</v>
      </c>
      <c r="B106" s="9" t="s">
        <v>214</v>
      </c>
      <c r="C106" t="str">
        <f t="shared" si="3"/>
        <v>, M</v>
      </c>
      <c r="D106" t="str">
        <f t="shared" si="4"/>
        <v>Yitre</v>
      </c>
      <c r="E106" t="str">
        <f t="shared" si="5"/>
        <v>edion</v>
      </c>
    </row>
    <row r="107" spans="1:5" ht="15.75" customHeight="1">
      <c r="A107" s="9" t="s">
        <v>215</v>
      </c>
      <c r="B107" s="9" t="s">
        <v>216</v>
      </c>
      <c r="C107" t="str">
        <f t="shared" si="3"/>
        <v>-Br</v>
      </c>
      <c r="D107" t="str">
        <f t="shared" si="4"/>
        <v>Loudo</v>
      </c>
      <c r="E107" t="str">
        <f t="shared" si="5"/>
        <v>Mark</v>
      </c>
    </row>
    <row r="108" spans="1:5" ht="15.75" customHeight="1">
      <c r="A108" s="9" t="s">
        <v>217</v>
      </c>
      <c r="B108" s="9" t="s">
        <v>218</v>
      </c>
      <c r="C108" t="str">
        <f t="shared" si="3"/>
        <v>ada</v>
      </c>
      <c r="D108" t="str">
        <f t="shared" si="4"/>
        <v>Sugat</v>
      </c>
      <c r="E108" t="str">
        <f t="shared" si="5"/>
        <v>ni P.</v>
      </c>
    </row>
    <row r="109" spans="1:5" ht="15.75" customHeight="1">
      <c r="A109" s="9" t="s">
        <v>219</v>
      </c>
      <c r="B109" s="9" t="s">
        <v>220</v>
      </c>
      <c r="C109" t="str">
        <f t="shared" si="3"/>
        <v>, M</v>
      </c>
      <c r="D109" t="str">
        <f t="shared" si="4"/>
        <v>Ganle</v>
      </c>
      <c r="E109" t="str">
        <f t="shared" si="5"/>
        <v>ily J</v>
      </c>
    </row>
    <row r="110" spans="1:5" ht="15.75" customHeight="1">
      <c r="A110" s="9" t="s">
        <v>221</v>
      </c>
      <c r="B110" s="9" t="s">
        <v>222</v>
      </c>
      <c r="C110" t="str">
        <f t="shared" si="3"/>
        <v>, M</v>
      </c>
      <c r="D110" t="str">
        <f t="shared" si="4"/>
        <v>Potte</v>
      </c>
      <c r="E110" t="str">
        <f t="shared" si="5"/>
        <v>manda</v>
      </c>
    </row>
    <row r="111" spans="1:5" ht="15.75" customHeight="1">
      <c r="A111" s="9" t="s">
        <v>223</v>
      </c>
      <c r="B111" s="9" t="s">
        <v>224</v>
      </c>
      <c r="C111" t="str">
        <f t="shared" si="3"/>
        <v>sen</v>
      </c>
      <c r="D111" t="str">
        <f t="shared" si="4"/>
        <v>Rasmu</v>
      </c>
      <c r="E111" t="str">
        <f t="shared" si="5"/>
        <v>holas</v>
      </c>
    </row>
    <row r="112" spans="1:5" ht="15.75" customHeight="1">
      <c r="A112" s="9" t="s">
        <v>225</v>
      </c>
      <c r="B112" s="9" t="s">
        <v>226</v>
      </c>
      <c r="C112" t="str">
        <f t="shared" si="3"/>
        <v>on,</v>
      </c>
      <c r="D112" t="str">
        <f t="shared" si="4"/>
        <v>Robin</v>
      </c>
      <c r="E112" t="str">
        <f t="shared" si="5"/>
        <v>Knox</v>
      </c>
    </row>
    <row r="113" spans="1:5" ht="15.75" customHeight="1">
      <c r="A113" s="9" t="s">
        <v>227</v>
      </c>
      <c r="B113" s="9" t="s">
        <v>228</v>
      </c>
      <c r="C113" t="str">
        <f t="shared" si="3"/>
        <v>pou</v>
      </c>
      <c r="D113" t="str">
        <f t="shared" si="4"/>
        <v>Anton</v>
      </c>
      <c r="E113" t="str">
        <f t="shared" si="5"/>
        <v>ianna</v>
      </c>
    </row>
    <row r="114" spans="1:5" ht="15.75" customHeight="1">
      <c r="A114" s="9" t="s">
        <v>229</v>
      </c>
      <c r="B114" s="9" t="s">
        <v>230</v>
      </c>
      <c r="C114" t="str">
        <f t="shared" si="3"/>
        <v>, M</v>
      </c>
      <c r="D114" t="str">
        <f t="shared" si="4"/>
        <v>Grone</v>
      </c>
      <c r="E114" t="str">
        <f t="shared" si="5"/>
        <v>berta</v>
      </c>
    </row>
    <row r="115" spans="1:5" ht="15.75" customHeight="1">
      <c r="A115" s="9" t="s">
        <v>231</v>
      </c>
      <c r="B115" s="9" t="s">
        <v>232</v>
      </c>
      <c r="C115" t="str">
        <f t="shared" si="3"/>
        <v>i,</v>
      </c>
      <c r="D115" t="str">
        <f t="shared" si="4"/>
        <v>Zywic</v>
      </c>
      <c r="E115" t="str">
        <f t="shared" si="5"/>
        <v>in P.</v>
      </c>
    </row>
    <row r="116" spans="1:5" ht="15.75" customHeight="1">
      <c r="A116" s="9" t="s">
        <v>233</v>
      </c>
      <c r="B116" s="9" t="s">
        <v>234</v>
      </c>
      <c r="C116" t="str">
        <f t="shared" si="3"/>
        <v>al,</v>
      </c>
      <c r="D116" t="str">
        <f t="shared" si="4"/>
        <v>Cardi</v>
      </c>
      <c r="E116" t="str">
        <f t="shared" si="5"/>
        <v>Craig</v>
      </c>
    </row>
    <row r="117" spans="1:5" ht="15.75" customHeight="1">
      <c r="A117" s="9" t="s">
        <v>235</v>
      </c>
      <c r="B117" s="9" t="s">
        <v>236</v>
      </c>
      <c r="C117" t="str">
        <f t="shared" si="3"/>
        <v>n,</v>
      </c>
      <c r="D117" t="str">
        <f t="shared" si="4"/>
        <v>Allem</v>
      </c>
      <c r="E117" t="str">
        <f t="shared" si="5"/>
        <v>Ann</v>
      </c>
    </row>
    <row r="118" spans="1:5" ht="15.75" customHeight="1">
      <c r="A118" s="9" t="s">
        <v>237</v>
      </c>
      <c r="B118" s="9" t="s">
        <v>238</v>
      </c>
      <c r="C118" t="str">
        <f t="shared" si="3"/>
        <v>oli</v>
      </c>
      <c r="D118" t="str">
        <f t="shared" si="4"/>
        <v>Strof</v>
      </c>
      <c r="E118" t="str">
        <f t="shared" si="5"/>
        <v>mie P</v>
      </c>
    </row>
    <row r="119" spans="1:5" ht="15.75" customHeight="1">
      <c r="A119" s="9" t="s">
        <v>239</v>
      </c>
      <c r="B119" s="9" t="s">
        <v>240</v>
      </c>
      <c r="C119" t="str">
        <f t="shared" si="3"/>
        <v>Mr</v>
      </c>
      <c r="D119" t="str">
        <f t="shared" si="4"/>
        <v>Clubb</v>
      </c>
      <c r="E119" t="str">
        <f t="shared" si="5"/>
        <v>John</v>
      </c>
    </row>
    <row r="120" spans="1:5" ht="15.75" customHeight="1">
      <c r="A120" s="9" t="s">
        <v>241</v>
      </c>
      <c r="B120" s="9" t="s">
        <v>242</v>
      </c>
      <c r="C120" t="str">
        <f t="shared" si="3"/>
        <v>an,</v>
      </c>
      <c r="D120" t="str">
        <f t="shared" si="4"/>
        <v>McGoo</v>
      </c>
      <c r="E120" t="str">
        <f t="shared" si="5"/>
        <v>arlie</v>
      </c>
    </row>
    <row r="121" spans="1:5" ht="15.75" customHeight="1">
      <c r="A121" s="9" t="s">
        <v>243</v>
      </c>
      <c r="B121" s="9" t="s">
        <v>244</v>
      </c>
      <c r="C121" t="str">
        <f t="shared" si="3"/>
        <v>igh</v>
      </c>
      <c r="D121" t="str">
        <f t="shared" si="4"/>
        <v>Kefle</v>
      </c>
      <c r="E121" t="str">
        <f t="shared" si="5"/>
        <v>Meb</v>
      </c>
    </row>
    <row r="122" spans="1:5" ht="15.75" customHeight="1">
      <c r="A122" s="9" t="s">
        <v>245</v>
      </c>
      <c r="B122" s="9" t="s">
        <v>246</v>
      </c>
      <c r="C122" t="str">
        <f t="shared" si="3"/>
        <v>Mr.</v>
      </c>
      <c r="D122" t="str">
        <f t="shared" si="4"/>
        <v>Syed,</v>
      </c>
      <c r="E122" t="str">
        <f t="shared" si="5"/>
        <v>ib L.</v>
      </c>
    </row>
    <row r="123" spans="1:5" ht="15.75" customHeight="1">
      <c r="A123" s="9" t="s">
        <v>247</v>
      </c>
      <c r="B123" s="9" t="s">
        <v>248</v>
      </c>
      <c r="C123" t="str">
        <f t="shared" si="3"/>
        <v>Mr</v>
      </c>
      <c r="D123" t="str">
        <f t="shared" si="4"/>
        <v>Segal</v>
      </c>
      <c r="E123" t="str">
        <f t="shared" si="5"/>
        <v>ig A.</v>
      </c>
    </row>
    <row r="124" spans="1:5" ht="15.75" customHeight="1">
      <c r="A124" s="9" t="s">
        <v>249</v>
      </c>
      <c r="B124" s="9" t="s">
        <v>250</v>
      </c>
      <c r="C124" t="str">
        <f t="shared" si="3"/>
        <v>co,</v>
      </c>
      <c r="D124" t="str">
        <f t="shared" si="4"/>
        <v>Defra</v>
      </c>
      <c r="E124" t="str">
        <f t="shared" si="5"/>
        <v>edith</v>
      </c>
    </row>
    <row r="125" spans="1:5" ht="15.75" customHeight="1">
      <c r="A125" s="9" t="s">
        <v>251</v>
      </c>
      <c r="B125" s="9" t="s">
        <v>252</v>
      </c>
      <c r="C125" t="str">
        <f t="shared" si="3"/>
        <v>Mr</v>
      </c>
      <c r="D125" t="str">
        <f t="shared" si="4"/>
        <v>Kells</v>
      </c>
      <c r="E125" t="str">
        <f t="shared" si="5"/>
        <v>Doug</v>
      </c>
    </row>
    <row r="126" spans="1:5" ht="15.75" customHeight="1">
      <c r="A126" s="9" t="s">
        <v>253</v>
      </c>
      <c r="B126" s="9" t="s">
        <v>254</v>
      </c>
      <c r="C126" t="str">
        <f t="shared" si="3"/>
        <v>, M</v>
      </c>
      <c r="D126" t="str">
        <f t="shared" si="4"/>
        <v>Lawto</v>
      </c>
      <c r="E126" t="str">
        <f t="shared" si="5"/>
        <v>th J.</v>
      </c>
    </row>
    <row r="127" spans="1:5" ht="15.75" customHeight="1">
      <c r="A127" s="9" t="s">
        <v>255</v>
      </c>
      <c r="B127" s="9" t="s">
        <v>256</v>
      </c>
      <c r="C127" t="str">
        <f t="shared" si="3"/>
        <v>Mr</v>
      </c>
      <c r="D127" t="str">
        <f t="shared" si="4"/>
        <v>Bejar</v>
      </c>
      <c r="E127" t="str">
        <f t="shared" si="5"/>
        <v>hew P</v>
      </c>
    </row>
    <row r="128" spans="1:5" ht="15.75" customHeight="1">
      <c r="A128" s="9" t="s">
        <v>257</v>
      </c>
      <c r="B128" s="9" t="s">
        <v>258</v>
      </c>
      <c r="C128" t="str">
        <f t="shared" si="3"/>
        <v>o C</v>
      </c>
      <c r="D128" t="str">
        <f t="shared" si="4"/>
        <v>Navar</v>
      </c>
      <c r="E128" t="str">
        <f t="shared" si="5"/>
        <v>o Sr.</v>
      </c>
    </row>
    <row r="129" spans="1:5" ht="15.75" customHeight="1">
      <c r="A129" s="9" t="s">
        <v>259</v>
      </c>
      <c r="B129" s="9" t="s">
        <v>260</v>
      </c>
      <c r="C129" t="str">
        <f t="shared" si="3"/>
        <v>Mr.</v>
      </c>
      <c r="D129" t="str">
        <f t="shared" si="4"/>
        <v>Tice,</v>
      </c>
      <c r="E129" t="str">
        <f t="shared" si="5"/>
        <v>yan C</v>
      </c>
    </row>
    <row r="130" spans="1:5" ht="15.75" customHeight="1">
      <c r="A130" s="9" t="s">
        <v>261</v>
      </c>
      <c r="B130" s="9" t="s">
        <v>262</v>
      </c>
      <c r="C130" t="str">
        <f t="shared" si="3"/>
        <v>Mr.</v>
      </c>
      <c r="D130" t="str">
        <f t="shared" si="4"/>
        <v>Wolf,</v>
      </c>
      <c r="E130" t="str">
        <f t="shared" si="5"/>
        <v>Dane</v>
      </c>
    </row>
    <row r="131" spans="1:5" ht="15.75" customHeight="1">
      <c r="A131" s="9" t="s">
        <v>263</v>
      </c>
      <c r="B131" s="9" t="s">
        <v>264</v>
      </c>
      <c r="C131" t="str">
        <f t="shared" ref="C131:C194" si="6">MID(B131,7,3)</f>
        <v>l,</v>
      </c>
      <c r="D131" t="str">
        <f t="shared" ref="D131:D194" si="7">LEFT(B131,5)</f>
        <v>Opped</v>
      </c>
      <c r="E131" t="str">
        <f t="shared" ref="E131:E194" si="8">RIGHT(B131,5)</f>
        <v>Jonas</v>
      </c>
    </row>
    <row r="132" spans="1:5" ht="15.75" customHeight="1">
      <c r="A132" s="9" t="s">
        <v>265</v>
      </c>
      <c r="B132" s="9" t="s">
        <v>266</v>
      </c>
      <c r="C132" t="str">
        <f t="shared" si="6"/>
        <v>, M</v>
      </c>
      <c r="D132" t="str">
        <f t="shared" si="7"/>
        <v>Wrigh</v>
      </c>
      <c r="E132" t="str">
        <f t="shared" si="8"/>
        <v>rge E</v>
      </c>
    </row>
    <row r="133" spans="1:5" ht="15.75" customHeight="1">
      <c r="A133" s="9" t="s">
        <v>267</v>
      </c>
      <c r="B133" s="9" t="s">
        <v>268</v>
      </c>
      <c r="C133" t="str">
        <f t="shared" si="6"/>
        <v>Ms</v>
      </c>
      <c r="D133" t="str">
        <f t="shared" si="7"/>
        <v>Ellis</v>
      </c>
      <c r="E133" t="str">
        <f t="shared" si="8"/>
        <v>ara S</v>
      </c>
    </row>
    <row r="134" spans="1:5" ht="15.75" customHeight="1">
      <c r="A134" s="9" t="s">
        <v>269</v>
      </c>
      <c r="B134" s="9" t="s">
        <v>270</v>
      </c>
      <c r="C134" t="str">
        <f t="shared" si="6"/>
        <v>na,</v>
      </c>
      <c r="D134" t="str">
        <f t="shared" si="7"/>
        <v>Taorm</v>
      </c>
      <c r="E134" t="str">
        <f t="shared" si="8"/>
        <v>Nick</v>
      </c>
    </row>
    <row r="135" spans="1:5" ht="15.75" customHeight="1">
      <c r="A135" s="9" t="s">
        <v>271</v>
      </c>
      <c r="B135" s="9" t="s">
        <v>272</v>
      </c>
      <c r="C135" t="str">
        <f t="shared" si="6"/>
        <v>Mr</v>
      </c>
      <c r="D135" t="str">
        <f t="shared" si="7"/>
        <v>Lynch</v>
      </c>
      <c r="E135" t="str">
        <f t="shared" si="8"/>
        <v>mothy</v>
      </c>
    </row>
    <row r="136" spans="1:5" ht="15.75" customHeight="1">
      <c r="A136" s="9" t="s">
        <v>273</v>
      </c>
      <c r="B136" s="9" t="s">
        <v>274</v>
      </c>
      <c r="C136" t="str">
        <f t="shared" si="6"/>
        <v>a,</v>
      </c>
      <c r="D136" t="str">
        <f t="shared" si="7"/>
        <v>Tavel</v>
      </c>
      <c r="E136" t="str">
        <f t="shared" si="8"/>
        <v>cky L</v>
      </c>
    </row>
    <row r="137" spans="1:5" ht="15.75" customHeight="1">
      <c r="A137" s="9" t="s">
        <v>275</v>
      </c>
      <c r="B137" s="9" t="s">
        <v>276</v>
      </c>
      <c r="C137" t="str">
        <f t="shared" si="6"/>
        <v>d,</v>
      </c>
      <c r="D137" t="str">
        <f t="shared" si="7"/>
        <v>Neufe</v>
      </c>
      <c r="E137" t="str">
        <f t="shared" si="8"/>
        <v>ph K.</v>
      </c>
    </row>
    <row r="138" spans="1:5" ht="15.75" customHeight="1">
      <c r="A138" s="9" t="s">
        <v>277</v>
      </c>
      <c r="B138" s="9" t="s">
        <v>278</v>
      </c>
      <c r="C138" t="str">
        <f t="shared" si="6"/>
        <v>d,</v>
      </c>
      <c r="D138" t="str">
        <f t="shared" si="7"/>
        <v>Walho</v>
      </c>
      <c r="E138" t="str">
        <f t="shared" si="8"/>
        <v>ne B.</v>
      </c>
    </row>
    <row r="139" spans="1:5" ht="15.75" customHeight="1">
      <c r="A139" s="9" t="s">
        <v>279</v>
      </c>
      <c r="B139" s="9" t="s">
        <v>280</v>
      </c>
      <c r="C139" t="str">
        <f t="shared" si="6"/>
        <v>rn,</v>
      </c>
      <c r="D139" t="str">
        <f t="shared" si="7"/>
        <v>Washb</v>
      </c>
      <c r="E139" t="str">
        <f t="shared" si="8"/>
        <v>lor B</v>
      </c>
    </row>
    <row r="140" spans="1:5" ht="15.75" customHeight="1">
      <c r="A140" s="9" t="s">
        <v>281</v>
      </c>
      <c r="B140" s="9" t="s">
        <v>282</v>
      </c>
      <c r="C140" t="str">
        <f t="shared" si="6"/>
        <v>Mr.</v>
      </c>
      <c r="D140" t="str">
        <f t="shared" si="7"/>
        <v>Mroz,</v>
      </c>
      <c r="E140" t="str">
        <f t="shared" si="8"/>
        <v>lliam</v>
      </c>
    </row>
    <row r="141" spans="1:5" ht="15.75" customHeight="1">
      <c r="A141" s="9" t="s">
        <v>283</v>
      </c>
      <c r="B141" s="9" t="s">
        <v>284</v>
      </c>
      <c r="C141" t="str">
        <f t="shared" si="6"/>
        <v>y,</v>
      </c>
      <c r="D141" t="str">
        <f t="shared" si="7"/>
        <v>Canad</v>
      </c>
      <c r="E141" t="str">
        <f t="shared" si="8"/>
        <v>Sage</v>
      </c>
    </row>
    <row r="142" spans="1:5" ht="15.75" customHeight="1">
      <c r="A142" s="9" t="s">
        <v>285</v>
      </c>
      <c r="B142" s="9" t="s">
        <v>286</v>
      </c>
      <c r="C142" t="str">
        <f t="shared" si="6"/>
        <v>, M</v>
      </c>
      <c r="D142" t="str">
        <f t="shared" si="7"/>
        <v>Atkin</v>
      </c>
      <c r="E142" t="str">
        <f t="shared" si="8"/>
        <v>Cole</v>
      </c>
    </row>
    <row r="143" spans="1:5" ht="15.75" customHeight="1">
      <c r="A143" s="9" t="s">
        <v>287</v>
      </c>
      <c r="B143" s="9" t="s">
        <v>288</v>
      </c>
      <c r="C143" t="str">
        <f t="shared" si="6"/>
        <v>nic</v>
      </c>
      <c r="D143" t="str">
        <f t="shared" si="7"/>
        <v>Krope</v>
      </c>
      <c r="E143" t="str">
        <f t="shared" si="8"/>
        <v>Jesse</v>
      </c>
    </row>
    <row r="144" spans="1:5" ht="15.75" customHeight="1">
      <c r="A144" s="9" t="s">
        <v>289</v>
      </c>
      <c r="B144" s="9" t="s">
        <v>290</v>
      </c>
      <c r="C144" t="str">
        <f t="shared" si="6"/>
        <v>, M</v>
      </c>
      <c r="D144" t="str">
        <f t="shared" si="7"/>
        <v>Braun</v>
      </c>
      <c r="E144" t="str">
        <f t="shared" si="8"/>
        <v>mi J.</v>
      </c>
    </row>
    <row r="145" spans="1:5" ht="15.75" customHeight="1">
      <c r="A145" s="9" t="s">
        <v>291</v>
      </c>
      <c r="B145" s="9" t="s">
        <v>292</v>
      </c>
      <c r="C145" t="str">
        <f t="shared" si="6"/>
        <v>on,</v>
      </c>
      <c r="D145" t="str">
        <f t="shared" si="7"/>
        <v>Ander</v>
      </c>
      <c r="E145" t="str">
        <f t="shared" si="8"/>
        <v>ew S.</v>
      </c>
    </row>
    <row r="146" spans="1:5" ht="15.75" customHeight="1">
      <c r="A146" s="9" t="s">
        <v>293</v>
      </c>
      <c r="B146" s="9" t="s">
        <v>294</v>
      </c>
      <c r="C146" t="str">
        <f t="shared" si="6"/>
        <v>y,</v>
      </c>
      <c r="D146" t="str">
        <f t="shared" si="7"/>
        <v>Bilbr</v>
      </c>
      <c r="E146" t="str">
        <f t="shared" si="8"/>
        <v>Eric</v>
      </c>
    </row>
    <row r="147" spans="1:5" ht="15.75" customHeight="1">
      <c r="A147" s="9" t="s">
        <v>295</v>
      </c>
      <c r="B147" s="9" t="s">
        <v>296</v>
      </c>
      <c r="C147" t="str">
        <f t="shared" si="6"/>
        <v>, M</v>
      </c>
      <c r="D147" t="str">
        <f t="shared" si="7"/>
        <v>Curti</v>
      </c>
      <c r="E147" t="str">
        <f t="shared" si="8"/>
        <v>ria R</v>
      </c>
    </row>
    <row r="148" spans="1:5" ht="15.75" customHeight="1">
      <c r="A148" s="9" t="s">
        <v>297</v>
      </c>
      <c r="B148" s="9" t="s">
        <v>298</v>
      </c>
      <c r="C148" t="str">
        <f t="shared" si="6"/>
        <v>Mr</v>
      </c>
      <c r="D148" t="str">
        <f t="shared" si="7"/>
        <v>Meyer</v>
      </c>
      <c r="E148" t="str">
        <f t="shared" si="8"/>
        <v>ael P</v>
      </c>
    </row>
    <row r="149" spans="1:5" ht="15.75" customHeight="1">
      <c r="A149" s="9" t="s">
        <v>299</v>
      </c>
      <c r="B149" s="9" t="s">
        <v>300</v>
      </c>
      <c r="C149" t="str">
        <f t="shared" si="6"/>
        <v>sy,</v>
      </c>
      <c r="D149" t="str">
        <f t="shared" si="7"/>
        <v>Barde</v>
      </c>
      <c r="E149" t="str">
        <f t="shared" si="8"/>
        <v>Rami</v>
      </c>
    </row>
    <row r="150" spans="1:5" ht="15.75" customHeight="1">
      <c r="A150" s="9" t="s">
        <v>301</v>
      </c>
      <c r="B150" s="9" t="s">
        <v>302</v>
      </c>
      <c r="C150" t="str">
        <f t="shared" si="6"/>
        <v>an,</v>
      </c>
      <c r="D150" t="str">
        <f t="shared" si="7"/>
        <v>Shana</v>
      </c>
      <c r="E150" t="str">
        <f t="shared" si="8"/>
        <v>Denis</v>
      </c>
    </row>
    <row r="151" spans="1:5" ht="15.75" customHeight="1">
      <c r="A151" s="9" t="s">
        <v>303</v>
      </c>
      <c r="B151" s="9" t="s">
        <v>304</v>
      </c>
      <c r="C151" t="str">
        <f t="shared" si="6"/>
        <v>, M</v>
      </c>
      <c r="D151" t="str">
        <f t="shared" si="7"/>
        <v>Sutte</v>
      </c>
      <c r="E151" t="str">
        <f t="shared" si="8"/>
        <v>ian E</v>
      </c>
    </row>
    <row r="152" spans="1:5" ht="15.75" customHeight="1">
      <c r="A152" s="9" t="s">
        <v>305</v>
      </c>
      <c r="B152" s="9" t="s">
        <v>306</v>
      </c>
      <c r="C152" t="str">
        <f t="shared" si="6"/>
        <v>, M</v>
      </c>
      <c r="D152" t="str">
        <f t="shared" si="7"/>
        <v>Yesia</v>
      </c>
      <c r="E152" t="str">
        <f t="shared" si="8"/>
        <v>onnie</v>
      </c>
    </row>
    <row r="153" spans="1:5" ht="15.75" customHeight="1">
      <c r="A153" s="9" t="s">
        <v>307</v>
      </c>
      <c r="B153" s="9" t="s">
        <v>308</v>
      </c>
      <c r="C153" t="str">
        <f t="shared" si="6"/>
        <v>Mr</v>
      </c>
      <c r="D153" t="str">
        <f t="shared" si="7"/>
        <v>Meers</v>
      </c>
      <c r="E153" t="str">
        <f t="shared" si="8"/>
        <v>ael P</v>
      </c>
    </row>
    <row r="154" spans="1:5" ht="15.75" customHeight="1">
      <c r="A154" s="9" t="s">
        <v>309</v>
      </c>
      <c r="B154" s="9" t="s">
        <v>310</v>
      </c>
      <c r="C154" t="str">
        <f t="shared" si="6"/>
        <v>, M</v>
      </c>
      <c r="D154" t="str">
        <f t="shared" si="7"/>
        <v>Conlo</v>
      </c>
      <c r="E154" t="str">
        <f t="shared" si="8"/>
        <v>Paul</v>
      </c>
    </row>
    <row r="155" spans="1:5" ht="15.75" customHeight="1">
      <c r="A155" s="9" t="s">
        <v>311</v>
      </c>
      <c r="B155" s="9" t="s">
        <v>312</v>
      </c>
      <c r="C155" t="str">
        <f t="shared" si="6"/>
        <v>in,</v>
      </c>
      <c r="D155" t="str">
        <f t="shared" si="7"/>
        <v>Arnst</v>
      </c>
      <c r="E155" t="str">
        <f t="shared" si="8"/>
        <v>chael</v>
      </c>
    </row>
    <row r="156" spans="1:5" ht="15.75" customHeight="1">
      <c r="A156" s="9" t="s">
        <v>313</v>
      </c>
      <c r="B156" s="9" t="s">
        <v>314</v>
      </c>
      <c r="C156" t="str">
        <f t="shared" si="6"/>
        <v>Mr</v>
      </c>
      <c r="D156" t="str">
        <f t="shared" si="7"/>
        <v>Jurek</v>
      </c>
      <c r="E156" t="str">
        <f t="shared" si="8"/>
        <v>amuel</v>
      </c>
    </row>
    <row r="157" spans="1:5" ht="15.75" customHeight="1">
      <c r="A157" s="9" t="s">
        <v>315</v>
      </c>
      <c r="B157" s="9" t="s">
        <v>316</v>
      </c>
      <c r="C157" t="str">
        <f t="shared" si="6"/>
        <v>Mr</v>
      </c>
      <c r="D157" t="str">
        <f t="shared" si="7"/>
        <v>Thill</v>
      </c>
      <c r="E157" t="str">
        <f t="shared" si="8"/>
        <v>tthew</v>
      </c>
    </row>
    <row r="158" spans="1:5" ht="15.75" customHeight="1">
      <c r="A158" s="9" t="s">
        <v>317</v>
      </c>
      <c r="B158" s="9" t="s">
        <v>318</v>
      </c>
      <c r="C158" t="str">
        <f t="shared" si="6"/>
        <v>Mr.</v>
      </c>
      <c r="D158" t="str">
        <f t="shared" si="7"/>
        <v>Glaz,</v>
      </c>
      <c r="E158" t="str">
        <f t="shared" si="8"/>
        <v>aniel</v>
      </c>
    </row>
    <row r="159" spans="1:5" ht="15.75" customHeight="1">
      <c r="A159" s="9" t="s">
        <v>319</v>
      </c>
      <c r="B159" s="9" t="s">
        <v>320</v>
      </c>
      <c r="C159" t="str">
        <f t="shared" si="6"/>
        <v>n,</v>
      </c>
      <c r="D159" t="str">
        <f t="shared" si="7"/>
        <v>Samps</v>
      </c>
      <c r="E159" t="str">
        <f t="shared" si="8"/>
        <v>Syndy</v>
      </c>
    </row>
    <row r="160" spans="1:5" ht="15.75" customHeight="1">
      <c r="A160" s="9" t="s">
        <v>321</v>
      </c>
      <c r="B160" s="9" t="s">
        <v>322</v>
      </c>
      <c r="C160" t="str">
        <f t="shared" si="6"/>
        <v>, M</v>
      </c>
      <c r="D160" t="str">
        <f t="shared" si="7"/>
        <v>Dulib</v>
      </c>
      <c r="E160" t="str">
        <f t="shared" si="8"/>
        <v>andra</v>
      </c>
    </row>
    <row r="161" spans="1:5" ht="15.75" customHeight="1">
      <c r="A161" s="9" t="s">
        <v>323</v>
      </c>
      <c r="B161" s="9" t="s">
        <v>324</v>
      </c>
      <c r="C161" t="str">
        <f t="shared" si="6"/>
        <v>y,</v>
      </c>
      <c r="D161" t="str">
        <f t="shared" si="7"/>
        <v>Tangu</v>
      </c>
      <c r="E161" t="str">
        <f t="shared" si="8"/>
        <v>T Sr.</v>
      </c>
    </row>
    <row r="162" spans="1:5" ht="15.75" customHeight="1">
      <c r="A162" s="9" t="s">
        <v>325</v>
      </c>
      <c r="B162" s="9" t="s">
        <v>326</v>
      </c>
      <c r="C162" t="str">
        <f t="shared" si="6"/>
        <v>lan</v>
      </c>
      <c r="D162" t="str">
        <f t="shared" si="7"/>
        <v>McCle</v>
      </c>
      <c r="E162" t="str">
        <f t="shared" si="8"/>
        <v>chard</v>
      </c>
    </row>
    <row r="163" spans="1:5" ht="15.75" customHeight="1">
      <c r="A163" s="9" t="s">
        <v>327</v>
      </c>
      <c r="B163" s="9" t="s">
        <v>328</v>
      </c>
      <c r="C163" t="str">
        <f t="shared" si="6"/>
        <v>, M</v>
      </c>
      <c r="D163" t="str">
        <f t="shared" si="7"/>
        <v>Gorma</v>
      </c>
      <c r="E163" t="str">
        <f t="shared" si="8"/>
        <v>ron T</v>
      </c>
    </row>
    <row r="164" spans="1:5" ht="15.75" customHeight="1">
      <c r="A164" s="9" t="s">
        <v>329</v>
      </c>
      <c r="B164" s="9" t="s">
        <v>330</v>
      </c>
      <c r="C164" t="str">
        <f t="shared" si="6"/>
        <v>ura</v>
      </c>
      <c r="D164" t="str">
        <f t="shared" si="7"/>
        <v>Nishi</v>
      </c>
      <c r="E164" t="str">
        <f t="shared" si="8"/>
        <v>Akira</v>
      </c>
    </row>
    <row r="165" spans="1:5" ht="15.75" customHeight="1">
      <c r="A165" s="9" t="s">
        <v>331</v>
      </c>
      <c r="B165" s="9" t="s">
        <v>332</v>
      </c>
      <c r="C165" t="str">
        <f t="shared" si="6"/>
        <v>e,</v>
      </c>
      <c r="D165" t="str">
        <f t="shared" si="7"/>
        <v>Brimb</v>
      </c>
      <c r="E165" t="str">
        <f t="shared" si="8"/>
        <v>Ben</v>
      </c>
    </row>
    <row r="166" spans="1:5" ht="15.75" customHeight="1">
      <c r="A166" s="9" t="s">
        <v>333</v>
      </c>
      <c r="B166" s="9" t="s">
        <v>334</v>
      </c>
      <c r="C166" t="str">
        <f t="shared" si="6"/>
        <v>Ms</v>
      </c>
      <c r="D166" t="str">
        <f t="shared" si="7"/>
        <v>Trenk</v>
      </c>
      <c r="E166" t="str">
        <f t="shared" si="8"/>
        <v>Jana</v>
      </c>
    </row>
    <row r="167" spans="1:5" ht="15.75" customHeight="1">
      <c r="A167" s="9" t="s">
        <v>335</v>
      </c>
      <c r="B167" s="9" t="s">
        <v>336</v>
      </c>
      <c r="C167" t="str">
        <f t="shared" si="6"/>
        <v>nn,</v>
      </c>
      <c r="D167" t="str">
        <f t="shared" si="7"/>
        <v>Wittm</v>
      </c>
      <c r="E167" t="str">
        <f t="shared" si="8"/>
        <v>ay T.</v>
      </c>
    </row>
    <row r="168" spans="1:5" ht="15.75" customHeight="1">
      <c r="A168" s="9" t="s">
        <v>337</v>
      </c>
      <c r="B168" s="9" t="s">
        <v>338</v>
      </c>
      <c r="C168" t="str">
        <f t="shared" si="6"/>
        <v>ay,</v>
      </c>
      <c r="D168" t="str">
        <f t="shared" si="7"/>
        <v>Tremb</v>
      </c>
      <c r="E168" t="str">
        <f t="shared" si="8"/>
        <v>elene</v>
      </c>
    </row>
    <row r="169" spans="1:5" ht="15.75" customHeight="1">
      <c r="A169" s="9" t="s">
        <v>339</v>
      </c>
      <c r="B169" s="9" t="s">
        <v>340</v>
      </c>
      <c r="C169" t="str">
        <f t="shared" si="6"/>
        <v>ld,</v>
      </c>
      <c r="D169" t="str">
        <f t="shared" si="7"/>
        <v>Scofi</v>
      </c>
      <c r="E169" t="str">
        <f t="shared" si="8"/>
        <v>ret R</v>
      </c>
    </row>
    <row r="170" spans="1:5" ht="15.75" customHeight="1">
      <c r="A170" s="9" t="s">
        <v>341</v>
      </c>
      <c r="B170" s="9" t="s">
        <v>342</v>
      </c>
      <c r="C170" t="str">
        <f t="shared" si="6"/>
        <v>Mr.</v>
      </c>
      <c r="D170" t="str">
        <f t="shared" si="7"/>
        <v>Yost,</v>
      </c>
      <c r="E170" t="str">
        <f t="shared" si="8"/>
        <v>ner L</v>
      </c>
    </row>
    <row r="171" spans="1:5" ht="15.75" customHeight="1">
      <c r="A171" s="9" t="s">
        <v>343</v>
      </c>
      <c r="B171" s="9" t="s">
        <v>344</v>
      </c>
      <c r="C171" t="str">
        <f t="shared" si="6"/>
        <v>, M</v>
      </c>
      <c r="D171" t="str">
        <f t="shared" si="7"/>
        <v>Torph</v>
      </c>
      <c r="E171" t="str">
        <f t="shared" si="8"/>
        <v>Bobby</v>
      </c>
    </row>
    <row r="172" spans="1:5" ht="15.75" customHeight="1">
      <c r="A172" s="9" t="s">
        <v>345</v>
      </c>
      <c r="B172" s="9" t="s">
        <v>346</v>
      </c>
      <c r="C172" t="str">
        <f t="shared" si="6"/>
        <v>Ms</v>
      </c>
      <c r="D172" t="str">
        <f t="shared" si="7"/>
        <v>Busby</v>
      </c>
      <c r="E172" t="str">
        <f t="shared" si="8"/>
        <v>talie</v>
      </c>
    </row>
    <row r="173" spans="1:5" ht="15.75" customHeight="1">
      <c r="A173" s="9" t="s">
        <v>347</v>
      </c>
      <c r="B173" s="9" t="s">
        <v>348</v>
      </c>
      <c r="C173" t="str">
        <f t="shared" si="6"/>
        <v>, M</v>
      </c>
      <c r="D173" t="str">
        <f t="shared" si="7"/>
        <v>Nguye</v>
      </c>
      <c r="E173" t="str">
        <f t="shared" si="8"/>
        <v>Lina</v>
      </c>
    </row>
    <row r="174" spans="1:5" ht="15.75" customHeight="1">
      <c r="A174" s="9" t="s">
        <v>349</v>
      </c>
      <c r="B174" s="9" t="s">
        <v>350</v>
      </c>
      <c r="C174" t="str">
        <f t="shared" si="6"/>
        <v>, M</v>
      </c>
      <c r="D174" t="str">
        <f t="shared" si="7"/>
        <v>Hanle</v>
      </c>
      <c r="E174" t="str">
        <f t="shared" si="8"/>
        <v>bulon</v>
      </c>
    </row>
    <row r="175" spans="1:5" ht="15.75" customHeight="1">
      <c r="A175" s="9" t="s">
        <v>351</v>
      </c>
      <c r="B175" s="9" t="s">
        <v>352</v>
      </c>
      <c r="C175" t="str">
        <f t="shared" si="6"/>
        <v>, M</v>
      </c>
      <c r="D175" t="str">
        <f t="shared" si="7"/>
        <v>Schee</v>
      </c>
      <c r="E175" t="str">
        <f t="shared" si="8"/>
        <v>manda</v>
      </c>
    </row>
    <row r="176" spans="1:5" ht="15.75" customHeight="1">
      <c r="A176" s="9" t="s">
        <v>353</v>
      </c>
      <c r="B176" s="9" t="s">
        <v>354</v>
      </c>
      <c r="C176" t="str">
        <f t="shared" si="6"/>
        <v>, M</v>
      </c>
      <c r="D176" t="str">
        <f t="shared" si="7"/>
        <v>Ranki</v>
      </c>
      <c r="E176" t="str">
        <f t="shared" si="8"/>
        <v>Greg</v>
      </c>
    </row>
    <row r="177" spans="1:5" ht="15.75" customHeight="1">
      <c r="A177" s="9" t="s">
        <v>355</v>
      </c>
      <c r="B177" s="9" t="s">
        <v>356</v>
      </c>
      <c r="C177" t="str">
        <f t="shared" si="6"/>
        <v>i,</v>
      </c>
      <c r="D177" t="str">
        <f t="shared" si="7"/>
        <v>Ricar</v>
      </c>
      <c r="E177" t="str">
        <f t="shared" si="8"/>
        <v>John</v>
      </c>
    </row>
    <row r="178" spans="1:5" ht="15.75" customHeight="1">
      <c r="A178" s="9" t="s">
        <v>357</v>
      </c>
      <c r="B178" s="9" t="s">
        <v>358</v>
      </c>
      <c r="C178" t="str">
        <f t="shared" si="6"/>
        <v>, M</v>
      </c>
      <c r="D178" t="str">
        <f t="shared" si="7"/>
        <v>Karko</v>
      </c>
      <c r="E178" t="str">
        <f t="shared" si="8"/>
        <v>ey A.</v>
      </c>
    </row>
    <row r="179" spans="1:5" ht="15.75" customHeight="1">
      <c r="A179" s="9" t="s">
        <v>359</v>
      </c>
      <c r="B179" s="9" t="s">
        <v>360</v>
      </c>
      <c r="C179" t="str">
        <f t="shared" si="6"/>
        <v>Die</v>
      </c>
      <c r="D179" t="str">
        <f t="shared" si="7"/>
        <v>Price</v>
      </c>
      <c r="E179" t="str">
        <f t="shared" si="8"/>
        <v>wen L</v>
      </c>
    </row>
    <row r="180" spans="1:5" ht="15.75" customHeight="1">
      <c r="A180" s="9" t="s">
        <v>361</v>
      </c>
      <c r="B180" s="9" t="s">
        <v>362</v>
      </c>
      <c r="C180" t="str">
        <f t="shared" si="6"/>
        <v>l,</v>
      </c>
      <c r="D180" t="str">
        <f t="shared" si="7"/>
        <v>Knisp</v>
      </c>
      <c r="E180" t="str">
        <f t="shared" si="8"/>
        <v>nuela</v>
      </c>
    </row>
    <row r="181" spans="1:5" ht="15.75" customHeight="1">
      <c r="A181" s="9" t="s">
        <v>363</v>
      </c>
      <c r="B181" s="9" t="s">
        <v>364</v>
      </c>
      <c r="C181" t="str">
        <f t="shared" si="6"/>
        <v>Ms.</v>
      </c>
      <c r="D181" t="str">
        <f t="shared" si="7"/>
        <v>King,</v>
      </c>
      <c r="E181" t="str">
        <f t="shared" si="8"/>
        <v>fer L</v>
      </c>
    </row>
    <row r="182" spans="1:5" ht="15.75" customHeight="1">
      <c r="A182" s="9" t="s">
        <v>365</v>
      </c>
      <c r="B182" s="9" t="s">
        <v>366</v>
      </c>
      <c r="C182" t="str">
        <f t="shared" si="6"/>
        <v>son</v>
      </c>
      <c r="D182" t="str">
        <f t="shared" si="7"/>
        <v>Samue</v>
      </c>
      <c r="E182" t="str">
        <f t="shared" si="8"/>
        <v>by W.</v>
      </c>
    </row>
    <row r="183" spans="1:5" ht="15.75" customHeight="1">
      <c r="A183" s="9" t="s">
        <v>367</v>
      </c>
      <c r="B183" s="9" t="s">
        <v>368</v>
      </c>
      <c r="C183" t="str">
        <f t="shared" si="6"/>
        <v>ll,</v>
      </c>
      <c r="D183" t="str">
        <f t="shared" si="7"/>
        <v>Freds</v>
      </c>
      <c r="E183" t="str">
        <f t="shared" si="8"/>
        <v>Tyler</v>
      </c>
    </row>
    <row r="184" spans="1:5" ht="15.75" customHeight="1">
      <c r="A184" s="9" t="s">
        <v>369</v>
      </c>
      <c r="B184" s="9" t="s">
        <v>370</v>
      </c>
      <c r="C184" t="str">
        <f t="shared" si="6"/>
        <v>ton</v>
      </c>
      <c r="D184" t="str">
        <f t="shared" si="7"/>
        <v>Eggle</v>
      </c>
      <c r="E184" t="str">
        <f t="shared" si="8"/>
        <v>ffrey</v>
      </c>
    </row>
    <row r="185" spans="1:5" ht="15.75" customHeight="1">
      <c r="A185" s="9" t="s">
        <v>371</v>
      </c>
      <c r="B185" s="9" t="s">
        <v>372</v>
      </c>
      <c r="C185" t="str">
        <f t="shared" si="6"/>
        <v>aro</v>
      </c>
      <c r="D185" t="str">
        <f t="shared" si="7"/>
        <v>Palom</v>
      </c>
      <c r="E185" t="str">
        <f t="shared" si="8"/>
        <v>hew F</v>
      </c>
    </row>
    <row r="186" spans="1:5" ht="15.75" customHeight="1">
      <c r="A186" s="9" t="s">
        <v>373</v>
      </c>
      <c r="B186" s="9" t="s">
        <v>374</v>
      </c>
      <c r="C186" t="str">
        <f t="shared" si="6"/>
        <v>Mr</v>
      </c>
      <c r="D186" t="str">
        <f t="shared" si="7"/>
        <v>Silva</v>
      </c>
      <c r="E186" t="str">
        <f t="shared" si="8"/>
        <v>an J.</v>
      </c>
    </row>
    <row r="187" spans="1:5" ht="15.75" customHeight="1">
      <c r="A187" s="9" t="s">
        <v>375</v>
      </c>
      <c r="B187" s="9" t="s">
        <v>376</v>
      </c>
      <c r="C187" t="str">
        <f t="shared" si="6"/>
        <v>, M</v>
      </c>
      <c r="D187" t="str">
        <f t="shared" si="7"/>
        <v>Bugal</v>
      </c>
      <c r="E187" t="str">
        <f t="shared" si="8"/>
        <v>Amy</v>
      </c>
    </row>
    <row r="188" spans="1:5" ht="15.75" customHeight="1">
      <c r="A188" s="9" t="s">
        <v>377</v>
      </c>
      <c r="B188" s="9" t="s">
        <v>378</v>
      </c>
      <c r="C188" t="str">
        <f t="shared" si="6"/>
        <v>, M</v>
      </c>
      <c r="D188" t="str">
        <f t="shared" si="7"/>
        <v>Dubli</v>
      </c>
      <c r="E188" t="str">
        <f t="shared" si="8"/>
        <v>rew P</v>
      </c>
    </row>
    <row r="189" spans="1:5" ht="15.75" customHeight="1">
      <c r="A189" s="9" t="s">
        <v>379</v>
      </c>
      <c r="B189" s="9" t="s">
        <v>380</v>
      </c>
      <c r="C189" t="str">
        <f t="shared" si="6"/>
        <v>d,</v>
      </c>
      <c r="D189" t="str">
        <f t="shared" si="7"/>
        <v>Clela</v>
      </c>
      <c r="E189" t="str">
        <f t="shared" si="8"/>
        <v>M. V</v>
      </c>
    </row>
    <row r="190" spans="1:5" ht="15.75" customHeight="1">
      <c r="A190" s="9" t="s">
        <v>381</v>
      </c>
      <c r="B190" s="9" t="s">
        <v>382</v>
      </c>
      <c r="C190" t="str">
        <f t="shared" si="6"/>
        <v>Ms</v>
      </c>
      <c r="D190" t="str">
        <f t="shared" si="7"/>
        <v>Evans</v>
      </c>
      <c r="E190" t="str">
        <f t="shared" si="8"/>
        <v>Sarah</v>
      </c>
    </row>
    <row r="191" spans="1:5" ht="15.75" customHeight="1">
      <c r="A191" s="9" t="s">
        <v>383</v>
      </c>
      <c r="B191" s="9" t="s">
        <v>384</v>
      </c>
      <c r="C191" t="str">
        <f t="shared" si="6"/>
        <v>Ms.</v>
      </c>
      <c r="D191" t="str">
        <f t="shared" si="7"/>
        <v>Boyd,</v>
      </c>
      <c r="E191" t="str">
        <f t="shared" si="8"/>
        <v>Lara</v>
      </c>
    </row>
    <row r="192" spans="1:5" ht="15.75" customHeight="1">
      <c r="A192" s="9" t="s">
        <v>385</v>
      </c>
      <c r="B192" s="9" t="s">
        <v>386</v>
      </c>
      <c r="C192" t="str">
        <f t="shared" si="6"/>
        <v>r,</v>
      </c>
      <c r="D192" t="str">
        <f t="shared" si="7"/>
        <v>Rouli</v>
      </c>
      <c r="E192" t="str">
        <f t="shared" si="8"/>
        <v>stien</v>
      </c>
    </row>
    <row r="193" spans="1:5" ht="15.75" customHeight="1">
      <c r="A193" s="9" t="s">
        <v>387</v>
      </c>
      <c r="B193" s="9" t="s">
        <v>388</v>
      </c>
      <c r="C193" t="str">
        <f t="shared" si="6"/>
        <v>s,</v>
      </c>
      <c r="D193" t="str">
        <f t="shared" si="7"/>
        <v>Mulli</v>
      </c>
      <c r="E193" t="str">
        <f t="shared" si="8"/>
        <v>draig</v>
      </c>
    </row>
    <row r="194" spans="1:5" ht="15.75" customHeight="1">
      <c r="A194" s="9" t="s">
        <v>389</v>
      </c>
      <c r="B194" s="9" t="s">
        <v>390</v>
      </c>
      <c r="C194" t="str">
        <f t="shared" si="6"/>
        <v>n,</v>
      </c>
      <c r="D194" t="str">
        <f t="shared" si="7"/>
        <v>Hofma</v>
      </c>
      <c r="E194" t="str">
        <f t="shared" si="8"/>
        <v>ather</v>
      </c>
    </row>
    <row r="195" spans="1:5" ht="15.75" customHeight="1">
      <c r="A195" s="9" t="s">
        <v>391</v>
      </c>
      <c r="B195" s="9" t="s">
        <v>392</v>
      </c>
      <c r="C195" t="str">
        <f t="shared" ref="C195:C258" si="9">MID(B195,7,3)</f>
        <v>Ga</v>
      </c>
      <c r="D195" t="str">
        <f t="shared" ref="D195:D258" si="10">LEFT(B195,5)</f>
        <v>Garci</v>
      </c>
      <c r="E195" t="str">
        <f t="shared" ref="E195:E258" si="11">RIGHT(B195,5)</f>
        <v>Jorge</v>
      </c>
    </row>
    <row r="196" spans="1:5" ht="15.75" customHeight="1">
      <c r="A196" s="9" t="s">
        <v>393</v>
      </c>
      <c r="B196" s="9" t="s">
        <v>394</v>
      </c>
      <c r="C196" t="str">
        <f t="shared" si="9"/>
        <v>r,</v>
      </c>
      <c r="D196" t="str">
        <f t="shared" si="10"/>
        <v>Kleck</v>
      </c>
      <c r="E196" t="str">
        <f t="shared" si="11"/>
        <v>ack R</v>
      </c>
    </row>
    <row r="197" spans="1:5" ht="15.75" customHeight="1">
      <c r="A197" s="9" t="s">
        <v>395</v>
      </c>
      <c r="B197" s="9" t="s">
        <v>396</v>
      </c>
      <c r="C197" t="str">
        <f t="shared" si="9"/>
        <v>, M</v>
      </c>
      <c r="D197" t="str">
        <f t="shared" si="10"/>
        <v>Cancr</v>
      </c>
      <c r="E197" t="str">
        <f t="shared" si="11"/>
        <v>Felix</v>
      </c>
    </row>
    <row r="198" spans="1:5" ht="15.75" customHeight="1">
      <c r="A198" s="9" t="s">
        <v>397</v>
      </c>
      <c r="B198" s="9" t="s">
        <v>398</v>
      </c>
      <c r="C198" t="str">
        <f t="shared" si="9"/>
        <v>i,</v>
      </c>
      <c r="D198" t="str">
        <f t="shared" si="10"/>
        <v>Denuc</v>
      </c>
      <c r="E198" t="str">
        <f t="shared" si="11"/>
        <v>her C</v>
      </c>
    </row>
    <row r="199" spans="1:5" ht="15.75" customHeight="1">
      <c r="A199" s="9" t="s">
        <v>399</v>
      </c>
      <c r="B199" s="9" t="s">
        <v>400</v>
      </c>
      <c r="C199" t="str">
        <f t="shared" si="9"/>
        <v>a,</v>
      </c>
      <c r="D199" t="str">
        <f t="shared" si="10"/>
        <v>Salda</v>
      </c>
      <c r="E199" t="str">
        <f t="shared" si="11"/>
        <v>Jesse</v>
      </c>
    </row>
    <row r="200" spans="1:5" ht="15.75" customHeight="1">
      <c r="A200" s="9" t="s">
        <v>401</v>
      </c>
      <c r="B200" s="9" t="s">
        <v>402</v>
      </c>
      <c r="C200" t="str">
        <f t="shared" si="9"/>
        <v>rg,</v>
      </c>
      <c r="D200" t="str">
        <f t="shared" si="10"/>
        <v>Weinb</v>
      </c>
      <c r="E200" t="str">
        <f t="shared" si="11"/>
        <v>Jill</v>
      </c>
    </row>
    <row r="201" spans="1:5" ht="15.75" customHeight="1">
      <c r="A201" s="9" t="s">
        <v>403</v>
      </c>
      <c r="B201" s="9" t="s">
        <v>404</v>
      </c>
      <c r="C201" t="str">
        <f t="shared" si="9"/>
        <v>Mr</v>
      </c>
      <c r="D201" t="str">
        <f t="shared" si="10"/>
        <v>Walsh</v>
      </c>
      <c r="E201" t="str">
        <f t="shared" si="11"/>
        <v>lliam</v>
      </c>
    </row>
    <row r="202" spans="1:5" ht="15.75" customHeight="1">
      <c r="A202" s="9" t="s">
        <v>405</v>
      </c>
      <c r="B202" s="9" t="s">
        <v>406</v>
      </c>
      <c r="C202" t="str">
        <f t="shared" si="9"/>
        <v>, M</v>
      </c>
      <c r="D202" t="str">
        <f t="shared" si="10"/>
        <v>Paste</v>
      </c>
      <c r="E202" t="str">
        <f t="shared" si="11"/>
        <v>andro</v>
      </c>
    </row>
    <row r="203" spans="1:5" ht="15.75" customHeight="1">
      <c r="A203" s="9" t="s">
        <v>407</v>
      </c>
      <c r="B203" s="9" t="s">
        <v>408</v>
      </c>
      <c r="C203" t="str">
        <f t="shared" si="9"/>
        <v>e,</v>
      </c>
      <c r="D203" t="str">
        <f t="shared" si="10"/>
        <v>LaBel</v>
      </c>
      <c r="E203" t="str">
        <f t="shared" si="11"/>
        <v>an E.</v>
      </c>
    </row>
    <row r="204" spans="1:5" ht="15.75" customHeight="1">
      <c r="A204" s="9" t="s">
        <v>409</v>
      </c>
      <c r="B204" s="9" t="s">
        <v>410</v>
      </c>
      <c r="C204" t="str">
        <f t="shared" si="9"/>
        <v>, M</v>
      </c>
      <c r="D204" t="str">
        <f t="shared" si="10"/>
        <v>Guzma</v>
      </c>
      <c r="E204" t="str">
        <f t="shared" si="11"/>
        <v>r Sr.</v>
      </c>
    </row>
    <row r="205" spans="1:5" ht="15.75" customHeight="1">
      <c r="A205" s="9" t="s">
        <v>411</v>
      </c>
      <c r="B205" s="9" t="s">
        <v>412</v>
      </c>
      <c r="C205" t="str">
        <f t="shared" si="9"/>
        <v>ll,</v>
      </c>
      <c r="D205" t="str">
        <f t="shared" si="10"/>
        <v>Turnb</v>
      </c>
      <c r="E205" t="str">
        <f t="shared" si="11"/>
        <v>becca</v>
      </c>
    </row>
    <row r="206" spans="1:5" ht="15.75" customHeight="1">
      <c r="A206" s="9" t="s">
        <v>413</v>
      </c>
      <c r="B206" s="9" t="s">
        <v>414</v>
      </c>
      <c r="C206" t="str">
        <f t="shared" si="9"/>
        <v>, M</v>
      </c>
      <c r="D206" t="str">
        <f t="shared" si="10"/>
        <v>Aguer</v>
      </c>
      <c r="E206" t="str">
        <f t="shared" si="11"/>
        <v>Matt</v>
      </c>
    </row>
    <row r="207" spans="1:5" ht="15.75" customHeight="1">
      <c r="A207" s="9" t="s">
        <v>415</v>
      </c>
      <c r="B207" s="9" t="s">
        <v>416</v>
      </c>
      <c r="C207" t="str">
        <f t="shared" si="9"/>
        <v>rd,</v>
      </c>
      <c r="D207" t="str">
        <f t="shared" si="10"/>
        <v>Woodw</v>
      </c>
      <c r="E207" t="str">
        <f t="shared" si="11"/>
        <v>eth H</v>
      </c>
    </row>
    <row r="208" spans="1:5" ht="15.75" customHeight="1">
      <c r="A208" s="9" t="s">
        <v>417</v>
      </c>
      <c r="B208" s="9" t="s">
        <v>418</v>
      </c>
      <c r="C208" t="str">
        <f t="shared" si="9"/>
        <v>y,</v>
      </c>
      <c r="D208" t="str">
        <f t="shared" si="10"/>
        <v>McElr</v>
      </c>
      <c r="E208" t="str">
        <f t="shared" si="11"/>
        <v>Grace</v>
      </c>
    </row>
    <row r="209" spans="1:5" ht="15.75" customHeight="1">
      <c r="A209" s="9" t="s">
        <v>419</v>
      </c>
      <c r="B209" s="9" t="s">
        <v>420</v>
      </c>
      <c r="C209" t="str">
        <f t="shared" si="9"/>
        <v>Mr</v>
      </c>
      <c r="D209" t="str">
        <f t="shared" si="10"/>
        <v>Lopez</v>
      </c>
      <c r="E209" t="str">
        <f t="shared" si="11"/>
        <v>Jaime</v>
      </c>
    </row>
    <row r="210" spans="1:5" ht="15.75" customHeight="1">
      <c r="A210" s="9" t="s">
        <v>421</v>
      </c>
      <c r="B210" s="9" t="s">
        <v>422</v>
      </c>
      <c r="C210" t="str">
        <f t="shared" si="9"/>
        <v>i,</v>
      </c>
      <c r="D210" t="str">
        <f t="shared" si="10"/>
        <v>Cardo</v>
      </c>
      <c r="E210" t="str">
        <f t="shared" si="11"/>
        <v>lesse</v>
      </c>
    </row>
    <row r="211" spans="1:5" ht="15.75" customHeight="1">
      <c r="A211" s="9" t="s">
        <v>423</v>
      </c>
      <c r="B211" s="9" t="s">
        <v>424</v>
      </c>
      <c r="C211" t="str">
        <f t="shared" si="9"/>
        <v>, M</v>
      </c>
      <c r="D211" t="str">
        <f t="shared" si="10"/>
        <v>Loone</v>
      </c>
      <c r="E211" t="str">
        <f t="shared" si="11"/>
        <v>ate L</v>
      </c>
    </row>
    <row r="212" spans="1:5" ht="15.75" customHeight="1">
      <c r="A212" s="9" t="s">
        <v>425</v>
      </c>
      <c r="B212" s="9" t="s">
        <v>426</v>
      </c>
      <c r="C212" t="str">
        <f t="shared" si="9"/>
        <v>ov,</v>
      </c>
      <c r="D212" t="str">
        <f t="shared" si="10"/>
        <v>Zyrya</v>
      </c>
      <c r="E212" t="str">
        <f t="shared" si="11"/>
        <v>ergey</v>
      </c>
    </row>
    <row r="213" spans="1:5" ht="15.75" customHeight="1">
      <c r="A213" s="9" t="s">
        <v>427</v>
      </c>
      <c r="B213" s="9" t="s">
        <v>428</v>
      </c>
      <c r="C213" t="str">
        <f t="shared" si="9"/>
        <v>Mr</v>
      </c>
      <c r="D213" t="str">
        <f t="shared" si="10"/>
        <v>Gavin</v>
      </c>
      <c r="E213" t="str">
        <f t="shared" si="11"/>
        <v>thy V</v>
      </c>
    </row>
    <row r="214" spans="1:5" ht="15.75" customHeight="1">
      <c r="A214" s="9" t="s">
        <v>429</v>
      </c>
      <c r="B214" s="9" t="s">
        <v>430</v>
      </c>
      <c r="C214" t="str">
        <f t="shared" si="9"/>
        <v>fie</v>
      </c>
      <c r="D214" t="str">
        <f t="shared" si="10"/>
        <v>Littl</v>
      </c>
      <c r="E214" t="str">
        <f t="shared" si="11"/>
        <v>rew S</v>
      </c>
    </row>
    <row r="215" spans="1:5" ht="15.75" customHeight="1">
      <c r="A215" s="9" t="s">
        <v>431</v>
      </c>
      <c r="B215" s="9" t="s">
        <v>432</v>
      </c>
      <c r="C215" t="str">
        <f t="shared" si="9"/>
        <v>r,</v>
      </c>
      <c r="D215" t="str">
        <f t="shared" si="10"/>
        <v>Shear</v>
      </c>
      <c r="E215" t="str">
        <f t="shared" si="11"/>
        <v>hew D</v>
      </c>
    </row>
    <row r="216" spans="1:5" ht="15.75" customHeight="1">
      <c r="A216" s="9" t="s">
        <v>433</v>
      </c>
      <c r="B216" s="9" t="s">
        <v>434</v>
      </c>
      <c r="C216" t="str">
        <f t="shared" si="9"/>
        <v>ong</v>
      </c>
      <c r="D216" t="str">
        <f t="shared" si="10"/>
        <v>Armst</v>
      </c>
      <c r="E216" t="str">
        <f t="shared" si="11"/>
        <v>ssica</v>
      </c>
    </row>
    <row r="217" spans="1:5" ht="15.75" customHeight="1">
      <c r="A217" s="9" t="s">
        <v>435</v>
      </c>
      <c r="B217" s="9" t="s">
        <v>436</v>
      </c>
      <c r="C217" t="str">
        <f t="shared" si="9"/>
        <v>er,</v>
      </c>
      <c r="D217" t="str">
        <f t="shared" si="10"/>
        <v>Warri</v>
      </c>
      <c r="E217" t="str">
        <f t="shared" si="11"/>
        <v>rence</v>
      </c>
    </row>
    <row r="218" spans="1:5" ht="15.75" customHeight="1">
      <c r="A218" s="9" t="s">
        <v>437</v>
      </c>
      <c r="B218" s="9" t="s">
        <v>438</v>
      </c>
      <c r="C218" t="str">
        <f t="shared" si="9"/>
        <v>Mr</v>
      </c>
      <c r="D218" t="str">
        <f t="shared" si="10"/>
        <v>White</v>
      </c>
      <c r="E218" t="str">
        <f t="shared" si="11"/>
        <v>Alex</v>
      </c>
    </row>
    <row r="219" spans="1:5" ht="15.75" customHeight="1">
      <c r="A219" s="9" t="s">
        <v>439</v>
      </c>
      <c r="B219" s="9" t="s">
        <v>440</v>
      </c>
      <c r="C219" t="str">
        <f t="shared" si="9"/>
        <v>o,</v>
      </c>
      <c r="D219" t="str">
        <f t="shared" si="10"/>
        <v>Corda</v>
      </c>
      <c r="E219" t="str">
        <f t="shared" si="11"/>
        <v>Kevin</v>
      </c>
    </row>
    <row r="220" spans="1:5" ht="15.75" customHeight="1">
      <c r="A220" s="9" t="s">
        <v>441</v>
      </c>
      <c r="B220" s="9" t="s">
        <v>442</v>
      </c>
      <c r="C220" t="str">
        <f t="shared" si="9"/>
        <v>on,</v>
      </c>
      <c r="D220" t="str">
        <f t="shared" si="10"/>
        <v>Hamil</v>
      </c>
      <c r="E220" t="str">
        <f t="shared" si="11"/>
        <v>in M.</v>
      </c>
    </row>
    <row r="221" spans="1:5" ht="15.75" customHeight="1">
      <c r="A221" s="9" t="s">
        <v>443</v>
      </c>
      <c r="B221" s="9" t="s">
        <v>444</v>
      </c>
      <c r="C221" t="str">
        <f t="shared" si="9"/>
        <v>Mr</v>
      </c>
      <c r="D221" t="str">
        <f t="shared" si="10"/>
        <v>Meyer</v>
      </c>
      <c r="E221" t="str">
        <f t="shared" si="11"/>
        <v>ick E</v>
      </c>
    </row>
    <row r="222" spans="1:5" ht="15.75" customHeight="1">
      <c r="A222" s="9" t="s">
        <v>445</v>
      </c>
      <c r="B222" s="9" t="s">
        <v>446</v>
      </c>
      <c r="C222" t="str">
        <f t="shared" si="9"/>
        <v>Ms.</v>
      </c>
      <c r="D222" t="str">
        <f t="shared" si="10"/>
        <v>Duke,</v>
      </c>
      <c r="E222" t="str">
        <f t="shared" si="11"/>
        <v>ea H.</v>
      </c>
    </row>
    <row r="223" spans="1:5" ht="15.75" customHeight="1">
      <c r="A223" s="9" t="s">
        <v>447</v>
      </c>
      <c r="B223" s="9" t="s">
        <v>448</v>
      </c>
      <c r="C223" t="str">
        <f t="shared" si="9"/>
        <v>sta</v>
      </c>
      <c r="D223" t="str">
        <f t="shared" si="10"/>
        <v>Malat</v>
      </c>
      <c r="E223" t="str">
        <f t="shared" si="11"/>
        <v>ony S</v>
      </c>
    </row>
    <row r="224" spans="1:5" ht="15.75" customHeight="1">
      <c r="A224" s="9" t="s">
        <v>449</v>
      </c>
      <c r="B224" s="9" t="s">
        <v>450</v>
      </c>
      <c r="C224" t="str">
        <f t="shared" si="9"/>
        <v>hse</v>
      </c>
      <c r="D224" t="str">
        <f t="shared" si="10"/>
        <v>Hinri</v>
      </c>
      <c r="E224" t="str">
        <f t="shared" si="11"/>
        <v>Erik</v>
      </c>
    </row>
    <row r="225" spans="1:5" ht="15.75" customHeight="1">
      <c r="A225" s="9" t="s">
        <v>451</v>
      </c>
      <c r="B225" s="9" t="s">
        <v>452</v>
      </c>
      <c r="C225" t="str">
        <f t="shared" si="9"/>
        <v>Ms</v>
      </c>
      <c r="D225" t="str">
        <f t="shared" si="10"/>
        <v>Lucan</v>
      </c>
      <c r="E225" t="str">
        <f t="shared" si="11"/>
        <v>ley D</v>
      </c>
    </row>
    <row r="226" spans="1:5" ht="15.75" customHeight="1">
      <c r="A226" s="9" t="s">
        <v>453</v>
      </c>
      <c r="B226" s="9" t="s">
        <v>454</v>
      </c>
      <c r="C226" t="str">
        <f t="shared" si="9"/>
        <v>Ms.</v>
      </c>
      <c r="D226" t="str">
        <f t="shared" si="10"/>
        <v>Koch,</v>
      </c>
      <c r="E226" t="str">
        <f t="shared" si="11"/>
        <v>nifer</v>
      </c>
    </row>
    <row r="227" spans="1:5" ht="15.75" customHeight="1">
      <c r="A227" s="9" t="s">
        <v>455</v>
      </c>
      <c r="B227" s="9" t="s">
        <v>456</v>
      </c>
      <c r="C227" t="str">
        <f t="shared" si="9"/>
        <v>Mr</v>
      </c>
      <c r="D227" t="str">
        <f t="shared" si="10"/>
        <v>Smith</v>
      </c>
      <c r="E227" t="str">
        <f t="shared" si="11"/>
        <v>Chris</v>
      </c>
    </row>
    <row r="228" spans="1:5" ht="15.75" customHeight="1">
      <c r="A228" s="9" t="s">
        <v>457</v>
      </c>
      <c r="B228" s="9" t="s">
        <v>458</v>
      </c>
      <c r="C228" t="str">
        <f t="shared" si="9"/>
        <v>or,</v>
      </c>
      <c r="D228" t="str">
        <f t="shared" si="10"/>
        <v>O'Con</v>
      </c>
      <c r="E228" t="str">
        <f t="shared" si="11"/>
        <v>an M.</v>
      </c>
    </row>
    <row r="229" spans="1:5" ht="15.75" customHeight="1">
      <c r="A229" s="9" t="s">
        <v>459</v>
      </c>
      <c r="B229" s="9" t="s">
        <v>460</v>
      </c>
      <c r="C229" t="str">
        <f t="shared" si="9"/>
        <v>rth</v>
      </c>
      <c r="D229" t="str">
        <f t="shared" si="10"/>
        <v>Kampw</v>
      </c>
      <c r="E229" t="str">
        <f t="shared" si="11"/>
        <v>eremy</v>
      </c>
    </row>
    <row r="230" spans="1:5" ht="15.75" customHeight="1">
      <c r="A230" s="9" t="s">
        <v>461</v>
      </c>
      <c r="B230" s="9" t="s">
        <v>462</v>
      </c>
      <c r="C230" t="str">
        <f t="shared" si="9"/>
        <v>ff,</v>
      </c>
      <c r="D230" t="str">
        <f t="shared" si="10"/>
        <v>Feder</v>
      </c>
      <c r="E230" t="str">
        <f t="shared" si="11"/>
        <v>son H</v>
      </c>
    </row>
    <row r="231" spans="1:5" ht="15.75" customHeight="1">
      <c r="A231" s="9" t="s">
        <v>463</v>
      </c>
      <c r="B231" s="9" t="s">
        <v>464</v>
      </c>
      <c r="C231" t="str">
        <f t="shared" si="9"/>
        <v>Ms.</v>
      </c>
      <c r="D231" t="str">
        <f t="shared" si="10"/>
        <v>Goya,</v>
      </c>
      <c r="E231" t="str">
        <f t="shared" si="11"/>
        <v>abeth</v>
      </c>
    </row>
    <row r="232" spans="1:5" ht="15.75" customHeight="1">
      <c r="A232" s="9" t="s">
        <v>465</v>
      </c>
      <c r="B232" s="9" t="s">
        <v>466</v>
      </c>
      <c r="C232" t="str">
        <f t="shared" si="9"/>
        <v>, M</v>
      </c>
      <c r="D232" t="str">
        <f t="shared" si="10"/>
        <v>Hodge</v>
      </c>
      <c r="E232" t="str">
        <f t="shared" si="11"/>
        <v>ndrew</v>
      </c>
    </row>
    <row r="233" spans="1:5" ht="15.75" customHeight="1">
      <c r="A233" s="9" t="s">
        <v>467</v>
      </c>
      <c r="B233" s="9" t="s">
        <v>468</v>
      </c>
      <c r="C233" t="str">
        <f t="shared" si="9"/>
        <v>on,</v>
      </c>
      <c r="D233" t="str">
        <f t="shared" si="10"/>
        <v>Erick</v>
      </c>
      <c r="E233" t="str">
        <f t="shared" si="11"/>
        <v>ers J</v>
      </c>
    </row>
    <row r="234" spans="1:5" ht="15.75" customHeight="1">
      <c r="A234" s="9" t="s">
        <v>469</v>
      </c>
      <c r="B234" s="9" t="s">
        <v>470</v>
      </c>
      <c r="C234" t="str">
        <f t="shared" si="9"/>
        <v>k,</v>
      </c>
      <c r="D234" t="str">
        <f t="shared" si="10"/>
        <v>Welle</v>
      </c>
      <c r="E234" t="str">
        <f t="shared" si="11"/>
        <v>Sean</v>
      </c>
    </row>
    <row r="235" spans="1:5" ht="15.75" customHeight="1">
      <c r="A235" s="9" t="s">
        <v>471</v>
      </c>
      <c r="B235" s="9" t="s">
        <v>472</v>
      </c>
      <c r="C235" t="str">
        <f t="shared" si="9"/>
        <v>Mr</v>
      </c>
      <c r="D235" t="str">
        <f t="shared" si="10"/>
        <v>Polen</v>
      </c>
      <c r="E235" t="str">
        <f t="shared" si="11"/>
        <v>an M.</v>
      </c>
    </row>
    <row r="236" spans="1:5" ht="15.75" customHeight="1">
      <c r="A236" s="9" t="s">
        <v>473</v>
      </c>
      <c r="B236" s="9" t="s">
        <v>474</v>
      </c>
      <c r="C236" t="str">
        <f t="shared" si="9"/>
        <v>Mr</v>
      </c>
      <c r="D236" t="str">
        <f t="shared" si="10"/>
        <v>Lynch</v>
      </c>
      <c r="E236" t="str">
        <f t="shared" si="11"/>
        <v>eremy</v>
      </c>
    </row>
    <row r="237" spans="1:5" ht="15.75" customHeight="1">
      <c r="A237" s="9" t="s">
        <v>475</v>
      </c>
      <c r="B237" s="9" t="s">
        <v>476</v>
      </c>
      <c r="C237" t="str">
        <f t="shared" si="9"/>
        <v>der</v>
      </c>
      <c r="D237" t="str">
        <f t="shared" si="10"/>
        <v>Hufst</v>
      </c>
      <c r="E237" t="str">
        <f t="shared" si="11"/>
        <v>annah</v>
      </c>
    </row>
    <row r="238" spans="1:5" ht="15.75" customHeight="1">
      <c r="A238" s="9" t="s">
        <v>477</v>
      </c>
      <c r="B238" s="9" t="s">
        <v>478</v>
      </c>
      <c r="C238" t="str">
        <f t="shared" si="9"/>
        <v>Mr.</v>
      </c>
      <c r="D238" t="str">
        <f t="shared" si="10"/>
        <v>Doak,</v>
      </c>
      <c r="E238" t="str">
        <f t="shared" si="11"/>
        <v>Randy</v>
      </c>
    </row>
    <row r="239" spans="1:5" ht="15.75" customHeight="1">
      <c r="A239" s="9" t="s">
        <v>479</v>
      </c>
      <c r="B239" s="9" t="s">
        <v>480</v>
      </c>
      <c r="C239" t="str">
        <f t="shared" si="9"/>
        <v>Mr.</v>
      </c>
      <c r="D239" t="str">
        <f t="shared" si="10"/>
        <v>Noya,</v>
      </c>
      <c r="E239" t="str">
        <f t="shared" si="11"/>
        <v>eslie</v>
      </c>
    </row>
    <row r="240" spans="1:5" ht="15.75" customHeight="1">
      <c r="A240" s="9" t="s">
        <v>481</v>
      </c>
      <c r="B240" s="9" t="s">
        <v>482</v>
      </c>
      <c r="C240" t="str">
        <f t="shared" si="9"/>
        <v>er,</v>
      </c>
      <c r="D240" t="str">
        <f t="shared" si="10"/>
        <v>Henin</v>
      </c>
      <c r="E240" t="str">
        <f t="shared" si="11"/>
        <v>ny L.</v>
      </c>
    </row>
    <row r="241" spans="1:5" ht="15.75" customHeight="1">
      <c r="A241" s="9" t="s">
        <v>483</v>
      </c>
      <c r="B241" s="9" t="s">
        <v>484</v>
      </c>
      <c r="C241" t="str">
        <f t="shared" si="9"/>
        <v>dso</v>
      </c>
      <c r="D241" t="str">
        <f t="shared" si="10"/>
        <v>Richa</v>
      </c>
      <c r="E241" t="str">
        <f t="shared" si="11"/>
        <v>ie J.</v>
      </c>
    </row>
    <row r="242" spans="1:5" ht="15.75" customHeight="1">
      <c r="A242" s="9" t="s">
        <v>485</v>
      </c>
      <c r="B242" s="9" t="s">
        <v>486</v>
      </c>
      <c r="C242" t="str">
        <f t="shared" si="9"/>
        <v>r,</v>
      </c>
      <c r="D242" t="str">
        <f t="shared" si="10"/>
        <v>Deuch</v>
      </c>
      <c r="E242" t="str">
        <f t="shared" si="11"/>
        <v>ter W</v>
      </c>
    </row>
    <row r="243" spans="1:5" ht="15.75" customHeight="1">
      <c r="A243" s="9" t="s">
        <v>487</v>
      </c>
      <c r="B243" s="9" t="s">
        <v>488</v>
      </c>
      <c r="C243" t="str">
        <f t="shared" si="9"/>
        <v>, M</v>
      </c>
      <c r="D243" t="str">
        <f t="shared" si="10"/>
        <v>Wilso</v>
      </c>
      <c r="E243" t="str">
        <f t="shared" si="11"/>
        <v>uglas</v>
      </c>
    </row>
    <row r="244" spans="1:5" ht="15.75" customHeight="1">
      <c r="A244" s="9" t="s">
        <v>489</v>
      </c>
      <c r="B244" s="9" t="s">
        <v>490</v>
      </c>
      <c r="C244" t="str">
        <f t="shared" si="9"/>
        <v>Mr.</v>
      </c>
      <c r="D244" t="str">
        <f t="shared" si="10"/>
        <v>Hall,</v>
      </c>
      <c r="E244" t="str">
        <f t="shared" si="11"/>
        <v>Dan</v>
      </c>
    </row>
    <row r="245" spans="1:5" ht="15.75" customHeight="1">
      <c r="A245" s="9" t="s">
        <v>491</v>
      </c>
      <c r="B245" s="9" t="s">
        <v>492</v>
      </c>
      <c r="C245" t="str">
        <f t="shared" si="9"/>
        <v>Mr.</v>
      </c>
      <c r="D245" t="str">
        <f t="shared" si="10"/>
        <v>Reed,</v>
      </c>
      <c r="E245" t="str">
        <f t="shared" si="11"/>
        <v>an M.</v>
      </c>
    </row>
    <row r="246" spans="1:5" ht="15.75" customHeight="1">
      <c r="A246" s="9" t="s">
        <v>493</v>
      </c>
      <c r="B246" s="9" t="s">
        <v>494</v>
      </c>
      <c r="C246" t="str">
        <f t="shared" si="9"/>
        <v>Mr</v>
      </c>
      <c r="D246" t="str">
        <f t="shared" si="10"/>
        <v>Frome</v>
      </c>
      <c r="E246" t="str">
        <f t="shared" si="11"/>
        <v>ic L.</v>
      </c>
    </row>
    <row r="247" spans="1:5" ht="15.75" customHeight="1">
      <c r="A247" s="9" t="s">
        <v>495</v>
      </c>
      <c r="B247" s="9" t="s">
        <v>496</v>
      </c>
      <c r="C247" t="str">
        <f t="shared" si="9"/>
        <v>, M</v>
      </c>
      <c r="D247" t="str">
        <f t="shared" si="10"/>
        <v>Creas</v>
      </c>
      <c r="E247" t="str">
        <f t="shared" si="11"/>
        <v>Les J</v>
      </c>
    </row>
    <row r="248" spans="1:5" ht="15.75" customHeight="1">
      <c r="A248" s="9" t="s">
        <v>497</v>
      </c>
      <c r="B248" s="9" t="s">
        <v>498</v>
      </c>
      <c r="C248" t="str">
        <f t="shared" si="9"/>
        <v>r,</v>
      </c>
      <c r="D248" t="str">
        <f t="shared" si="10"/>
        <v>Latim</v>
      </c>
      <c r="E248" t="str">
        <f t="shared" si="11"/>
        <v>hanie</v>
      </c>
    </row>
    <row r="249" spans="1:5" ht="15.75" customHeight="1">
      <c r="A249" s="9" t="s">
        <v>499</v>
      </c>
      <c r="B249" s="9" t="s">
        <v>500</v>
      </c>
      <c r="C249" t="str">
        <f t="shared" si="9"/>
        <v>s.</v>
      </c>
      <c r="D249" t="str">
        <f t="shared" si="10"/>
        <v>Wei,</v>
      </c>
      <c r="E249" t="str">
        <f t="shared" si="11"/>
        <v>ssa Y</v>
      </c>
    </row>
    <row r="250" spans="1:5" ht="15.75" customHeight="1">
      <c r="A250" s="9" t="s">
        <v>501</v>
      </c>
      <c r="B250" s="9" t="s">
        <v>502</v>
      </c>
      <c r="C250" t="str">
        <f t="shared" si="9"/>
        <v>Ms</v>
      </c>
      <c r="D250" t="str">
        <f t="shared" si="10"/>
        <v>Hayes</v>
      </c>
      <c r="E250" t="str">
        <f t="shared" si="11"/>
        <v>shley</v>
      </c>
    </row>
    <row r="251" spans="1:5" ht="15.75" customHeight="1">
      <c r="A251" s="9" t="s">
        <v>503</v>
      </c>
      <c r="B251" s="9" t="s">
        <v>504</v>
      </c>
      <c r="C251" t="str">
        <f t="shared" si="9"/>
        <v>o,</v>
      </c>
      <c r="D251" t="str">
        <f t="shared" si="10"/>
        <v>Velar</v>
      </c>
      <c r="E251" t="str">
        <f t="shared" si="11"/>
        <v>ie M.</v>
      </c>
    </row>
    <row r="252" spans="1:5" ht="15.75" customHeight="1">
      <c r="A252" s="9" t="s">
        <v>505</v>
      </c>
      <c r="B252" s="9" t="s">
        <v>506</v>
      </c>
      <c r="C252" t="str">
        <f t="shared" si="9"/>
        <v>, M</v>
      </c>
      <c r="D252" t="str">
        <f t="shared" si="10"/>
        <v>Kaste</v>
      </c>
      <c r="E252" t="str">
        <f t="shared" si="11"/>
        <v>Kylie</v>
      </c>
    </row>
    <row r="253" spans="1:5" ht="15.75" customHeight="1">
      <c r="A253" s="9" t="s">
        <v>507</v>
      </c>
      <c r="B253" s="9" t="s">
        <v>508</v>
      </c>
      <c r="C253" t="str">
        <f t="shared" si="9"/>
        <v>ia,</v>
      </c>
      <c r="D253" t="str">
        <f t="shared" si="10"/>
        <v>Escor</v>
      </c>
      <c r="E253" t="str">
        <f t="shared" si="11"/>
        <v>Kelly</v>
      </c>
    </row>
    <row r="254" spans="1:5" ht="15.75" customHeight="1">
      <c r="A254" s="9" t="s">
        <v>509</v>
      </c>
      <c r="B254" s="9" t="s">
        <v>510</v>
      </c>
      <c r="C254" t="str">
        <f t="shared" si="9"/>
        <v>eid</v>
      </c>
      <c r="D254" t="str">
        <f t="shared" si="10"/>
        <v>Larsc</v>
      </c>
      <c r="E254" t="str">
        <f t="shared" si="11"/>
        <v>arrie</v>
      </c>
    </row>
    <row r="255" spans="1:5" ht="15.75" customHeight="1">
      <c r="A255" s="9" t="s">
        <v>511</v>
      </c>
      <c r="B255" s="9" t="s">
        <v>512</v>
      </c>
      <c r="C255" t="str">
        <f t="shared" si="9"/>
        <v>on,</v>
      </c>
      <c r="D255" t="str">
        <f t="shared" si="10"/>
        <v>O'Ban</v>
      </c>
      <c r="E255" t="str">
        <f t="shared" si="11"/>
        <v>Alex</v>
      </c>
    </row>
    <row r="256" spans="1:5" ht="15.75" customHeight="1">
      <c r="A256" s="9" t="s">
        <v>513</v>
      </c>
      <c r="B256" s="9" t="s">
        <v>514</v>
      </c>
      <c r="C256" t="str">
        <f t="shared" si="9"/>
        <v>y,</v>
      </c>
      <c r="D256" t="str">
        <f t="shared" si="10"/>
        <v>Ridgw</v>
      </c>
      <c r="E256" t="str">
        <f t="shared" si="11"/>
        <v>ach S</v>
      </c>
    </row>
    <row r="257" spans="1:5" ht="15.75" customHeight="1">
      <c r="A257" s="9" t="s">
        <v>515</v>
      </c>
      <c r="B257" s="9" t="s">
        <v>516</v>
      </c>
      <c r="C257" t="str">
        <f t="shared" si="9"/>
        <v>Mr</v>
      </c>
      <c r="D257" t="str">
        <f t="shared" si="10"/>
        <v>Black</v>
      </c>
      <c r="E257" t="str">
        <f t="shared" si="11"/>
        <v>Alan</v>
      </c>
    </row>
    <row r="258" spans="1:5" ht="15.75" customHeight="1">
      <c r="A258" s="9" t="s">
        <v>517</v>
      </c>
      <c r="B258" s="9" t="s">
        <v>518</v>
      </c>
      <c r="C258" t="str">
        <f t="shared" si="9"/>
        <v>, M</v>
      </c>
      <c r="D258" t="str">
        <f t="shared" si="10"/>
        <v>Canto</v>
      </c>
      <c r="E258" t="str">
        <f t="shared" si="11"/>
        <v>Nate</v>
      </c>
    </row>
    <row r="259" spans="1:5" ht="15.75" customHeight="1">
      <c r="A259" s="9" t="s">
        <v>519</v>
      </c>
      <c r="B259" s="9" t="s">
        <v>520</v>
      </c>
      <c r="C259" t="str">
        <f t="shared" ref="C259:C322" si="12">MID(B259,7,3)</f>
        <v>Mr.</v>
      </c>
      <c r="D259" t="str">
        <f t="shared" ref="D259:D322" si="13">LEFT(B259,5)</f>
        <v>Fine,</v>
      </c>
      <c r="E259" t="str">
        <f t="shared" ref="E259:E322" si="14">RIGHT(B259,5)</f>
        <v>se G.</v>
      </c>
    </row>
    <row r="260" spans="1:5" ht="15.75" customHeight="1">
      <c r="A260" s="9" t="s">
        <v>521</v>
      </c>
      <c r="B260" s="9" t="s">
        <v>522</v>
      </c>
      <c r="C260" t="str">
        <f t="shared" si="12"/>
        <v>r.</v>
      </c>
      <c r="D260" t="str">
        <f t="shared" si="13"/>
        <v>Bui,</v>
      </c>
      <c r="E260" t="str">
        <f t="shared" si="14"/>
        <v>Jason</v>
      </c>
    </row>
    <row r="261" spans="1:5" ht="15.75" customHeight="1">
      <c r="A261" s="9" t="s">
        <v>523</v>
      </c>
      <c r="B261" s="9" t="s">
        <v>524</v>
      </c>
      <c r="C261" t="str">
        <f t="shared" si="12"/>
        <v>, M</v>
      </c>
      <c r="D261" t="str">
        <f t="shared" si="13"/>
        <v>Riepm</v>
      </c>
      <c r="E261" t="str">
        <f t="shared" si="14"/>
        <v>an A.</v>
      </c>
    </row>
    <row r="262" spans="1:5" ht="15.75" customHeight="1">
      <c r="A262" s="9" t="s">
        <v>525</v>
      </c>
      <c r="B262" s="9" t="s">
        <v>526</v>
      </c>
      <c r="C262" t="str">
        <f t="shared" si="12"/>
        <v>Mr</v>
      </c>
      <c r="D262" t="str">
        <f t="shared" si="13"/>
        <v>Inman</v>
      </c>
      <c r="E262" t="str">
        <f t="shared" si="14"/>
        <v>uke M</v>
      </c>
    </row>
    <row r="263" spans="1:5" ht="15.75" customHeight="1">
      <c r="A263" s="9" t="s">
        <v>527</v>
      </c>
      <c r="B263" s="9" t="s">
        <v>528</v>
      </c>
      <c r="C263" t="str">
        <f t="shared" si="12"/>
        <v>, M</v>
      </c>
      <c r="D263" t="str">
        <f t="shared" si="13"/>
        <v>Kruze</v>
      </c>
      <c r="E263" t="str">
        <f t="shared" si="14"/>
        <v>acy D</v>
      </c>
    </row>
    <row r="264" spans="1:5" ht="15.75" customHeight="1">
      <c r="A264" s="9" t="s">
        <v>529</v>
      </c>
      <c r="B264" s="9" t="s">
        <v>530</v>
      </c>
      <c r="C264" t="str">
        <f t="shared" si="12"/>
        <v>y,</v>
      </c>
      <c r="D264" t="str">
        <f t="shared" si="13"/>
        <v>Linds</v>
      </c>
      <c r="E264" t="str">
        <f t="shared" si="14"/>
        <v>on G.</v>
      </c>
    </row>
    <row r="265" spans="1:5" ht="15.75" customHeight="1">
      <c r="A265" s="9" t="s">
        <v>531</v>
      </c>
      <c r="B265" s="9" t="s">
        <v>532</v>
      </c>
      <c r="C265" t="str">
        <f t="shared" si="12"/>
        <v>Ms.</v>
      </c>
      <c r="D265" t="str">
        <f t="shared" si="13"/>
        <v>Land,</v>
      </c>
      <c r="E265" t="str">
        <f t="shared" si="14"/>
        <v>ey E.</v>
      </c>
    </row>
    <row r="266" spans="1:5" ht="15.75" customHeight="1">
      <c r="A266" s="9" t="s">
        <v>533</v>
      </c>
      <c r="B266" s="9" t="s">
        <v>534</v>
      </c>
      <c r="C266" t="str">
        <f t="shared" si="12"/>
        <v>r,</v>
      </c>
      <c r="D266" t="str">
        <f t="shared" si="13"/>
        <v>Brech</v>
      </c>
      <c r="E266" t="str">
        <f t="shared" si="14"/>
        <v>ca A.</v>
      </c>
    </row>
    <row r="267" spans="1:5" ht="15.75" customHeight="1">
      <c r="A267" s="9" t="s">
        <v>535</v>
      </c>
      <c r="B267" s="9" t="s">
        <v>536</v>
      </c>
      <c r="C267" t="str">
        <f t="shared" si="12"/>
        <v>, M</v>
      </c>
      <c r="D267" t="str">
        <f t="shared" si="13"/>
        <v>Debol</v>
      </c>
      <c r="E267" t="str">
        <f t="shared" si="14"/>
        <v>Erik</v>
      </c>
    </row>
    <row r="268" spans="1:5" ht="15.75" customHeight="1">
      <c r="A268" s="9" t="s">
        <v>537</v>
      </c>
      <c r="B268" s="9" t="s">
        <v>538</v>
      </c>
      <c r="C268" t="str">
        <f t="shared" si="12"/>
        <v>, M</v>
      </c>
      <c r="D268" t="str">
        <f t="shared" si="13"/>
        <v>Oswal</v>
      </c>
      <c r="E268" t="str">
        <f t="shared" si="14"/>
        <v>in C.</v>
      </c>
    </row>
    <row r="269" spans="1:5" ht="15.75" customHeight="1">
      <c r="A269" s="9" t="s">
        <v>539</v>
      </c>
      <c r="B269" s="9" t="s">
        <v>540</v>
      </c>
      <c r="C269" t="str">
        <f t="shared" si="12"/>
        <v>Ms.</v>
      </c>
      <c r="D269" t="str">
        <f t="shared" si="13"/>
        <v>Boyd,</v>
      </c>
      <c r="E269" t="str">
        <f t="shared" si="14"/>
        <v>ienne</v>
      </c>
    </row>
    <row r="270" spans="1:5" ht="15.75" customHeight="1">
      <c r="A270" s="9" t="s">
        <v>541</v>
      </c>
      <c r="B270" s="9" t="s">
        <v>542</v>
      </c>
      <c r="C270" t="str">
        <f t="shared" si="12"/>
        <v>ch,</v>
      </c>
      <c r="D270" t="str">
        <f t="shared" si="13"/>
        <v>Bulew</v>
      </c>
      <c r="E270" t="str">
        <f t="shared" si="14"/>
        <v>Adam</v>
      </c>
    </row>
    <row r="271" spans="1:5" ht="15.75" customHeight="1">
      <c r="A271" s="9" t="s">
        <v>543</v>
      </c>
      <c r="B271" s="9" t="s">
        <v>544</v>
      </c>
      <c r="C271" t="str">
        <f t="shared" si="12"/>
        <v>, M</v>
      </c>
      <c r="D271" t="str">
        <f t="shared" si="13"/>
        <v>Fukud</v>
      </c>
      <c r="E271" t="str">
        <f t="shared" si="14"/>
        <v>utaka</v>
      </c>
    </row>
    <row r="272" spans="1:5" ht="15.75" customHeight="1">
      <c r="A272" s="9" t="s">
        <v>545</v>
      </c>
      <c r="B272" s="9" t="s">
        <v>546</v>
      </c>
      <c r="C272" t="str">
        <f t="shared" si="12"/>
        <v>ps,</v>
      </c>
      <c r="D272" t="str">
        <f t="shared" si="13"/>
        <v>Phill</v>
      </c>
      <c r="E272" t="str">
        <f t="shared" si="14"/>
        <v>ler M</v>
      </c>
    </row>
    <row r="273" spans="1:5" ht="15.75" customHeight="1">
      <c r="A273" s="9" t="s">
        <v>547</v>
      </c>
      <c r="B273" s="9" t="s">
        <v>548</v>
      </c>
      <c r="C273" t="str">
        <f t="shared" si="12"/>
        <v>on,</v>
      </c>
      <c r="D273" t="str">
        <f t="shared" si="13"/>
        <v>Maddi</v>
      </c>
      <c r="E273" t="str">
        <f t="shared" si="14"/>
        <v>ephen</v>
      </c>
    </row>
    <row r="274" spans="1:5" ht="15.75" customHeight="1">
      <c r="A274" s="9" t="s">
        <v>549</v>
      </c>
      <c r="B274" s="9" t="s">
        <v>550</v>
      </c>
      <c r="C274" t="str">
        <f t="shared" si="12"/>
        <v>od,</v>
      </c>
      <c r="D274" t="str">
        <f t="shared" si="13"/>
        <v>Lockw</v>
      </c>
      <c r="E274" t="str">
        <f t="shared" si="14"/>
        <v>ew B.</v>
      </c>
    </row>
    <row r="275" spans="1:5" ht="15.75" customHeight="1">
      <c r="A275" s="9" t="s">
        <v>551</v>
      </c>
      <c r="B275" s="9" t="s">
        <v>552</v>
      </c>
      <c r="C275" t="str">
        <f t="shared" si="12"/>
        <v>ppi</v>
      </c>
      <c r="D275" t="str">
        <f t="shared" si="13"/>
        <v>Defil</v>
      </c>
      <c r="E275" t="str">
        <f t="shared" si="14"/>
        <v>James</v>
      </c>
    </row>
    <row r="276" spans="1:5" ht="15.75" customHeight="1">
      <c r="A276" s="9" t="s">
        <v>553</v>
      </c>
      <c r="B276" s="9" t="s">
        <v>554</v>
      </c>
      <c r="C276" t="str">
        <f t="shared" si="12"/>
        <v>n,</v>
      </c>
      <c r="D276" t="str">
        <f t="shared" si="13"/>
        <v>Jacks</v>
      </c>
      <c r="E276" t="str">
        <f t="shared" si="14"/>
        <v>wn P.</v>
      </c>
    </row>
    <row r="277" spans="1:5" ht="15.75" customHeight="1">
      <c r="A277" s="9" t="s">
        <v>555</v>
      </c>
      <c r="B277" s="9" t="s">
        <v>556</v>
      </c>
      <c r="C277" t="str">
        <f t="shared" si="12"/>
        <v>ski</v>
      </c>
      <c r="D277" t="str">
        <f t="shared" si="13"/>
        <v>Ozaho</v>
      </c>
      <c r="E277" t="str">
        <f t="shared" si="14"/>
        <v>Matt</v>
      </c>
    </row>
    <row r="278" spans="1:5" ht="15.75" customHeight="1">
      <c r="A278" s="9" t="s">
        <v>557</v>
      </c>
      <c r="B278" s="9" t="s">
        <v>558</v>
      </c>
      <c r="C278" t="str">
        <f t="shared" si="12"/>
        <v>s,</v>
      </c>
      <c r="D278" t="str">
        <f t="shared" si="13"/>
        <v>Gutha</v>
      </c>
      <c r="E278" t="str">
        <f t="shared" si="14"/>
        <v>aniel</v>
      </c>
    </row>
    <row r="279" spans="1:5" ht="15.75" customHeight="1">
      <c r="A279" s="9" t="s">
        <v>559</v>
      </c>
      <c r="B279" s="9" t="s">
        <v>560</v>
      </c>
      <c r="C279" t="str">
        <f t="shared" si="12"/>
        <v>Mr</v>
      </c>
      <c r="D279" t="str">
        <f t="shared" si="13"/>
        <v>Yates</v>
      </c>
      <c r="E279" t="str">
        <f t="shared" si="14"/>
        <v>in D.</v>
      </c>
    </row>
    <row r="280" spans="1:5" ht="15.75" customHeight="1">
      <c r="A280" s="9" t="s">
        <v>561</v>
      </c>
      <c r="B280" s="9" t="s">
        <v>562</v>
      </c>
      <c r="C280" t="str">
        <f t="shared" si="12"/>
        <v>son</v>
      </c>
      <c r="D280" t="str">
        <f t="shared" si="13"/>
        <v>Samue</v>
      </c>
      <c r="E280" t="str">
        <f t="shared" si="14"/>
        <v>Joan</v>
      </c>
    </row>
    <row r="281" spans="1:5" ht="15.75" customHeight="1">
      <c r="A281" s="9" t="s">
        <v>563</v>
      </c>
      <c r="B281" s="9" t="s">
        <v>564</v>
      </c>
      <c r="C281" t="str">
        <f t="shared" si="12"/>
        <v>Mr</v>
      </c>
      <c r="D281" t="str">
        <f t="shared" si="13"/>
        <v>Lemos</v>
      </c>
      <c r="E281" t="str">
        <f t="shared" si="14"/>
        <v>her A</v>
      </c>
    </row>
    <row r="282" spans="1:5" ht="15.75" customHeight="1">
      <c r="A282" s="9" t="s">
        <v>565</v>
      </c>
      <c r="B282" s="9" t="s">
        <v>566</v>
      </c>
      <c r="C282" t="str">
        <f t="shared" si="12"/>
        <v>rs,</v>
      </c>
      <c r="D282" t="str">
        <f t="shared" si="13"/>
        <v>Seynd</v>
      </c>
      <c r="E282" t="str">
        <f t="shared" si="14"/>
        <v>cy L.</v>
      </c>
    </row>
    <row r="283" spans="1:5" ht="15.75" customHeight="1">
      <c r="A283" s="9" t="s">
        <v>567</v>
      </c>
      <c r="B283" s="9" t="s">
        <v>568</v>
      </c>
      <c r="C283" t="str">
        <f t="shared" si="12"/>
        <v>rs,</v>
      </c>
      <c r="D283" t="str">
        <f t="shared" si="13"/>
        <v>Saund</v>
      </c>
      <c r="E283" t="str">
        <f t="shared" si="14"/>
        <v>in H.</v>
      </c>
    </row>
    <row r="284" spans="1:5" ht="15.75" customHeight="1">
      <c r="A284" s="9" t="s">
        <v>569</v>
      </c>
      <c r="B284" s="9" t="s">
        <v>570</v>
      </c>
      <c r="C284" t="str">
        <f t="shared" si="12"/>
        <v>, M</v>
      </c>
      <c r="D284" t="str">
        <f t="shared" si="13"/>
        <v>Walke</v>
      </c>
      <c r="E284" t="str">
        <f t="shared" si="14"/>
        <v>ur J.</v>
      </c>
    </row>
    <row r="285" spans="1:5" ht="15.75" customHeight="1">
      <c r="A285" s="9" t="s">
        <v>571</v>
      </c>
      <c r="B285" s="9" t="s">
        <v>572</v>
      </c>
      <c r="C285" t="str">
        <f t="shared" si="12"/>
        <v>r.</v>
      </c>
      <c r="D285" t="str">
        <f t="shared" si="13"/>
        <v>Lam,</v>
      </c>
      <c r="E285" t="str">
        <f t="shared" si="14"/>
        <v>el T.</v>
      </c>
    </row>
    <row r="286" spans="1:5" ht="15.75" customHeight="1">
      <c r="A286" s="9" t="s">
        <v>573</v>
      </c>
      <c r="B286" s="9" t="s">
        <v>574</v>
      </c>
      <c r="C286" t="str">
        <f t="shared" si="12"/>
        <v>rt,</v>
      </c>
      <c r="D286" t="str">
        <f t="shared" si="13"/>
        <v>Sweig</v>
      </c>
      <c r="E286" t="str">
        <f t="shared" si="14"/>
        <v>adley</v>
      </c>
    </row>
    <row r="287" spans="1:5" ht="15.75" customHeight="1">
      <c r="A287" s="9" t="s">
        <v>575</v>
      </c>
      <c r="B287" s="9" t="s">
        <v>576</v>
      </c>
      <c r="C287" t="str">
        <f t="shared" si="12"/>
        <v>ows</v>
      </c>
      <c r="D287" t="str">
        <f t="shared" si="13"/>
        <v>Siecz</v>
      </c>
      <c r="E287" t="str">
        <f t="shared" si="14"/>
        <v>ndrea</v>
      </c>
    </row>
    <row r="288" spans="1:5" ht="15.75" customHeight="1">
      <c r="A288" s="9" t="s">
        <v>577</v>
      </c>
      <c r="B288" s="9" t="s">
        <v>578</v>
      </c>
      <c r="C288" t="str">
        <f t="shared" si="12"/>
        <v>s,</v>
      </c>
      <c r="D288" t="str">
        <f t="shared" si="13"/>
        <v>Jurge</v>
      </c>
      <c r="E288" t="str">
        <f t="shared" si="14"/>
        <v>ncy M</v>
      </c>
    </row>
    <row r="289" spans="1:5" ht="15.75" customHeight="1">
      <c r="A289" s="9" t="s">
        <v>579</v>
      </c>
      <c r="B289" s="9" t="s">
        <v>580</v>
      </c>
      <c r="C289" t="str">
        <f t="shared" si="12"/>
        <v>n,</v>
      </c>
      <c r="D289" t="str">
        <f t="shared" si="13"/>
        <v>Hackm</v>
      </c>
      <c r="E289" t="str">
        <f t="shared" si="14"/>
        <v>Matt</v>
      </c>
    </row>
    <row r="290" spans="1:5" ht="15.75" customHeight="1">
      <c r="A290" s="9" t="s">
        <v>581</v>
      </c>
      <c r="B290" s="9" t="s">
        <v>582</v>
      </c>
      <c r="C290" t="str">
        <f t="shared" si="12"/>
        <v>h,</v>
      </c>
      <c r="D290" t="str">
        <f t="shared" si="13"/>
        <v>Klari</v>
      </c>
      <c r="E290" t="str">
        <f t="shared" si="14"/>
        <v>Lee</v>
      </c>
    </row>
    <row r="291" spans="1:5" ht="15.75" customHeight="1">
      <c r="A291" s="9" t="s">
        <v>583</v>
      </c>
      <c r="B291" s="9" t="s">
        <v>584</v>
      </c>
      <c r="C291" t="str">
        <f t="shared" si="12"/>
        <v>en,</v>
      </c>
      <c r="D291" t="str">
        <f t="shared" si="13"/>
        <v>Schul</v>
      </c>
      <c r="E291" t="str">
        <f t="shared" si="14"/>
        <v>Chris</v>
      </c>
    </row>
    <row r="292" spans="1:5" ht="15.75" customHeight="1">
      <c r="A292" s="9" t="s">
        <v>585</v>
      </c>
      <c r="B292" s="9" t="s">
        <v>586</v>
      </c>
      <c r="C292" t="str">
        <f t="shared" si="12"/>
        <v>tro</v>
      </c>
      <c r="D292" t="str">
        <f t="shared" si="13"/>
        <v>Fager</v>
      </c>
      <c r="E292" t="str">
        <f t="shared" si="14"/>
        <v>ik T.</v>
      </c>
    </row>
    <row r="293" spans="1:5" ht="15.75" customHeight="1">
      <c r="A293" s="9" t="s">
        <v>587</v>
      </c>
      <c r="B293" s="9" t="s">
        <v>588</v>
      </c>
      <c r="C293" t="str">
        <f t="shared" si="12"/>
        <v>Mr.</v>
      </c>
      <c r="D293" t="str">
        <f t="shared" si="13"/>
        <v>Bien,</v>
      </c>
      <c r="E293" t="str">
        <f t="shared" si="14"/>
        <v>Rod W</v>
      </c>
    </row>
    <row r="294" spans="1:5" ht="15.75" customHeight="1">
      <c r="A294" s="9" t="s">
        <v>589</v>
      </c>
      <c r="B294" s="9" t="s">
        <v>590</v>
      </c>
      <c r="C294" t="str">
        <f t="shared" si="12"/>
        <v>Mr.</v>
      </c>
      <c r="D294" t="str">
        <f t="shared" si="13"/>
        <v>Hess,</v>
      </c>
      <c r="E294" t="str">
        <f t="shared" si="14"/>
        <v>Joey</v>
      </c>
    </row>
    <row r="295" spans="1:5" ht="15.75" customHeight="1">
      <c r="A295" s="9" t="s">
        <v>591</v>
      </c>
      <c r="B295" s="9" t="s">
        <v>592</v>
      </c>
      <c r="C295" t="str">
        <f t="shared" si="12"/>
        <v>Ms.</v>
      </c>
      <c r="D295" t="str">
        <f t="shared" si="13"/>
        <v>Shaw,</v>
      </c>
      <c r="E295" t="str">
        <f t="shared" si="14"/>
        <v>ry L.</v>
      </c>
    </row>
    <row r="296" spans="1:5" ht="15.75" customHeight="1">
      <c r="A296" s="9" t="s">
        <v>593</v>
      </c>
      <c r="B296" s="9" t="s">
        <v>594</v>
      </c>
      <c r="C296" t="str">
        <f t="shared" si="12"/>
        <v>ms,</v>
      </c>
      <c r="D296" t="str">
        <f t="shared" si="13"/>
        <v>Willi</v>
      </c>
      <c r="E296" t="str">
        <f t="shared" si="14"/>
        <v>ric J</v>
      </c>
    </row>
    <row r="297" spans="1:5" ht="15.75" customHeight="1">
      <c r="A297" s="9" t="s">
        <v>595</v>
      </c>
      <c r="B297" s="9" t="s">
        <v>596</v>
      </c>
      <c r="C297" t="str">
        <f t="shared" si="12"/>
        <v>s,</v>
      </c>
      <c r="D297" t="str">
        <f t="shared" si="13"/>
        <v>Menzi</v>
      </c>
      <c r="E297" t="str">
        <f t="shared" si="14"/>
        <v>colas</v>
      </c>
    </row>
    <row r="298" spans="1:5" ht="15.75" customHeight="1">
      <c r="A298" s="9" t="s">
        <v>597</v>
      </c>
      <c r="B298" s="9" t="s">
        <v>598</v>
      </c>
      <c r="C298" t="str">
        <f t="shared" si="12"/>
        <v>r,</v>
      </c>
      <c r="D298" t="str">
        <f t="shared" si="13"/>
        <v>Buehl</v>
      </c>
      <c r="E298" t="str">
        <f t="shared" si="14"/>
        <v>arcel</v>
      </c>
    </row>
    <row r="299" spans="1:5" ht="15.75" customHeight="1">
      <c r="A299" s="9" t="s">
        <v>599</v>
      </c>
      <c r="B299" s="9" t="s">
        <v>600</v>
      </c>
      <c r="C299" t="str">
        <f t="shared" si="12"/>
        <v>Ms</v>
      </c>
      <c r="D299" t="str">
        <f t="shared" si="13"/>
        <v>Degen</v>
      </c>
      <c r="E299" t="str">
        <f t="shared" si="14"/>
        <v>ley N</v>
      </c>
    </row>
    <row r="300" spans="1:5" ht="15.75" customHeight="1">
      <c r="A300" s="9" t="s">
        <v>601</v>
      </c>
      <c r="B300" s="9" t="s">
        <v>602</v>
      </c>
      <c r="C300" t="str">
        <f t="shared" si="12"/>
        <v>ult</v>
      </c>
      <c r="D300" t="str">
        <f t="shared" si="13"/>
        <v>Arsen</v>
      </c>
      <c r="E300" t="str">
        <f t="shared" si="14"/>
        <v>van D</v>
      </c>
    </row>
    <row r="301" spans="1:5" ht="15.75" customHeight="1">
      <c r="A301" s="9" t="s">
        <v>603</v>
      </c>
      <c r="B301" s="9" t="s">
        <v>604</v>
      </c>
      <c r="C301" t="str">
        <f t="shared" si="12"/>
        <v>Ms.</v>
      </c>
      <c r="D301" t="str">
        <f t="shared" si="13"/>
        <v>Hoff,</v>
      </c>
      <c r="E301" t="str">
        <f t="shared" si="14"/>
        <v>isana</v>
      </c>
    </row>
    <row r="302" spans="1:5" ht="15.75" customHeight="1">
      <c r="A302" s="9" t="s">
        <v>605</v>
      </c>
      <c r="B302" s="9" t="s">
        <v>606</v>
      </c>
      <c r="C302" t="str">
        <f t="shared" si="12"/>
        <v>Mr.</v>
      </c>
      <c r="D302" t="str">
        <f t="shared" si="13"/>
        <v>Hall,</v>
      </c>
      <c r="E302" t="str">
        <f t="shared" si="14"/>
        <v>Kyle</v>
      </c>
    </row>
    <row r="303" spans="1:5" ht="15.75" customHeight="1">
      <c r="A303" s="9" t="s">
        <v>607</v>
      </c>
      <c r="B303" s="9" t="s">
        <v>608</v>
      </c>
      <c r="C303" t="str">
        <f t="shared" si="12"/>
        <v>, M</v>
      </c>
      <c r="D303" t="str">
        <f t="shared" si="13"/>
        <v>Ashle</v>
      </c>
      <c r="E303" t="str">
        <f t="shared" si="14"/>
        <v>Kate</v>
      </c>
    </row>
    <row r="304" spans="1:5" ht="15.75" customHeight="1">
      <c r="A304" s="9" t="s">
        <v>609</v>
      </c>
      <c r="B304" s="9" t="s">
        <v>610</v>
      </c>
      <c r="C304" t="str">
        <f t="shared" si="12"/>
        <v>l,</v>
      </c>
      <c r="D304" t="str">
        <f t="shared" si="13"/>
        <v>Rinda</v>
      </c>
      <c r="E304" t="str">
        <f t="shared" si="14"/>
        <v>in A.</v>
      </c>
    </row>
    <row r="305" spans="1:5" ht="15.75" customHeight="1">
      <c r="A305" s="9" t="s">
        <v>611</v>
      </c>
      <c r="B305" s="9" t="s">
        <v>612</v>
      </c>
      <c r="C305" t="str">
        <f t="shared" si="12"/>
        <v>Ms</v>
      </c>
      <c r="D305" t="str">
        <f t="shared" si="13"/>
        <v>Clark</v>
      </c>
      <c r="E305" t="str">
        <f t="shared" si="14"/>
        <v>tacey</v>
      </c>
    </row>
    <row r="306" spans="1:5" ht="15.75" customHeight="1">
      <c r="A306" s="9" t="s">
        <v>613</v>
      </c>
      <c r="B306" s="9" t="s">
        <v>614</v>
      </c>
      <c r="C306" t="str">
        <f t="shared" si="12"/>
        <v>Ms</v>
      </c>
      <c r="D306" t="str">
        <f t="shared" si="13"/>
        <v>Irish</v>
      </c>
      <c r="E306" t="str">
        <f t="shared" si="14"/>
        <v>stine</v>
      </c>
    </row>
    <row r="307" spans="1:5" ht="15.75" customHeight="1">
      <c r="A307" s="9" t="s">
        <v>615</v>
      </c>
      <c r="B307" s="9" t="s">
        <v>616</v>
      </c>
      <c r="C307" t="str">
        <f t="shared" si="12"/>
        <v>dso</v>
      </c>
      <c r="D307" t="str">
        <f t="shared" si="13"/>
        <v>Richa</v>
      </c>
      <c r="E307" t="str">
        <f t="shared" si="14"/>
        <v>ah C.</v>
      </c>
    </row>
    <row r="308" spans="1:5" ht="15.75" customHeight="1">
      <c r="A308" s="9" t="s">
        <v>617</v>
      </c>
      <c r="B308" s="9" t="s">
        <v>618</v>
      </c>
      <c r="C308" t="str">
        <f t="shared" si="12"/>
        <v>, M</v>
      </c>
      <c r="D308" t="str">
        <f t="shared" si="13"/>
        <v>Dewit</v>
      </c>
      <c r="E308" t="str">
        <f t="shared" si="14"/>
        <v>Megan</v>
      </c>
    </row>
    <row r="309" spans="1:5" ht="15.75" customHeight="1">
      <c r="A309" s="9" t="s">
        <v>619</v>
      </c>
      <c r="B309" s="9" t="s">
        <v>620</v>
      </c>
      <c r="C309" t="str">
        <f t="shared" si="12"/>
        <v>n,</v>
      </c>
      <c r="D309" t="str">
        <f t="shared" si="13"/>
        <v>Hickm</v>
      </c>
      <c r="E309" t="str">
        <f t="shared" si="14"/>
        <v>son W</v>
      </c>
    </row>
    <row r="310" spans="1:5" ht="15.75" customHeight="1">
      <c r="A310" s="9" t="s">
        <v>621</v>
      </c>
      <c r="B310" s="9" t="s">
        <v>622</v>
      </c>
      <c r="C310" t="str">
        <f t="shared" si="12"/>
        <v>ez,</v>
      </c>
      <c r="D310" t="str">
        <f t="shared" si="13"/>
        <v>Gonza</v>
      </c>
      <c r="E310" t="str">
        <f t="shared" si="14"/>
        <v>chele</v>
      </c>
    </row>
    <row r="311" spans="1:5" ht="15.75" customHeight="1">
      <c r="A311" s="9" t="s">
        <v>623</v>
      </c>
      <c r="B311" s="9" t="s">
        <v>624</v>
      </c>
      <c r="C311" t="str">
        <f t="shared" si="12"/>
        <v>, M</v>
      </c>
      <c r="D311" t="str">
        <f t="shared" si="13"/>
        <v>Difan</v>
      </c>
      <c r="E311" t="str">
        <f t="shared" si="14"/>
        <v>Nikki</v>
      </c>
    </row>
    <row r="312" spans="1:5" ht="15.75" customHeight="1">
      <c r="A312" s="9" t="s">
        <v>625</v>
      </c>
      <c r="B312" s="9" t="s">
        <v>626</v>
      </c>
      <c r="C312" t="str">
        <f t="shared" si="12"/>
        <v>, M</v>
      </c>
      <c r="D312" t="str">
        <f t="shared" si="13"/>
        <v>Turne</v>
      </c>
      <c r="E312" t="str">
        <f t="shared" si="14"/>
        <v>ip J.</v>
      </c>
    </row>
    <row r="313" spans="1:5" ht="15.75" customHeight="1">
      <c r="A313" s="9" t="s">
        <v>627</v>
      </c>
      <c r="B313" s="9" t="s">
        <v>628</v>
      </c>
      <c r="C313" t="str">
        <f t="shared" si="12"/>
        <v>n,</v>
      </c>
      <c r="D313" t="str">
        <f t="shared" si="13"/>
        <v>Widma</v>
      </c>
      <c r="E313" t="str">
        <f t="shared" si="14"/>
        <v>yan L</v>
      </c>
    </row>
    <row r="314" spans="1:5" ht="15.75" customHeight="1">
      <c r="A314" s="9" t="s">
        <v>629</v>
      </c>
      <c r="B314" s="9" t="s">
        <v>630</v>
      </c>
      <c r="C314" t="str">
        <f t="shared" si="12"/>
        <v>, M</v>
      </c>
      <c r="D314" t="str">
        <f t="shared" si="13"/>
        <v>Tunne</v>
      </c>
      <c r="E314" t="str">
        <f t="shared" si="14"/>
        <v>thy F</v>
      </c>
    </row>
    <row r="315" spans="1:5" ht="15.75" customHeight="1">
      <c r="A315" s="9" t="s">
        <v>631</v>
      </c>
      <c r="B315" s="9" t="s">
        <v>632</v>
      </c>
      <c r="C315" t="str">
        <f t="shared" si="12"/>
        <v>an,</v>
      </c>
      <c r="D315" t="str">
        <f t="shared" si="13"/>
        <v>San J</v>
      </c>
      <c r="E315" t="str">
        <f t="shared" si="14"/>
        <v>lyn M</v>
      </c>
    </row>
    <row r="316" spans="1:5" ht="15.75" customHeight="1">
      <c r="A316" s="9" t="s">
        <v>633</v>
      </c>
      <c r="B316" s="9" t="s">
        <v>634</v>
      </c>
      <c r="C316" t="str">
        <f t="shared" si="12"/>
        <v>Ms</v>
      </c>
      <c r="D316" t="str">
        <f t="shared" si="13"/>
        <v>Croll</v>
      </c>
      <c r="E316" t="str">
        <f t="shared" si="14"/>
        <v>ie M.</v>
      </c>
    </row>
    <row r="317" spans="1:5" ht="15.75" customHeight="1">
      <c r="A317" s="9" t="s">
        <v>635</v>
      </c>
      <c r="B317" s="9" t="s">
        <v>636</v>
      </c>
      <c r="C317" t="str">
        <f t="shared" si="12"/>
        <v>, M</v>
      </c>
      <c r="D317" t="str">
        <f t="shared" si="13"/>
        <v>Rolfe</v>
      </c>
      <c r="E317" t="str">
        <f t="shared" si="14"/>
        <v>Greg</v>
      </c>
    </row>
    <row r="318" spans="1:5" ht="15.75" customHeight="1">
      <c r="A318" s="9" t="s">
        <v>637</v>
      </c>
      <c r="B318" s="9" t="s">
        <v>638</v>
      </c>
      <c r="C318" t="str">
        <f t="shared" si="12"/>
        <v>, M</v>
      </c>
      <c r="D318" t="str">
        <f t="shared" si="13"/>
        <v>Hinkl</v>
      </c>
      <c r="E318" t="str">
        <f t="shared" si="14"/>
        <v>John</v>
      </c>
    </row>
    <row r="319" spans="1:5" ht="15.75" customHeight="1">
      <c r="A319" s="9" t="s">
        <v>639</v>
      </c>
      <c r="B319" s="9" t="s">
        <v>640</v>
      </c>
      <c r="C319" t="str">
        <f t="shared" si="12"/>
        <v>nka</v>
      </c>
      <c r="D319" t="str">
        <f t="shared" si="13"/>
        <v>Leuch</v>
      </c>
      <c r="E319" t="str">
        <f t="shared" si="14"/>
        <v>sandr</v>
      </c>
    </row>
    <row r="320" spans="1:5" ht="15.75" customHeight="1">
      <c r="A320" s="9" t="s">
        <v>641</v>
      </c>
      <c r="B320" s="9" t="s">
        <v>642</v>
      </c>
      <c r="C320" t="str">
        <f t="shared" si="12"/>
        <v>r.</v>
      </c>
      <c r="D320" t="str">
        <f t="shared" si="13"/>
        <v>Ayr,</v>
      </c>
      <c r="E320" t="str">
        <f t="shared" si="14"/>
        <v>on M.</v>
      </c>
    </row>
    <row r="321" spans="1:5" ht="15.75" customHeight="1">
      <c r="A321" s="9" t="s">
        <v>643</v>
      </c>
      <c r="B321" s="9" t="s">
        <v>644</v>
      </c>
      <c r="C321" t="str">
        <f t="shared" si="12"/>
        <v>, M</v>
      </c>
      <c r="D321" t="str">
        <f t="shared" si="13"/>
        <v>Siege</v>
      </c>
      <c r="E321" t="str">
        <f t="shared" si="14"/>
        <v>era K</v>
      </c>
    </row>
    <row r="322" spans="1:5" ht="15.75" customHeight="1">
      <c r="A322" s="9" t="s">
        <v>645</v>
      </c>
      <c r="B322" s="9" t="s">
        <v>646</v>
      </c>
      <c r="C322" t="str">
        <f t="shared" si="12"/>
        <v>e,</v>
      </c>
      <c r="D322" t="str">
        <f t="shared" si="13"/>
        <v>Penro</v>
      </c>
      <c r="E322" t="str">
        <f t="shared" si="14"/>
        <v>anice</v>
      </c>
    </row>
    <row r="323" spans="1:5" ht="15.75" customHeight="1">
      <c r="A323" s="9" t="s">
        <v>647</v>
      </c>
      <c r="B323" s="9" t="s">
        <v>648</v>
      </c>
      <c r="C323" t="str">
        <f t="shared" ref="C323:C386" si="15">MID(B323,7,3)</f>
        <v>r,</v>
      </c>
      <c r="D323" t="str">
        <f t="shared" ref="D323:D386" si="16">LEFT(B323,5)</f>
        <v>Schul</v>
      </c>
      <c r="E323" t="str">
        <f t="shared" ref="E323:E386" si="17">RIGHT(B323,5)</f>
        <v>hy G.</v>
      </c>
    </row>
    <row r="324" spans="1:5" ht="15.75" customHeight="1">
      <c r="A324" s="9" t="s">
        <v>649</v>
      </c>
      <c r="B324" s="9" t="s">
        <v>650</v>
      </c>
      <c r="C324" t="str">
        <f t="shared" si="15"/>
        <v>, M</v>
      </c>
      <c r="D324" t="str">
        <f t="shared" si="16"/>
        <v>Walke</v>
      </c>
      <c r="E324" t="str">
        <f t="shared" si="17"/>
        <v>lan R</v>
      </c>
    </row>
    <row r="325" spans="1:5" ht="15.75" customHeight="1">
      <c r="A325" s="9" t="s">
        <v>651</v>
      </c>
      <c r="B325" s="9" t="s">
        <v>652</v>
      </c>
      <c r="C325" t="str">
        <f t="shared" si="15"/>
        <v>, M</v>
      </c>
      <c r="D325" t="str">
        <f t="shared" si="16"/>
        <v>Stang</v>
      </c>
      <c r="E325" t="str">
        <f t="shared" si="17"/>
        <v>chael</v>
      </c>
    </row>
    <row r="326" spans="1:5" ht="15.75" customHeight="1">
      <c r="A326" s="9" t="s">
        <v>653</v>
      </c>
      <c r="B326" s="9" t="s">
        <v>654</v>
      </c>
      <c r="C326" t="str">
        <f t="shared" si="15"/>
        <v>s.</v>
      </c>
      <c r="D326" t="str">
        <f t="shared" si="16"/>
        <v>Roy,</v>
      </c>
      <c r="E326" t="str">
        <f t="shared" si="17"/>
        <v>rance</v>
      </c>
    </row>
    <row r="327" spans="1:5" ht="15.75" customHeight="1">
      <c r="A327" s="9" t="s">
        <v>655</v>
      </c>
      <c r="B327" s="9" t="s">
        <v>656</v>
      </c>
      <c r="C327" t="str">
        <f t="shared" si="15"/>
        <v>, M</v>
      </c>
      <c r="D327" t="str">
        <f t="shared" si="16"/>
        <v>Poter</v>
      </c>
      <c r="E327" t="str">
        <f t="shared" si="17"/>
        <v>ik F.</v>
      </c>
    </row>
    <row r="328" spans="1:5" ht="15.75" customHeight="1">
      <c r="A328" s="9" t="s">
        <v>657</v>
      </c>
      <c r="B328" s="9" t="s">
        <v>658</v>
      </c>
      <c r="C328" t="str">
        <f t="shared" si="15"/>
        <v>ski</v>
      </c>
      <c r="D328" t="str">
        <f t="shared" si="16"/>
        <v>Podgu</v>
      </c>
      <c r="E328" t="str">
        <f t="shared" si="17"/>
        <v>ndrew</v>
      </c>
    </row>
    <row r="329" spans="1:5" ht="15.75" customHeight="1">
      <c r="A329" s="9" t="s">
        <v>659</v>
      </c>
      <c r="B329" s="9" t="s">
        <v>660</v>
      </c>
      <c r="C329" t="str">
        <f t="shared" si="15"/>
        <v>d,</v>
      </c>
      <c r="D329" t="str">
        <f t="shared" si="16"/>
        <v>Diamo</v>
      </c>
      <c r="E329" t="str">
        <f t="shared" si="17"/>
        <v>thony</v>
      </c>
    </row>
    <row r="330" spans="1:5" ht="15.75" customHeight="1">
      <c r="A330" s="9" t="s">
        <v>661</v>
      </c>
      <c r="B330" s="9" t="s">
        <v>662</v>
      </c>
      <c r="C330" t="str">
        <f t="shared" si="15"/>
        <v>e,</v>
      </c>
      <c r="D330" t="str">
        <f t="shared" si="16"/>
        <v>Salla</v>
      </c>
      <c r="E330" t="str">
        <f t="shared" si="17"/>
        <v>Chris</v>
      </c>
    </row>
    <row r="331" spans="1:5" ht="15.75" customHeight="1">
      <c r="A331" s="9" t="s">
        <v>663</v>
      </c>
      <c r="B331" s="9" t="s">
        <v>664</v>
      </c>
      <c r="C331" t="str">
        <f t="shared" si="15"/>
        <v>Mr</v>
      </c>
      <c r="D331" t="str">
        <f t="shared" si="16"/>
        <v>Zhang</v>
      </c>
      <c r="E331" t="str">
        <f t="shared" si="17"/>
        <v>.  Yu</v>
      </c>
    </row>
    <row r="332" spans="1:5" ht="15.75" customHeight="1">
      <c r="A332" s="9" t="s">
        <v>665</v>
      </c>
      <c r="B332" s="9" t="s">
        <v>666</v>
      </c>
      <c r="C332" t="str">
        <f t="shared" si="15"/>
        <v>eld</v>
      </c>
      <c r="D332" t="str">
        <f t="shared" si="16"/>
        <v>Chatf</v>
      </c>
      <c r="E332" t="str">
        <f t="shared" si="17"/>
        <v>leb N</v>
      </c>
    </row>
    <row r="333" spans="1:5" ht="15.75" customHeight="1">
      <c r="A333" s="9" t="s">
        <v>667</v>
      </c>
      <c r="B333" s="9" t="s">
        <v>668</v>
      </c>
      <c r="C333" t="str">
        <f t="shared" si="15"/>
        <v>Mr</v>
      </c>
      <c r="D333" t="str">
        <f t="shared" si="16"/>
        <v>Bruns</v>
      </c>
      <c r="E333" t="str">
        <f t="shared" si="17"/>
        <v>on M.</v>
      </c>
    </row>
    <row r="334" spans="1:5" ht="15.75" customHeight="1">
      <c r="A334" s="9" t="s">
        <v>669</v>
      </c>
      <c r="B334" s="9" t="s">
        <v>670</v>
      </c>
      <c r="C334" t="str">
        <f t="shared" si="15"/>
        <v>, M</v>
      </c>
      <c r="D334" t="str">
        <f t="shared" si="16"/>
        <v>Yochu</v>
      </c>
      <c r="E334" t="str">
        <f t="shared" si="17"/>
        <v>ela R</v>
      </c>
    </row>
    <row r="335" spans="1:5" ht="15.75" customHeight="1">
      <c r="A335" s="9" t="s">
        <v>671</v>
      </c>
      <c r="B335" s="9" t="s">
        <v>672</v>
      </c>
      <c r="C335" t="str">
        <f t="shared" si="15"/>
        <v>rn,</v>
      </c>
      <c r="D335" t="str">
        <f t="shared" si="16"/>
        <v>Freeb</v>
      </c>
      <c r="E335" t="str">
        <f t="shared" si="17"/>
        <v>ith J</v>
      </c>
    </row>
    <row r="336" spans="1:5" ht="15.75" customHeight="1">
      <c r="A336" s="9" t="s">
        <v>673</v>
      </c>
      <c r="B336" s="9" t="s">
        <v>674</v>
      </c>
      <c r="C336" t="str">
        <f t="shared" si="15"/>
        <v>r,</v>
      </c>
      <c r="D336" t="str">
        <f t="shared" si="16"/>
        <v>Spenc</v>
      </c>
      <c r="E336" t="str">
        <f t="shared" si="17"/>
        <v>Emma</v>
      </c>
    </row>
    <row r="337" spans="1:5" ht="15.75" customHeight="1">
      <c r="A337" s="9" t="s">
        <v>675</v>
      </c>
      <c r="B337" s="9" t="s">
        <v>676</v>
      </c>
      <c r="C337" t="str">
        <f t="shared" si="15"/>
        <v>k,</v>
      </c>
      <c r="D337" t="str">
        <f t="shared" si="16"/>
        <v>Jaros</v>
      </c>
      <c r="E337" t="str">
        <f t="shared" si="17"/>
        <v>han A</v>
      </c>
    </row>
    <row r="338" spans="1:5" ht="15.75" customHeight="1">
      <c r="A338" s="9" t="s">
        <v>677</v>
      </c>
      <c r="B338" s="9" t="s">
        <v>678</v>
      </c>
      <c r="C338" t="str">
        <f t="shared" si="15"/>
        <v>n,</v>
      </c>
      <c r="D338" t="str">
        <f t="shared" si="16"/>
        <v>Heinz</v>
      </c>
      <c r="E338" t="str">
        <f t="shared" si="17"/>
        <v>thryn</v>
      </c>
    </row>
    <row r="339" spans="1:5" ht="15.75" customHeight="1">
      <c r="A339" s="9" t="s">
        <v>679</v>
      </c>
      <c r="B339" s="9" t="s">
        <v>680</v>
      </c>
      <c r="C339" t="str">
        <f t="shared" si="15"/>
        <v>, M</v>
      </c>
      <c r="D339" t="str">
        <f t="shared" si="16"/>
        <v>Kelle</v>
      </c>
      <c r="E339" t="str">
        <f t="shared" si="17"/>
        <v>th H.</v>
      </c>
    </row>
    <row r="340" spans="1:5" ht="15.75" customHeight="1">
      <c r="A340" s="9" t="s">
        <v>681</v>
      </c>
      <c r="B340" s="9" t="s">
        <v>682</v>
      </c>
      <c r="C340" t="str">
        <f t="shared" si="15"/>
        <v>r,</v>
      </c>
      <c r="D340" t="str">
        <f t="shared" si="16"/>
        <v>Thack</v>
      </c>
      <c r="E340" t="str">
        <f t="shared" si="17"/>
        <v>Ben</v>
      </c>
    </row>
    <row r="341" spans="1:5" ht="15.75" customHeight="1">
      <c r="A341" s="9" t="s">
        <v>683</v>
      </c>
      <c r="B341" s="9" t="s">
        <v>684</v>
      </c>
      <c r="C341" t="str">
        <f t="shared" si="15"/>
        <v>tz,</v>
      </c>
      <c r="D341" t="str">
        <f t="shared" si="16"/>
        <v>Jeser</v>
      </c>
      <c r="E341" t="str">
        <f t="shared" si="17"/>
        <v>ryl A</v>
      </c>
    </row>
    <row r="342" spans="1:5" ht="15.75" customHeight="1">
      <c r="A342" s="9" t="s">
        <v>685</v>
      </c>
      <c r="B342" s="9" t="s">
        <v>686</v>
      </c>
      <c r="C342" t="str">
        <f t="shared" si="15"/>
        <v>, M</v>
      </c>
      <c r="D342" t="str">
        <f t="shared" si="16"/>
        <v>Hohma</v>
      </c>
      <c r="E342" t="str">
        <f t="shared" si="17"/>
        <v>rly A</v>
      </c>
    </row>
    <row r="343" spans="1:5" ht="15.75" customHeight="1">
      <c r="A343" s="9" t="s">
        <v>687</v>
      </c>
      <c r="B343" s="9" t="s">
        <v>688</v>
      </c>
      <c r="C343" t="str">
        <f t="shared" si="15"/>
        <v>Ms.</v>
      </c>
      <c r="D343" t="str">
        <f t="shared" si="16"/>
        <v>Hill,</v>
      </c>
      <c r="E343" t="str">
        <f t="shared" si="17"/>
        <v>nthia</v>
      </c>
    </row>
    <row r="344" spans="1:5" ht="15.75" customHeight="1">
      <c r="A344" s="9" t="s">
        <v>689</v>
      </c>
      <c r="B344" s="9" t="s">
        <v>690</v>
      </c>
      <c r="C344" t="str">
        <f t="shared" si="15"/>
        <v>r,</v>
      </c>
      <c r="D344" t="str">
        <f t="shared" si="16"/>
        <v>Kuepf</v>
      </c>
      <c r="E344" t="str">
        <f t="shared" si="17"/>
        <v>ssica</v>
      </c>
    </row>
    <row r="345" spans="1:5" ht="15.75" customHeight="1">
      <c r="A345" s="9" t="s">
        <v>691</v>
      </c>
      <c r="B345" s="9" t="s">
        <v>692</v>
      </c>
      <c r="C345" t="str">
        <f t="shared" si="15"/>
        <v>rek</v>
      </c>
      <c r="D345" t="str">
        <f t="shared" si="16"/>
        <v>Kaczm</v>
      </c>
      <c r="E345" t="str">
        <f t="shared" si="17"/>
        <v>Bruce</v>
      </c>
    </row>
    <row r="346" spans="1:5" ht="15.75" customHeight="1">
      <c r="A346" s="9" t="s">
        <v>693</v>
      </c>
      <c r="B346" s="9" t="s">
        <v>694</v>
      </c>
      <c r="C346" t="str">
        <f t="shared" si="15"/>
        <v>Ms.</v>
      </c>
      <c r="D346" t="str">
        <f t="shared" si="16"/>
        <v>Pitt,</v>
      </c>
      <c r="E346" t="str">
        <f t="shared" si="17"/>
        <v>lison</v>
      </c>
    </row>
    <row r="347" spans="1:5" ht="15.75" customHeight="1">
      <c r="A347" s="9" t="s">
        <v>695</v>
      </c>
      <c r="B347" s="9" t="s">
        <v>696</v>
      </c>
      <c r="C347" t="str">
        <f t="shared" si="15"/>
        <v>, M</v>
      </c>
      <c r="D347" t="str">
        <f t="shared" si="16"/>
        <v>Lorto</v>
      </c>
      <c r="E347" t="str">
        <f t="shared" si="17"/>
        <v>Alex</v>
      </c>
    </row>
    <row r="348" spans="1:5" ht="15.75" customHeight="1">
      <c r="A348" s="9" t="s">
        <v>697</v>
      </c>
      <c r="B348" s="9" t="s">
        <v>698</v>
      </c>
      <c r="C348" t="str">
        <f t="shared" si="15"/>
        <v>eda</v>
      </c>
      <c r="D348" t="str">
        <f t="shared" si="16"/>
        <v>Casta</v>
      </c>
      <c r="E348" t="str">
        <f t="shared" si="17"/>
        <v>riela</v>
      </c>
    </row>
    <row r="349" spans="1:5" ht="15.75" customHeight="1">
      <c r="A349" s="9" t="s">
        <v>699</v>
      </c>
      <c r="B349" s="9" t="s">
        <v>700</v>
      </c>
      <c r="C349" t="str">
        <f t="shared" si="15"/>
        <v>, M</v>
      </c>
      <c r="D349" t="str">
        <f t="shared" si="16"/>
        <v>Chero</v>
      </c>
      <c r="E349" t="str">
        <f t="shared" si="17"/>
        <v>haron</v>
      </c>
    </row>
    <row r="350" spans="1:5" ht="15.75" customHeight="1">
      <c r="A350" s="9" t="s">
        <v>701</v>
      </c>
      <c r="B350" s="9" t="s">
        <v>702</v>
      </c>
      <c r="C350" t="str">
        <f t="shared" si="15"/>
        <v>, M</v>
      </c>
      <c r="D350" t="str">
        <f t="shared" si="16"/>
        <v>Howel</v>
      </c>
      <c r="E350" t="str">
        <f t="shared" si="17"/>
        <v>son A</v>
      </c>
    </row>
    <row r="351" spans="1:5" ht="15.75" customHeight="1">
      <c r="A351" s="9" t="s">
        <v>703</v>
      </c>
      <c r="B351" s="9" t="s">
        <v>704</v>
      </c>
      <c r="C351" t="str">
        <f t="shared" si="15"/>
        <v>, M</v>
      </c>
      <c r="D351" t="str">
        <f t="shared" si="16"/>
        <v>Palme</v>
      </c>
      <c r="E351" t="str">
        <f t="shared" si="17"/>
        <v>ey C.</v>
      </c>
    </row>
    <row r="352" spans="1:5" ht="15.75" customHeight="1">
      <c r="A352" s="9" t="s">
        <v>705</v>
      </c>
      <c r="B352" s="9" t="s">
        <v>706</v>
      </c>
      <c r="C352" t="str">
        <f t="shared" si="15"/>
        <v>Mr</v>
      </c>
      <c r="D352" t="str">
        <f t="shared" si="16"/>
        <v>Olson</v>
      </c>
      <c r="E352" t="str">
        <f t="shared" si="17"/>
        <v>on A.</v>
      </c>
    </row>
    <row r="353" spans="1:5" ht="15.75" customHeight="1">
      <c r="A353" s="9" t="s">
        <v>707</v>
      </c>
      <c r="B353" s="9" t="s">
        <v>708</v>
      </c>
      <c r="C353" t="str">
        <f t="shared" si="15"/>
        <v>n,</v>
      </c>
      <c r="D353" t="str">
        <f t="shared" si="16"/>
        <v>Waldr</v>
      </c>
      <c r="E353" t="str">
        <f t="shared" si="17"/>
        <v>oni L</v>
      </c>
    </row>
    <row r="354" spans="1:5" ht="15.75" customHeight="1">
      <c r="A354" s="9" t="s">
        <v>709</v>
      </c>
      <c r="B354" s="9" t="s">
        <v>710</v>
      </c>
      <c r="C354" t="str">
        <f t="shared" si="15"/>
        <v>Mr</v>
      </c>
      <c r="D354" t="str">
        <f t="shared" si="16"/>
        <v>Meyer</v>
      </c>
      <c r="E354" t="str">
        <f t="shared" si="17"/>
        <v>Colin</v>
      </c>
    </row>
    <row r="355" spans="1:5" ht="15.75" customHeight="1">
      <c r="A355" s="9" t="s">
        <v>711</v>
      </c>
      <c r="B355" s="9" t="s">
        <v>712</v>
      </c>
      <c r="C355" t="str">
        <f t="shared" si="15"/>
        <v>Ms</v>
      </c>
      <c r="D355" t="str">
        <f t="shared" si="16"/>
        <v>Stack</v>
      </c>
      <c r="E355" t="str">
        <f t="shared" si="17"/>
        <v>chael</v>
      </c>
    </row>
    <row r="356" spans="1:5" ht="15.75" customHeight="1">
      <c r="A356" s="9" t="s">
        <v>713</v>
      </c>
      <c r="B356" s="9" t="s">
        <v>714</v>
      </c>
      <c r="C356" t="str">
        <f t="shared" si="15"/>
        <v>z Y</v>
      </c>
      <c r="D356" t="str">
        <f t="shared" si="16"/>
        <v>Sanch</v>
      </c>
      <c r="E356" t="str">
        <f t="shared" si="17"/>
        <v>icela</v>
      </c>
    </row>
    <row r="357" spans="1:5" ht="15.75" customHeight="1">
      <c r="A357" s="9" t="s">
        <v>715</v>
      </c>
      <c r="B357" s="9" t="s">
        <v>716</v>
      </c>
      <c r="C357" t="str">
        <f t="shared" si="15"/>
        <v>s,</v>
      </c>
      <c r="D357" t="str">
        <f t="shared" si="16"/>
        <v>Danie</v>
      </c>
      <c r="E357" t="str">
        <f t="shared" si="17"/>
        <v>Marie</v>
      </c>
    </row>
    <row r="358" spans="1:5" ht="15.75" customHeight="1">
      <c r="A358" s="9" t="s">
        <v>717</v>
      </c>
      <c r="B358" s="9" t="s">
        <v>718</v>
      </c>
      <c r="C358" t="str">
        <f t="shared" si="15"/>
        <v>Mr.</v>
      </c>
      <c r="D358" t="str">
        <f t="shared" si="16"/>
        <v>Pepp,</v>
      </c>
      <c r="E358" t="str">
        <f t="shared" si="17"/>
        <v>Frank</v>
      </c>
    </row>
    <row r="359" spans="1:5" ht="15.75" customHeight="1">
      <c r="A359" s="9" t="s">
        <v>719</v>
      </c>
      <c r="B359" s="9" t="s">
        <v>720</v>
      </c>
      <c r="C359" t="str">
        <f t="shared" si="15"/>
        <v>er,</v>
      </c>
      <c r="D359" t="str">
        <f t="shared" si="16"/>
        <v>Buech</v>
      </c>
      <c r="E359" t="str">
        <f t="shared" si="17"/>
        <v>effry</v>
      </c>
    </row>
    <row r="360" spans="1:5" ht="15.75" customHeight="1">
      <c r="A360" s="9" t="s">
        <v>721</v>
      </c>
      <c r="B360" s="9" t="s">
        <v>722</v>
      </c>
      <c r="C360" t="str">
        <f t="shared" si="15"/>
        <v>ng,</v>
      </c>
      <c r="D360" t="str">
        <f t="shared" si="16"/>
        <v>Buent</v>
      </c>
      <c r="E360" t="str">
        <f t="shared" si="17"/>
        <v>Mike</v>
      </c>
    </row>
    <row r="361" spans="1:5" ht="15.75" customHeight="1">
      <c r="A361" s="9" t="s">
        <v>723</v>
      </c>
      <c r="B361" s="9" t="s">
        <v>724</v>
      </c>
      <c r="C361" t="str">
        <f t="shared" si="15"/>
        <v>Mr</v>
      </c>
      <c r="D361" t="str">
        <f t="shared" si="16"/>
        <v>Evans</v>
      </c>
      <c r="E361" t="str">
        <f t="shared" si="17"/>
        <v>Rick</v>
      </c>
    </row>
    <row r="362" spans="1:5" ht="15.75" customHeight="1">
      <c r="A362" s="9" t="s">
        <v>725</v>
      </c>
      <c r="B362" s="9" t="s">
        <v>726</v>
      </c>
      <c r="C362" t="str">
        <f t="shared" si="15"/>
        <v>, M</v>
      </c>
      <c r="D362" t="str">
        <f t="shared" si="16"/>
        <v>Arcan</v>
      </c>
      <c r="E362" t="str">
        <f t="shared" si="17"/>
        <v>ichel</v>
      </c>
    </row>
    <row r="363" spans="1:5" ht="15.75" customHeight="1">
      <c r="A363" s="9" t="s">
        <v>727</v>
      </c>
      <c r="B363" s="9" t="s">
        <v>728</v>
      </c>
      <c r="C363" t="str">
        <f t="shared" si="15"/>
        <v>, M</v>
      </c>
      <c r="D363" t="str">
        <f t="shared" si="16"/>
        <v>Kesac</v>
      </c>
      <c r="E363" t="str">
        <f t="shared" si="17"/>
        <v>aniel</v>
      </c>
    </row>
    <row r="364" spans="1:5" ht="15.75" customHeight="1">
      <c r="A364" s="9" t="s">
        <v>729</v>
      </c>
      <c r="B364" s="9" t="s">
        <v>730</v>
      </c>
      <c r="C364" t="str">
        <f t="shared" si="15"/>
        <v>Mr.</v>
      </c>
      <c r="D364" t="str">
        <f t="shared" si="16"/>
        <v>Post,</v>
      </c>
      <c r="E364" t="str">
        <f t="shared" si="17"/>
        <v>an L.</v>
      </c>
    </row>
    <row r="365" spans="1:5" ht="15.75" customHeight="1">
      <c r="A365" s="9" t="s">
        <v>731</v>
      </c>
      <c r="B365" s="9" t="s">
        <v>732</v>
      </c>
      <c r="C365" t="str">
        <f t="shared" si="15"/>
        <v>Ms</v>
      </c>
      <c r="D365" t="str">
        <f t="shared" si="16"/>
        <v>Dunne</v>
      </c>
      <c r="E365" t="str">
        <f t="shared" si="17"/>
        <v>an M.</v>
      </c>
    </row>
    <row r="366" spans="1:5" ht="15.75" customHeight="1">
      <c r="A366" s="9" t="s">
        <v>733</v>
      </c>
      <c r="B366" s="9" t="s">
        <v>734</v>
      </c>
      <c r="C366" t="str">
        <f t="shared" si="15"/>
        <v>Ms</v>
      </c>
      <c r="D366" t="str">
        <f t="shared" si="16"/>
        <v>Kilel</v>
      </c>
      <c r="E366" t="str">
        <f t="shared" si="17"/>
        <v>oline</v>
      </c>
    </row>
    <row r="367" spans="1:5" ht="15.75" customHeight="1">
      <c r="A367" s="9" t="s">
        <v>735</v>
      </c>
      <c r="B367" s="9" t="s">
        <v>736</v>
      </c>
      <c r="C367" t="str">
        <f t="shared" si="15"/>
        <v>son</v>
      </c>
      <c r="D367" t="str">
        <f t="shared" si="16"/>
        <v>Nicho</v>
      </c>
      <c r="E367" t="str">
        <f t="shared" si="17"/>
        <v>ew T.</v>
      </c>
    </row>
    <row r="368" spans="1:5" ht="15.75" customHeight="1">
      <c r="A368" s="9" t="s">
        <v>737</v>
      </c>
      <c r="B368" s="9" t="s">
        <v>738</v>
      </c>
      <c r="C368" t="str">
        <f t="shared" si="15"/>
        <v>n,</v>
      </c>
      <c r="D368" t="str">
        <f t="shared" si="16"/>
        <v>Susma</v>
      </c>
      <c r="E368" t="str">
        <f t="shared" si="17"/>
        <v>tin W</v>
      </c>
    </row>
    <row r="369" spans="1:5" ht="15.75" customHeight="1">
      <c r="A369" s="9" t="s">
        <v>739</v>
      </c>
      <c r="B369" s="9" t="s">
        <v>740</v>
      </c>
      <c r="C369" t="str">
        <f t="shared" si="15"/>
        <v>Ms</v>
      </c>
      <c r="D369" t="str">
        <f t="shared" si="16"/>
        <v>Harsh</v>
      </c>
      <c r="E369" t="str">
        <f t="shared" si="17"/>
        <v>enice</v>
      </c>
    </row>
    <row r="370" spans="1:5" ht="15.75" customHeight="1">
      <c r="A370" s="9" t="s">
        <v>741</v>
      </c>
      <c r="B370" s="9" t="s">
        <v>742</v>
      </c>
      <c r="C370" t="str">
        <f t="shared" si="15"/>
        <v>ngr</v>
      </c>
      <c r="D370" t="str">
        <f t="shared" si="16"/>
        <v>Pocas</v>
      </c>
      <c r="E370" t="str">
        <f t="shared" si="17"/>
        <v>eth A</v>
      </c>
    </row>
    <row r="371" spans="1:5" ht="15.75" customHeight="1">
      <c r="A371" s="9" t="s">
        <v>743</v>
      </c>
      <c r="B371" s="9" t="s">
        <v>744</v>
      </c>
      <c r="C371" t="str">
        <f t="shared" si="15"/>
        <v>ez</v>
      </c>
      <c r="D371" t="str">
        <f t="shared" si="16"/>
        <v>Marti</v>
      </c>
      <c r="E371" t="str">
        <f t="shared" si="17"/>
        <v>iguel</v>
      </c>
    </row>
    <row r="372" spans="1:5" ht="15.75" customHeight="1">
      <c r="A372" s="9" t="s">
        <v>745</v>
      </c>
      <c r="B372" s="9" t="s">
        <v>746</v>
      </c>
      <c r="C372" t="str">
        <f t="shared" si="15"/>
        <v>, M</v>
      </c>
      <c r="D372" t="str">
        <f t="shared" si="16"/>
        <v>Riege</v>
      </c>
      <c r="E372" t="str">
        <f t="shared" si="17"/>
        <v>ey T.</v>
      </c>
    </row>
    <row r="373" spans="1:5" ht="15.75" customHeight="1">
      <c r="A373" s="9" t="s">
        <v>747</v>
      </c>
      <c r="B373" s="9" t="s">
        <v>748</v>
      </c>
      <c r="C373" t="str">
        <f t="shared" si="15"/>
        <v>, M</v>
      </c>
      <c r="D373" t="str">
        <f t="shared" si="16"/>
        <v>Monso</v>
      </c>
      <c r="E373" t="str">
        <f t="shared" si="17"/>
        <v>aylor</v>
      </c>
    </row>
    <row r="374" spans="1:5" ht="15.75" customHeight="1">
      <c r="A374" s="9" t="s">
        <v>749</v>
      </c>
      <c r="B374" s="9" t="s">
        <v>750</v>
      </c>
      <c r="C374" t="str">
        <f t="shared" si="15"/>
        <v>n,</v>
      </c>
      <c r="D374" t="str">
        <f t="shared" si="16"/>
        <v>Klubb</v>
      </c>
      <c r="E374" t="str">
        <f t="shared" si="17"/>
        <v>lle M</v>
      </c>
    </row>
    <row r="375" spans="1:5" ht="15.75" customHeight="1">
      <c r="A375" s="9" t="s">
        <v>751</v>
      </c>
      <c r="B375" s="9" t="s">
        <v>752</v>
      </c>
      <c r="C375" t="str">
        <f t="shared" si="15"/>
        <v>o,</v>
      </c>
      <c r="D375" t="str">
        <f t="shared" si="16"/>
        <v>Masca</v>
      </c>
      <c r="E375" t="str">
        <f t="shared" si="17"/>
        <v>ndrea</v>
      </c>
    </row>
    <row r="376" spans="1:5" ht="15.75" customHeight="1">
      <c r="A376" s="9" t="s">
        <v>753</v>
      </c>
      <c r="B376" s="9" t="s">
        <v>754</v>
      </c>
      <c r="C376" t="str">
        <f t="shared" si="15"/>
        <v>l,</v>
      </c>
      <c r="D376" t="str">
        <f t="shared" si="16"/>
        <v>Norve</v>
      </c>
      <c r="E376" t="str">
        <f t="shared" si="17"/>
        <v>ora P</v>
      </c>
    </row>
    <row r="377" spans="1:5" ht="15.75" customHeight="1">
      <c r="A377" s="9" t="s">
        <v>755</v>
      </c>
      <c r="B377" s="9" t="s">
        <v>756</v>
      </c>
      <c r="C377" t="str">
        <f t="shared" si="15"/>
        <v>s,</v>
      </c>
      <c r="D377" t="str">
        <f t="shared" si="16"/>
        <v>Ornel</v>
      </c>
      <c r="E377" t="str">
        <f t="shared" si="17"/>
        <v>chary</v>
      </c>
    </row>
    <row r="378" spans="1:5" ht="15.75" customHeight="1">
      <c r="A378" s="9" t="s">
        <v>757</v>
      </c>
      <c r="B378" s="9" t="s">
        <v>758</v>
      </c>
      <c r="C378" t="str">
        <f t="shared" si="15"/>
        <v>tri</v>
      </c>
      <c r="D378" t="str">
        <f t="shared" si="16"/>
        <v>Fitzp</v>
      </c>
      <c r="E378" t="str">
        <f t="shared" si="17"/>
        <v>chael</v>
      </c>
    </row>
    <row r="379" spans="1:5" ht="15.75" customHeight="1">
      <c r="A379" s="9" t="s">
        <v>759</v>
      </c>
      <c r="B379" s="9" t="s">
        <v>760</v>
      </c>
      <c r="C379" t="str">
        <f t="shared" si="15"/>
        <v>uis</v>
      </c>
      <c r="D379" t="str">
        <f t="shared" si="16"/>
        <v>Bloom</v>
      </c>
      <c r="E379" t="str">
        <f t="shared" si="17"/>
        <v>sa K.</v>
      </c>
    </row>
    <row r="380" spans="1:5" ht="15.75" customHeight="1">
      <c r="A380" s="9" t="s">
        <v>761</v>
      </c>
      <c r="B380" s="9" t="s">
        <v>762</v>
      </c>
      <c r="C380" t="str">
        <f t="shared" si="15"/>
        <v>Ms.</v>
      </c>
      <c r="D380" t="str">
        <f t="shared" si="16"/>
        <v>Wick,</v>
      </c>
      <c r="E380" t="str">
        <f t="shared" si="17"/>
        <v>ather</v>
      </c>
    </row>
    <row r="381" spans="1:5" ht="15.75" customHeight="1">
      <c r="A381" s="9" t="s">
        <v>763</v>
      </c>
      <c r="B381" s="9" t="s">
        <v>764</v>
      </c>
      <c r="C381" t="str">
        <f t="shared" si="15"/>
        <v>a,</v>
      </c>
      <c r="D381" t="str">
        <f t="shared" si="16"/>
        <v>Zappa</v>
      </c>
      <c r="E381" t="str">
        <f t="shared" si="17"/>
        <v>Dante</v>
      </c>
    </row>
    <row r="382" spans="1:5" ht="15.75" customHeight="1">
      <c r="A382" s="9" t="s">
        <v>765</v>
      </c>
      <c r="B382" s="9" t="s">
        <v>766</v>
      </c>
      <c r="C382" t="str">
        <f t="shared" si="15"/>
        <v>Ms</v>
      </c>
      <c r="D382" t="str">
        <f t="shared" si="16"/>
        <v>Earle</v>
      </c>
      <c r="E382" t="str">
        <f t="shared" si="17"/>
        <v>ra E.</v>
      </c>
    </row>
    <row r="383" spans="1:5" ht="15.75" customHeight="1">
      <c r="A383" s="9" t="s">
        <v>767</v>
      </c>
      <c r="B383" s="9" t="s">
        <v>768</v>
      </c>
      <c r="C383" t="str">
        <f t="shared" si="15"/>
        <v>ki,</v>
      </c>
      <c r="D383" t="str">
        <f t="shared" si="16"/>
        <v>Majew</v>
      </c>
      <c r="E383" t="str">
        <f t="shared" si="17"/>
        <v>Scott</v>
      </c>
    </row>
    <row r="384" spans="1:5" ht="15.75" customHeight="1">
      <c r="A384" s="9" t="s">
        <v>769</v>
      </c>
      <c r="B384" s="9" t="s">
        <v>770</v>
      </c>
      <c r="C384" t="str">
        <f t="shared" si="15"/>
        <v>aum</v>
      </c>
      <c r="D384" t="str">
        <f t="shared" si="16"/>
        <v>Apfel</v>
      </c>
      <c r="E384" t="str">
        <f t="shared" si="17"/>
        <v>Sean</v>
      </c>
    </row>
    <row r="385" spans="1:5" ht="15.75" customHeight="1">
      <c r="A385" s="9" t="s">
        <v>771</v>
      </c>
      <c r="B385" s="9" t="s">
        <v>772</v>
      </c>
      <c r="C385" t="str">
        <f t="shared" si="15"/>
        <v>, M</v>
      </c>
      <c r="D385" t="str">
        <f t="shared" si="16"/>
        <v>Graha</v>
      </c>
      <c r="E385" t="str">
        <f t="shared" si="17"/>
        <v>ielle</v>
      </c>
    </row>
    <row r="386" spans="1:5" ht="15.75" customHeight="1">
      <c r="A386" s="9" t="s">
        <v>773</v>
      </c>
      <c r="B386" s="9" t="s">
        <v>774</v>
      </c>
      <c r="C386" t="str">
        <f t="shared" si="15"/>
        <v>re,</v>
      </c>
      <c r="D386" t="str">
        <f t="shared" si="16"/>
        <v>Whita</v>
      </c>
      <c r="E386" t="str">
        <f t="shared" si="17"/>
        <v>ew D.</v>
      </c>
    </row>
    <row r="387" spans="1:5" ht="15.75" customHeight="1">
      <c r="A387" s="9" t="s">
        <v>775</v>
      </c>
      <c r="B387" s="9" t="s">
        <v>776</v>
      </c>
      <c r="C387" t="str">
        <f t="shared" ref="C387:C450" si="18">MID(B387,7,3)</f>
        <v>r,</v>
      </c>
      <c r="D387" t="str">
        <f t="shared" ref="D387:D450" si="19">LEFT(B387,5)</f>
        <v>Wegen</v>
      </c>
      <c r="E387" t="str">
        <f t="shared" ref="E387:E450" si="20">RIGHT(B387,5)</f>
        <v>oel D</v>
      </c>
    </row>
    <row r="388" spans="1:5" ht="15.75" customHeight="1">
      <c r="A388" s="9" t="s">
        <v>777</v>
      </c>
      <c r="B388" s="9" t="s">
        <v>778</v>
      </c>
      <c r="C388" t="str">
        <f t="shared" si="18"/>
        <v>, M</v>
      </c>
      <c r="D388" t="str">
        <f t="shared" si="19"/>
        <v>Colli</v>
      </c>
      <c r="E388" t="str">
        <f t="shared" si="20"/>
        <v>helle</v>
      </c>
    </row>
    <row r="389" spans="1:5" ht="15.75" customHeight="1">
      <c r="A389" s="9" t="s">
        <v>779</v>
      </c>
      <c r="B389" s="9" t="s">
        <v>780</v>
      </c>
      <c r="C389" t="str">
        <f t="shared" si="18"/>
        <v>, M</v>
      </c>
      <c r="D389" t="str">
        <f t="shared" si="19"/>
        <v>Murph</v>
      </c>
      <c r="E389" t="str">
        <f t="shared" si="20"/>
        <v>el J.</v>
      </c>
    </row>
    <row r="390" spans="1:5" ht="15.75" customHeight="1">
      <c r="A390" s="9" t="s">
        <v>781</v>
      </c>
      <c r="B390" s="9" t="s">
        <v>782</v>
      </c>
      <c r="C390" t="str">
        <f t="shared" si="18"/>
        <v>s,</v>
      </c>
      <c r="D390" t="str">
        <f t="shared" si="19"/>
        <v>Butte</v>
      </c>
      <c r="E390" t="str">
        <f t="shared" si="20"/>
        <v>Nikki</v>
      </c>
    </row>
    <row r="391" spans="1:5" ht="15.75" customHeight="1">
      <c r="A391" s="9" t="s">
        <v>783</v>
      </c>
      <c r="B391" s="9" t="s">
        <v>784</v>
      </c>
      <c r="C391" t="str">
        <f t="shared" si="18"/>
        <v>Ms.</v>
      </c>
      <c r="D391" t="str">
        <f t="shared" si="19"/>
        <v>Cook,</v>
      </c>
      <c r="E391" t="str">
        <f t="shared" si="20"/>
        <v>er B.</v>
      </c>
    </row>
    <row r="392" spans="1:5" ht="15.75" customHeight="1">
      <c r="A392" s="9" t="s">
        <v>785</v>
      </c>
      <c r="B392" s="9" t="s">
        <v>786</v>
      </c>
      <c r="C392" t="str">
        <f t="shared" si="18"/>
        <v>Mr</v>
      </c>
      <c r="D392" t="str">
        <f t="shared" si="19"/>
        <v>Breen</v>
      </c>
      <c r="E392" t="str">
        <f t="shared" si="20"/>
        <v>dward</v>
      </c>
    </row>
    <row r="393" spans="1:5" ht="15.75" customHeight="1">
      <c r="A393" s="9" t="s">
        <v>787</v>
      </c>
      <c r="B393" s="9" t="s">
        <v>788</v>
      </c>
      <c r="C393" t="str">
        <f t="shared" si="18"/>
        <v>mon</v>
      </c>
      <c r="D393" t="str">
        <f t="shared" si="19"/>
        <v>Fitzs</v>
      </c>
      <c r="E393" t="str">
        <f t="shared" si="20"/>
        <v>Ryan</v>
      </c>
    </row>
    <row r="394" spans="1:5" ht="15.75" customHeight="1">
      <c r="A394" s="9" t="s">
        <v>789</v>
      </c>
      <c r="B394" s="9" t="s">
        <v>790</v>
      </c>
      <c r="C394" t="str">
        <f t="shared" si="18"/>
        <v>Ms</v>
      </c>
      <c r="D394" t="str">
        <f t="shared" si="19"/>
        <v>Houle</v>
      </c>
      <c r="E394" t="str">
        <f t="shared" si="20"/>
        <v>Kacee</v>
      </c>
    </row>
    <row r="395" spans="1:5" ht="15.75" customHeight="1">
      <c r="A395" s="9" t="s">
        <v>791</v>
      </c>
      <c r="B395" s="9" t="s">
        <v>792</v>
      </c>
      <c r="C395" t="str">
        <f t="shared" si="18"/>
        <v>rd,</v>
      </c>
      <c r="D395" t="str">
        <f t="shared" si="19"/>
        <v>Woodw</v>
      </c>
      <c r="E395" t="str">
        <f t="shared" si="20"/>
        <v>Dave</v>
      </c>
    </row>
    <row r="396" spans="1:5" ht="15.75" customHeight="1">
      <c r="A396" s="9" t="s">
        <v>793</v>
      </c>
      <c r="B396" s="9" t="s">
        <v>794</v>
      </c>
      <c r="C396" t="str">
        <f t="shared" si="18"/>
        <v>s.</v>
      </c>
      <c r="D396" t="str">
        <f t="shared" si="19"/>
        <v>Ray,</v>
      </c>
      <c r="E396" t="str">
        <f t="shared" si="20"/>
        <v>yanna</v>
      </c>
    </row>
    <row r="397" spans="1:5" ht="15.75" customHeight="1">
      <c r="A397" s="9" t="s">
        <v>795</v>
      </c>
      <c r="B397" s="9" t="s">
        <v>796</v>
      </c>
      <c r="C397" t="str">
        <f t="shared" si="18"/>
        <v>gs,</v>
      </c>
      <c r="D397" t="str">
        <f t="shared" si="19"/>
        <v>Jenni</v>
      </c>
      <c r="E397" t="str">
        <f t="shared" si="20"/>
        <v>ca H.</v>
      </c>
    </row>
    <row r="398" spans="1:5" ht="15.75" customHeight="1">
      <c r="A398" s="9" t="s">
        <v>797</v>
      </c>
      <c r="B398" s="9" t="s">
        <v>798</v>
      </c>
      <c r="C398" t="str">
        <f t="shared" si="18"/>
        <v>, M</v>
      </c>
      <c r="D398" t="str">
        <f t="shared" si="19"/>
        <v>Fulle</v>
      </c>
      <c r="E398" t="str">
        <f t="shared" si="20"/>
        <v>eanna</v>
      </c>
    </row>
    <row r="399" spans="1:5" ht="15.75" customHeight="1">
      <c r="A399" s="9" t="s">
        <v>799</v>
      </c>
      <c r="B399" s="9" t="s">
        <v>800</v>
      </c>
      <c r="C399" t="str">
        <f t="shared" si="18"/>
        <v>k,</v>
      </c>
      <c r="D399" t="str">
        <f t="shared" si="19"/>
        <v>Lovis</v>
      </c>
      <c r="E399" t="str">
        <f t="shared" si="20"/>
        <v>Peter</v>
      </c>
    </row>
    <row r="400" spans="1:5" ht="15.75" customHeight="1">
      <c r="A400" s="9" t="s">
        <v>801</v>
      </c>
      <c r="B400" s="9" t="s">
        <v>802</v>
      </c>
      <c r="C400" t="str">
        <f t="shared" si="18"/>
        <v>r,</v>
      </c>
      <c r="D400" t="str">
        <f t="shared" si="19"/>
        <v>Paint</v>
      </c>
      <c r="E400" t="str">
        <f t="shared" si="20"/>
        <v>becca</v>
      </c>
    </row>
    <row r="401" spans="1:5" ht="15.75" customHeight="1">
      <c r="A401" s="9" t="s">
        <v>803</v>
      </c>
      <c r="B401" s="9" t="s">
        <v>804</v>
      </c>
      <c r="C401" t="str">
        <f t="shared" si="18"/>
        <v>s,</v>
      </c>
      <c r="D401" t="str">
        <f t="shared" si="19"/>
        <v>Edwar</v>
      </c>
      <c r="E401" t="str">
        <f t="shared" si="20"/>
        <v>th M.</v>
      </c>
    </row>
    <row r="402" spans="1:5" ht="15.75" customHeight="1">
      <c r="A402" s="9" t="s">
        <v>805</v>
      </c>
      <c r="B402" s="9" t="s">
        <v>806</v>
      </c>
      <c r="C402" t="str">
        <f t="shared" si="18"/>
        <v>Mr</v>
      </c>
      <c r="D402" t="str">
        <f t="shared" si="19"/>
        <v>Liebl</v>
      </c>
      <c r="E402" t="str">
        <f t="shared" si="20"/>
        <v>egory</v>
      </c>
    </row>
    <row r="403" spans="1:5" ht="15.75" customHeight="1">
      <c r="A403" s="9" t="s">
        <v>807</v>
      </c>
      <c r="B403" s="9" t="s">
        <v>808</v>
      </c>
      <c r="C403" t="str">
        <f t="shared" si="18"/>
        <v>an-</v>
      </c>
      <c r="D403" t="str">
        <f t="shared" si="19"/>
        <v>Kasab</v>
      </c>
      <c r="E403" t="str">
        <f t="shared" si="20"/>
        <v>ah E.</v>
      </c>
    </row>
    <row r="404" spans="1:5" ht="15.75" customHeight="1">
      <c r="A404" s="9" t="s">
        <v>809</v>
      </c>
      <c r="B404" s="9" t="s">
        <v>810</v>
      </c>
      <c r="C404" t="str">
        <f t="shared" si="18"/>
        <v>r,</v>
      </c>
      <c r="D404" t="str">
        <f t="shared" si="19"/>
        <v>Cream</v>
      </c>
      <c r="E404" t="str">
        <f t="shared" si="20"/>
        <v>Elise</v>
      </c>
    </row>
    <row r="405" spans="1:5" ht="15.75" customHeight="1">
      <c r="A405" s="9" t="s">
        <v>811</v>
      </c>
      <c r="B405" s="9" t="s">
        <v>812</v>
      </c>
      <c r="C405" t="str">
        <f t="shared" si="18"/>
        <v>, M</v>
      </c>
      <c r="D405" t="str">
        <f t="shared" si="19"/>
        <v>Kimbe</v>
      </c>
      <c r="E405" t="str">
        <f t="shared" si="20"/>
        <v>her R</v>
      </c>
    </row>
    <row r="406" spans="1:5" ht="15.75" customHeight="1">
      <c r="A406" s="9" t="s">
        <v>813</v>
      </c>
      <c r="B406" s="9" t="s">
        <v>814</v>
      </c>
      <c r="C406" t="str">
        <f t="shared" si="18"/>
        <v>par</v>
      </c>
      <c r="D406" t="str">
        <f t="shared" si="19"/>
        <v>Liven</v>
      </c>
      <c r="E406" t="str">
        <f t="shared" si="20"/>
        <v>lliot</v>
      </c>
    </row>
    <row r="407" spans="1:5" ht="15.75" customHeight="1">
      <c r="A407" s="9" t="s">
        <v>815</v>
      </c>
      <c r="B407" s="9" t="s">
        <v>816</v>
      </c>
      <c r="C407" t="str">
        <f t="shared" si="18"/>
        <v>, M</v>
      </c>
      <c r="D407" t="str">
        <f t="shared" si="19"/>
        <v>Grang</v>
      </c>
      <c r="E407" t="str">
        <f t="shared" si="20"/>
        <v>er D.</v>
      </c>
    </row>
    <row r="408" spans="1:5" ht="15.75" customHeight="1">
      <c r="A408" s="9" t="s">
        <v>817</v>
      </c>
      <c r="B408" s="9" t="s">
        <v>818</v>
      </c>
      <c r="C408" t="str">
        <f t="shared" si="18"/>
        <v>t,</v>
      </c>
      <c r="D408" t="str">
        <f t="shared" si="19"/>
        <v>Nunli</v>
      </c>
      <c r="E408" t="str">
        <f t="shared" si="20"/>
        <v>Corey</v>
      </c>
    </row>
    <row r="409" spans="1:5" ht="15.75" customHeight="1">
      <c r="A409" s="9" t="s">
        <v>819</v>
      </c>
      <c r="B409" s="9" t="s">
        <v>820</v>
      </c>
      <c r="C409" t="str">
        <f t="shared" si="18"/>
        <v>, M</v>
      </c>
      <c r="D409" t="str">
        <f t="shared" si="19"/>
        <v>Cutte</v>
      </c>
      <c r="E409" t="str">
        <f t="shared" si="20"/>
        <v>ck D.</v>
      </c>
    </row>
    <row r="410" spans="1:5" ht="15.75" customHeight="1">
      <c r="A410" s="9" t="s">
        <v>821</v>
      </c>
      <c r="B410" s="9" t="s">
        <v>822</v>
      </c>
      <c r="C410" t="str">
        <f t="shared" si="18"/>
        <v>, M</v>
      </c>
      <c r="D410" t="str">
        <f t="shared" si="19"/>
        <v>Marti</v>
      </c>
      <c r="E410" t="str">
        <f t="shared" si="20"/>
        <v>ny D.</v>
      </c>
    </row>
    <row r="411" spans="1:5" ht="15.75" customHeight="1">
      <c r="A411" s="9" t="s">
        <v>823</v>
      </c>
      <c r="B411" s="9" t="s">
        <v>824</v>
      </c>
      <c r="C411" t="str">
        <f t="shared" si="18"/>
        <v>, M</v>
      </c>
      <c r="D411" t="str">
        <f t="shared" si="19"/>
        <v>Coone</v>
      </c>
      <c r="E411" t="str">
        <f t="shared" si="20"/>
        <v>lissa</v>
      </c>
    </row>
    <row r="412" spans="1:5" ht="15.75" customHeight="1">
      <c r="A412" s="9" t="s">
        <v>825</v>
      </c>
      <c r="B412" s="9" t="s">
        <v>826</v>
      </c>
      <c r="C412" t="str">
        <f t="shared" si="18"/>
        <v>Ms.</v>
      </c>
      <c r="D412" t="str">
        <f t="shared" si="19"/>
        <v>Bier,</v>
      </c>
      <c r="E412" t="str">
        <f t="shared" si="20"/>
        <v>Raven</v>
      </c>
    </row>
    <row r="413" spans="1:5" ht="15.75" customHeight="1">
      <c r="A413" s="9" t="s">
        <v>827</v>
      </c>
      <c r="B413" s="9" t="s">
        <v>828</v>
      </c>
      <c r="C413" t="str">
        <f t="shared" si="18"/>
        <v>f,</v>
      </c>
      <c r="D413" t="str">
        <f t="shared" si="19"/>
        <v>Musko</v>
      </c>
      <c r="E413" t="str">
        <f t="shared" si="20"/>
        <v>opher</v>
      </c>
    </row>
    <row r="414" spans="1:5" ht="15.75" customHeight="1">
      <c r="A414" s="9" t="s">
        <v>829</v>
      </c>
      <c r="B414" s="9" t="s">
        <v>830</v>
      </c>
      <c r="C414" t="str">
        <f t="shared" si="18"/>
        <v>Ms</v>
      </c>
      <c r="D414" t="str">
        <f t="shared" si="19"/>
        <v>Sirak</v>
      </c>
      <c r="E414" t="str">
        <f t="shared" si="20"/>
        <v>dra A</v>
      </c>
    </row>
    <row r="415" spans="1:5" ht="15.75" customHeight="1">
      <c r="A415" s="9" t="s">
        <v>831</v>
      </c>
      <c r="B415" s="9" t="s">
        <v>832</v>
      </c>
      <c r="C415" t="str">
        <f t="shared" si="18"/>
        <v>, M</v>
      </c>
      <c r="D415" t="str">
        <f t="shared" si="19"/>
        <v>Nelse</v>
      </c>
      <c r="E415" t="str">
        <f t="shared" si="20"/>
        <v>ordan</v>
      </c>
    </row>
    <row r="416" spans="1:5" ht="15.75" customHeight="1">
      <c r="A416" s="9" t="s">
        <v>833</v>
      </c>
      <c r="B416" s="9" t="s">
        <v>834</v>
      </c>
      <c r="C416" t="str">
        <f t="shared" si="18"/>
        <v>ner</v>
      </c>
      <c r="D416" t="str">
        <f t="shared" si="19"/>
        <v>Schal</v>
      </c>
      <c r="E416" t="str">
        <f t="shared" si="20"/>
        <v>Nils</v>
      </c>
    </row>
    <row r="417" spans="1:5" ht="15.75" customHeight="1">
      <c r="A417" s="9" t="s">
        <v>835</v>
      </c>
      <c r="B417" s="9" t="s">
        <v>836</v>
      </c>
      <c r="C417" t="str">
        <f t="shared" si="18"/>
        <v>, M</v>
      </c>
      <c r="D417" t="str">
        <f t="shared" si="19"/>
        <v>Dunla</v>
      </c>
      <c r="E417" t="str">
        <f t="shared" si="20"/>
        <v>Scott</v>
      </c>
    </row>
    <row r="418" spans="1:5" ht="15.75" customHeight="1">
      <c r="A418" s="9" t="s">
        <v>837</v>
      </c>
      <c r="B418" s="9" t="s">
        <v>838</v>
      </c>
      <c r="C418" t="str">
        <f t="shared" si="18"/>
        <v>g,</v>
      </c>
      <c r="D418" t="str">
        <f t="shared" si="19"/>
        <v>Messi</v>
      </c>
      <c r="E418" t="str">
        <f t="shared" si="20"/>
        <v>ngela</v>
      </c>
    </row>
    <row r="419" spans="1:5" ht="15.75" customHeight="1">
      <c r="A419" s="9" t="s">
        <v>839</v>
      </c>
      <c r="B419" s="9" t="s">
        <v>840</v>
      </c>
      <c r="C419" t="str">
        <f t="shared" si="18"/>
        <v>l,</v>
      </c>
      <c r="D419" t="str">
        <f t="shared" si="19"/>
        <v>Bonde</v>
      </c>
      <c r="E419" t="str">
        <f t="shared" si="20"/>
        <v>lison</v>
      </c>
    </row>
    <row r="420" spans="1:5" ht="15.75" customHeight="1">
      <c r="A420" s="9" t="s">
        <v>841</v>
      </c>
      <c r="B420" s="9" t="s">
        <v>842</v>
      </c>
      <c r="C420" t="str">
        <f t="shared" si="18"/>
        <v>n,</v>
      </c>
      <c r="D420" t="str">
        <f t="shared" si="19"/>
        <v>Gaugh</v>
      </c>
      <c r="E420" t="str">
        <f t="shared" si="20"/>
        <v>in O.</v>
      </c>
    </row>
    <row r="421" spans="1:5" ht="15.75" customHeight="1">
      <c r="A421" s="9" t="s">
        <v>843</v>
      </c>
      <c r="B421" s="9" t="s">
        <v>844</v>
      </c>
      <c r="C421" t="str">
        <f t="shared" si="18"/>
        <v>, M</v>
      </c>
      <c r="D421" t="str">
        <f t="shared" si="19"/>
        <v>Gruma</v>
      </c>
      <c r="E421" t="str">
        <f t="shared" si="20"/>
        <v>acy M</v>
      </c>
    </row>
    <row r="422" spans="1:5" ht="15.75" customHeight="1">
      <c r="A422" s="9" t="s">
        <v>845</v>
      </c>
      <c r="B422" s="9" t="s">
        <v>846</v>
      </c>
      <c r="C422" t="str">
        <f t="shared" si="18"/>
        <v>w,</v>
      </c>
      <c r="D422" t="str">
        <f t="shared" si="19"/>
        <v>Whitl</v>
      </c>
      <c r="E422" t="str">
        <f t="shared" si="20"/>
        <v>in M.</v>
      </c>
    </row>
    <row r="423" spans="1:5" ht="15.75" customHeight="1">
      <c r="A423" s="9" t="s">
        <v>847</v>
      </c>
      <c r="B423" s="9" t="s">
        <v>848</v>
      </c>
      <c r="C423" t="str">
        <f t="shared" si="18"/>
        <v>on,</v>
      </c>
      <c r="D423" t="str">
        <f t="shared" si="19"/>
        <v>Robin</v>
      </c>
      <c r="E423" t="str">
        <f t="shared" si="20"/>
        <v>Jenny</v>
      </c>
    </row>
    <row r="424" spans="1:5" ht="15.75" customHeight="1">
      <c r="A424" s="9" t="s">
        <v>849</v>
      </c>
      <c r="B424" s="9" t="s">
        <v>850</v>
      </c>
      <c r="C424" t="str">
        <f t="shared" si="18"/>
        <v>Ms.</v>
      </c>
      <c r="D424" t="str">
        <f t="shared" si="19"/>
        <v>Sabo,</v>
      </c>
      <c r="E424" t="str">
        <f t="shared" si="20"/>
        <v>Emily</v>
      </c>
    </row>
    <row r="425" spans="1:5" ht="15.75" customHeight="1">
      <c r="A425" s="9" t="s">
        <v>851</v>
      </c>
      <c r="B425" s="9" t="s">
        <v>852</v>
      </c>
      <c r="C425" t="str">
        <f t="shared" si="18"/>
        <v>an,</v>
      </c>
      <c r="D425" t="str">
        <f t="shared" si="19"/>
        <v>Nazar</v>
      </c>
      <c r="E425" t="str">
        <f t="shared" si="20"/>
        <v>ienne</v>
      </c>
    </row>
    <row r="426" spans="1:5" ht="15.75" customHeight="1">
      <c r="A426" s="9" t="s">
        <v>853</v>
      </c>
      <c r="B426" s="9" t="s">
        <v>854</v>
      </c>
      <c r="C426" t="str">
        <f t="shared" si="18"/>
        <v>Mr</v>
      </c>
      <c r="D426" t="str">
        <f t="shared" si="19"/>
        <v>Lerma</v>
      </c>
      <c r="E426" t="str">
        <f t="shared" si="20"/>
        <v>ordan</v>
      </c>
    </row>
    <row r="427" spans="1:5" ht="15.75" customHeight="1">
      <c r="A427" s="9" t="s">
        <v>855</v>
      </c>
      <c r="B427" s="9" t="s">
        <v>856</v>
      </c>
      <c r="C427" t="str">
        <f t="shared" si="18"/>
        <v>Mr.</v>
      </c>
      <c r="D427" t="str">
        <f t="shared" si="19"/>
        <v>Dahl,</v>
      </c>
      <c r="E427" t="str">
        <f t="shared" si="20"/>
        <v>Matt</v>
      </c>
    </row>
    <row r="428" spans="1:5" ht="15.75" customHeight="1">
      <c r="A428" s="9" t="s">
        <v>857</v>
      </c>
      <c r="B428" s="9" t="s">
        <v>858</v>
      </c>
      <c r="C428" t="str">
        <f t="shared" si="18"/>
        <v>s,</v>
      </c>
      <c r="D428" t="str">
        <f t="shared" si="19"/>
        <v>Surte</v>
      </c>
      <c r="E428" t="str">
        <f t="shared" si="20"/>
        <v>ryn L</v>
      </c>
    </row>
    <row r="429" spans="1:5" ht="15.75" customHeight="1">
      <c r="A429" s="9" t="s">
        <v>859</v>
      </c>
      <c r="B429" s="9" t="s">
        <v>860</v>
      </c>
      <c r="C429" t="str">
        <f t="shared" si="18"/>
        <v>r,</v>
      </c>
      <c r="D429" t="str">
        <f t="shared" si="19"/>
        <v>Spetn</v>
      </c>
      <c r="E429" t="str">
        <f t="shared" si="20"/>
        <v>emima</v>
      </c>
    </row>
    <row r="430" spans="1:5" ht="15.75" customHeight="1">
      <c r="A430" s="9" t="s">
        <v>861</v>
      </c>
      <c r="B430" s="9" t="s">
        <v>862</v>
      </c>
      <c r="C430" t="str">
        <f t="shared" si="18"/>
        <v>n,</v>
      </c>
      <c r="D430" t="str">
        <f t="shared" si="19"/>
        <v>Brand</v>
      </c>
      <c r="E430" t="str">
        <f t="shared" si="20"/>
        <v>nifer</v>
      </c>
    </row>
    <row r="431" spans="1:5" ht="15.75" customHeight="1">
      <c r="A431" s="9" t="s">
        <v>863</v>
      </c>
      <c r="B431" s="9" t="s">
        <v>864</v>
      </c>
      <c r="C431" t="str">
        <f t="shared" si="18"/>
        <v>Ms.</v>
      </c>
      <c r="D431" t="str">
        <f t="shared" si="19"/>
        <v>Eley,</v>
      </c>
      <c r="E431" t="str">
        <f t="shared" si="20"/>
        <v>na M.</v>
      </c>
    </row>
    <row r="432" spans="1:5" ht="15.75" customHeight="1">
      <c r="A432" s="9" t="s">
        <v>865</v>
      </c>
      <c r="B432" s="9" t="s">
        <v>866</v>
      </c>
      <c r="C432" t="str">
        <f t="shared" si="18"/>
        <v>m,</v>
      </c>
      <c r="D432" t="str">
        <f t="shared" si="19"/>
        <v>Sedic</v>
      </c>
      <c r="E432" t="str">
        <f t="shared" si="20"/>
        <v>ia M.</v>
      </c>
    </row>
    <row r="433" spans="1:5" ht="15.75" customHeight="1">
      <c r="A433" s="9" t="s">
        <v>867</v>
      </c>
      <c r="B433" s="9" t="s">
        <v>868</v>
      </c>
      <c r="C433" t="str">
        <f t="shared" si="18"/>
        <v>, M</v>
      </c>
      <c r="D433" t="str">
        <f t="shared" si="19"/>
        <v>Markl</v>
      </c>
      <c r="E433" t="str">
        <f t="shared" si="20"/>
        <v>hoebe</v>
      </c>
    </row>
    <row r="434" spans="1:5" ht="15.75" customHeight="1">
      <c r="A434" s="9" t="s">
        <v>869</v>
      </c>
      <c r="B434" s="9" t="s">
        <v>870</v>
      </c>
      <c r="C434" t="str">
        <f t="shared" si="18"/>
        <v>Mr.</v>
      </c>
      <c r="D434" t="str">
        <f t="shared" si="19"/>
        <v>Kunz,</v>
      </c>
      <c r="E434" t="str">
        <f t="shared" si="20"/>
        <v>Corey</v>
      </c>
    </row>
    <row r="435" spans="1:5" ht="15.75" customHeight="1">
      <c r="A435" s="9" t="s">
        <v>871</v>
      </c>
      <c r="B435" s="9" t="s">
        <v>872</v>
      </c>
      <c r="C435" t="str">
        <f t="shared" si="18"/>
        <v>, M</v>
      </c>
      <c r="D435" t="str">
        <f t="shared" si="19"/>
        <v>Wimer</v>
      </c>
      <c r="E435" t="str">
        <f t="shared" si="20"/>
        <v>becca</v>
      </c>
    </row>
    <row r="436" spans="1:5" ht="15.75" customHeight="1">
      <c r="A436" s="9" t="s">
        <v>873</v>
      </c>
      <c r="B436" s="9" t="s">
        <v>874</v>
      </c>
      <c r="C436" t="str">
        <f t="shared" si="18"/>
        <v>on,</v>
      </c>
      <c r="D436" t="str">
        <f t="shared" si="19"/>
        <v>Peter</v>
      </c>
      <c r="E436" t="str">
        <f t="shared" si="20"/>
        <v>las D</v>
      </c>
    </row>
    <row r="437" spans="1:5" ht="15.75" customHeight="1">
      <c r="A437" s="9" t="s">
        <v>875</v>
      </c>
      <c r="B437" s="9" t="s">
        <v>876</v>
      </c>
      <c r="C437" t="str">
        <f t="shared" si="18"/>
        <v>r,</v>
      </c>
      <c r="D437" t="str">
        <f t="shared" si="19"/>
        <v>Merci</v>
      </c>
      <c r="E437" t="str">
        <f t="shared" si="20"/>
        <v>stian</v>
      </c>
    </row>
    <row r="438" spans="1:5" ht="15.75" customHeight="1">
      <c r="A438" s="9" t="s">
        <v>877</v>
      </c>
      <c r="B438" s="9" t="s">
        <v>878</v>
      </c>
      <c r="C438" t="str">
        <f t="shared" si="18"/>
        <v>, M</v>
      </c>
      <c r="D438" t="str">
        <f t="shared" si="19"/>
        <v>Lauri</v>
      </c>
      <c r="E438" t="str">
        <f t="shared" si="20"/>
        <v>on S.</v>
      </c>
    </row>
    <row r="439" spans="1:5" ht="15.75" customHeight="1">
      <c r="A439" s="9" t="s">
        <v>879</v>
      </c>
      <c r="B439" s="9" t="s">
        <v>880</v>
      </c>
      <c r="C439" t="str">
        <f t="shared" si="18"/>
        <v>apt</v>
      </c>
      <c r="D439" t="str">
        <f t="shared" si="19"/>
        <v>Sekaq</v>
      </c>
      <c r="E439" t="str">
        <f t="shared" si="20"/>
        <v>oline</v>
      </c>
    </row>
    <row r="440" spans="1:5" ht="15.75" customHeight="1">
      <c r="A440" s="9" t="s">
        <v>881</v>
      </c>
      <c r="B440" s="9" t="s">
        <v>882</v>
      </c>
      <c r="C440" t="str">
        <f t="shared" si="18"/>
        <v>Mr</v>
      </c>
      <c r="D440" t="str">
        <f t="shared" si="19"/>
        <v>Frash</v>
      </c>
      <c r="E440" t="str">
        <f t="shared" si="20"/>
        <v>ua D.</v>
      </c>
    </row>
    <row r="441" spans="1:5" ht="15.75" customHeight="1">
      <c r="A441" s="9" t="s">
        <v>883</v>
      </c>
      <c r="B441" s="9" t="s">
        <v>884</v>
      </c>
      <c r="C441" t="str">
        <f t="shared" si="18"/>
        <v>ki,</v>
      </c>
      <c r="D441" t="str">
        <f t="shared" si="19"/>
        <v>Bukow</v>
      </c>
      <c r="E441" t="str">
        <f t="shared" si="20"/>
        <v>chole</v>
      </c>
    </row>
    <row r="442" spans="1:5" ht="15.75" customHeight="1">
      <c r="A442" s="9" t="s">
        <v>885</v>
      </c>
      <c r="B442" s="9" t="s">
        <v>886</v>
      </c>
      <c r="C442" t="str">
        <f t="shared" si="18"/>
        <v>l,</v>
      </c>
      <c r="D442" t="str">
        <f t="shared" si="19"/>
        <v>Sanda</v>
      </c>
      <c r="E442" t="str">
        <f t="shared" si="20"/>
        <v>ise M</v>
      </c>
    </row>
    <row r="443" spans="1:5" ht="15.75" customHeight="1">
      <c r="A443" s="9" t="s">
        <v>887</v>
      </c>
      <c r="B443" s="9" t="s">
        <v>888</v>
      </c>
      <c r="C443" t="str">
        <f t="shared" si="18"/>
        <v>t,</v>
      </c>
      <c r="D443" t="str">
        <f t="shared" si="19"/>
        <v>Speig</v>
      </c>
      <c r="E443" t="str">
        <f t="shared" si="20"/>
        <v>er R.</v>
      </c>
    </row>
    <row r="444" spans="1:5" ht="15.75" customHeight="1">
      <c r="A444" s="9" t="s">
        <v>889</v>
      </c>
      <c r="B444" s="9" t="s">
        <v>890</v>
      </c>
      <c r="C444" t="str">
        <f t="shared" si="18"/>
        <v>r.</v>
      </c>
      <c r="D444" t="str">
        <f t="shared" si="19"/>
        <v>Lee,</v>
      </c>
      <c r="E444" t="str">
        <f t="shared" si="20"/>
        <v>son K</v>
      </c>
    </row>
    <row r="445" spans="1:5" ht="15.75" customHeight="1">
      <c r="A445" s="9" t="s">
        <v>891</v>
      </c>
      <c r="B445" s="9" t="s">
        <v>892</v>
      </c>
      <c r="C445" t="str">
        <f t="shared" si="18"/>
        <v>n,</v>
      </c>
      <c r="D445" t="str">
        <f t="shared" si="19"/>
        <v>Niels</v>
      </c>
      <c r="E445" t="str">
        <f t="shared" si="20"/>
        <v>erine</v>
      </c>
    </row>
    <row r="446" spans="1:5" ht="15.75" customHeight="1">
      <c r="A446" s="9" t="s">
        <v>893</v>
      </c>
      <c r="B446" s="9" t="s">
        <v>894</v>
      </c>
      <c r="C446" t="str">
        <f t="shared" si="18"/>
        <v>, M</v>
      </c>
      <c r="D446" t="str">
        <f t="shared" si="19"/>
        <v>Zirdo</v>
      </c>
      <c r="E446" t="str">
        <f t="shared" si="20"/>
        <v>Lynda</v>
      </c>
    </row>
    <row r="447" spans="1:5" ht="15.75" customHeight="1">
      <c r="A447" s="9" t="s">
        <v>895</v>
      </c>
      <c r="B447" s="9" t="s">
        <v>896</v>
      </c>
      <c r="C447" t="str">
        <f t="shared" si="18"/>
        <v>e,</v>
      </c>
      <c r="D447" t="str">
        <f t="shared" si="19"/>
        <v>Cruda</v>
      </c>
      <c r="E447" t="str">
        <f t="shared" si="20"/>
        <v>thony</v>
      </c>
    </row>
    <row r="448" spans="1:5" ht="15.75" customHeight="1">
      <c r="A448" s="9" t="s">
        <v>897</v>
      </c>
      <c r="B448" s="9" t="s">
        <v>898</v>
      </c>
      <c r="C448" t="str">
        <f t="shared" si="18"/>
        <v>ns,</v>
      </c>
      <c r="D448" t="str">
        <f t="shared" si="19"/>
        <v>Koopm</v>
      </c>
      <c r="E448" t="str">
        <f t="shared" si="20"/>
        <v>ea C.</v>
      </c>
    </row>
    <row r="449" spans="1:5" ht="15.75" customHeight="1">
      <c r="A449" s="9" t="s">
        <v>899</v>
      </c>
      <c r="B449" s="9" t="s">
        <v>900</v>
      </c>
      <c r="C449" t="str">
        <f t="shared" si="18"/>
        <v>, M</v>
      </c>
      <c r="D449" t="str">
        <f t="shared" si="19"/>
        <v>Milan</v>
      </c>
      <c r="E449" t="str">
        <f t="shared" si="20"/>
        <v>no A.</v>
      </c>
    </row>
    <row r="450" spans="1:5" ht="15.75" customHeight="1">
      <c r="A450" s="9" t="s">
        <v>901</v>
      </c>
      <c r="B450" s="9" t="s">
        <v>902</v>
      </c>
      <c r="C450" t="str">
        <f t="shared" si="18"/>
        <v>Mr</v>
      </c>
      <c r="D450" t="str">
        <f t="shared" si="19"/>
        <v>Kelly</v>
      </c>
      <c r="E450" t="str">
        <f t="shared" si="20"/>
        <v>es M.</v>
      </c>
    </row>
    <row r="451" spans="1:5" ht="15.75" customHeight="1">
      <c r="A451" s="9" t="s">
        <v>903</v>
      </c>
      <c r="B451" s="9" t="s">
        <v>904</v>
      </c>
      <c r="C451" t="str">
        <f t="shared" ref="C451:C514" si="21">MID(B451,7,3)</f>
        <v>i,</v>
      </c>
      <c r="D451" t="str">
        <f t="shared" ref="D451:D514" si="22">LEFT(B451,5)</f>
        <v>Finel</v>
      </c>
      <c r="E451" t="str">
        <f t="shared" ref="E451:E514" si="23">RIGHT(B451,5)</f>
        <v>auren</v>
      </c>
    </row>
    <row r="452" spans="1:5" ht="15.75" customHeight="1">
      <c r="A452" s="9" t="s">
        <v>905</v>
      </c>
      <c r="B452" s="9" t="s">
        <v>906</v>
      </c>
      <c r="C452" t="str">
        <f t="shared" si="21"/>
        <v>, M</v>
      </c>
      <c r="D452" t="str">
        <f t="shared" si="22"/>
        <v>Palme</v>
      </c>
      <c r="E452" t="str">
        <f t="shared" si="23"/>
        <v>le V.</v>
      </c>
    </row>
    <row r="453" spans="1:5" ht="15.75" customHeight="1">
      <c r="A453" s="9" t="s">
        <v>907</v>
      </c>
      <c r="B453" s="9" t="s">
        <v>908</v>
      </c>
      <c r="C453" t="str">
        <f t="shared" si="21"/>
        <v>Mr.</v>
      </c>
      <c r="D453" t="str">
        <f t="shared" si="22"/>
        <v>Wang,</v>
      </c>
      <c r="E453" t="str">
        <f t="shared" si="23"/>
        <v>Xiao</v>
      </c>
    </row>
    <row r="454" spans="1:5" ht="15.75" customHeight="1">
      <c r="A454" s="9" t="s">
        <v>909</v>
      </c>
      <c r="B454" s="9" t="s">
        <v>910</v>
      </c>
      <c r="C454" t="str">
        <f t="shared" si="21"/>
        <v>y,</v>
      </c>
      <c r="D454" t="str">
        <f t="shared" si="22"/>
        <v>Beasl</v>
      </c>
      <c r="E454" t="str">
        <f t="shared" si="23"/>
        <v>per L</v>
      </c>
    </row>
    <row r="455" spans="1:5" ht="15.75" customHeight="1">
      <c r="A455" s="9" t="s">
        <v>911</v>
      </c>
      <c r="B455" s="9" t="s">
        <v>912</v>
      </c>
      <c r="C455" t="str">
        <f t="shared" si="21"/>
        <v>y,</v>
      </c>
      <c r="D455" t="str">
        <f t="shared" si="22"/>
        <v>Bedbu</v>
      </c>
      <c r="E455" t="str">
        <f t="shared" si="23"/>
        <v>Nick</v>
      </c>
    </row>
    <row r="456" spans="1:5" ht="15.75" customHeight="1">
      <c r="A456" s="9" t="s">
        <v>913</v>
      </c>
      <c r="B456" s="9" t="s">
        <v>914</v>
      </c>
      <c r="C456" t="str">
        <f t="shared" si="21"/>
        <v>rge</v>
      </c>
      <c r="D456" t="str">
        <f t="shared" si="22"/>
        <v>Stemb</v>
      </c>
      <c r="E456" t="str">
        <f t="shared" si="23"/>
        <v>Scott</v>
      </c>
    </row>
    <row r="457" spans="1:5" ht="15.75" customHeight="1">
      <c r="A457" s="9" t="s">
        <v>915</v>
      </c>
      <c r="B457" s="9" t="s">
        <v>916</v>
      </c>
      <c r="C457" t="str">
        <f t="shared" si="21"/>
        <v>, M</v>
      </c>
      <c r="D457" t="str">
        <f t="shared" si="22"/>
        <v>Chebe</v>
      </c>
      <c r="E457" t="str">
        <f t="shared" si="23"/>
        <v>ilson</v>
      </c>
    </row>
    <row r="458" spans="1:5" ht="15.75" customHeight="1">
      <c r="A458" s="9" t="s">
        <v>917</v>
      </c>
      <c r="B458" s="9" t="s">
        <v>918</v>
      </c>
      <c r="C458" t="str">
        <f t="shared" si="21"/>
        <v>Mr.</v>
      </c>
      <c r="D458" t="str">
        <f t="shared" si="22"/>
        <v>Muir,</v>
      </c>
      <c r="E458" t="str">
        <f t="shared" si="23"/>
        <v>Lee</v>
      </c>
    </row>
    <row r="459" spans="1:5" ht="15.75" customHeight="1">
      <c r="A459" s="9" t="s">
        <v>919</v>
      </c>
      <c r="B459" s="9" t="s">
        <v>920</v>
      </c>
      <c r="C459" t="str">
        <f t="shared" si="21"/>
        <v>Mr.</v>
      </c>
      <c r="D459" t="str">
        <f t="shared" si="22"/>
        <v>Yang,</v>
      </c>
      <c r="E459" t="str">
        <f t="shared" si="23"/>
        <v>zhong</v>
      </c>
    </row>
    <row r="460" spans="1:5" ht="15.75" customHeight="1">
      <c r="A460" s="9" t="s">
        <v>921</v>
      </c>
      <c r="B460" s="9" t="s">
        <v>922</v>
      </c>
      <c r="C460" t="str">
        <f t="shared" si="21"/>
        <v>, M</v>
      </c>
      <c r="D460" t="str">
        <f t="shared" si="22"/>
        <v>Grave</v>
      </c>
      <c r="E460" t="str">
        <f t="shared" si="23"/>
        <v>laire</v>
      </c>
    </row>
    <row r="461" spans="1:5" ht="15.75" customHeight="1">
      <c r="A461" s="9" t="s">
        <v>923</v>
      </c>
      <c r="B461" s="9" t="s">
        <v>924</v>
      </c>
      <c r="C461" t="str">
        <f t="shared" si="21"/>
        <v>Mr</v>
      </c>
      <c r="D461" t="str">
        <f t="shared" si="22"/>
        <v>Smith</v>
      </c>
      <c r="E461" t="str">
        <f t="shared" si="23"/>
        <v>dd J.</v>
      </c>
    </row>
    <row r="462" spans="1:5" ht="15.75" customHeight="1">
      <c r="A462" s="9" t="s">
        <v>925</v>
      </c>
      <c r="B462" s="9" t="s">
        <v>926</v>
      </c>
      <c r="C462" t="str">
        <f t="shared" si="21"/>
        <v>ms,</v>
      </c>
      <c r="D462" t="str">
        <f t="shared" si="22"/>
        <v>Willi</v>
      </c>
      <c r="E462" t="str">
        <f t="shared" si="23"/>
        <v>rolyn</v>
      </c>
    </row>
    <row r="463" spans="1:5" ht="15.75" customHeight="1">
      <c r="A463" s="9" t="s">
        <v>927</v>
      </c>
      <c r="B463" s="9" t="s">
        <v>928</v>
      </c>
      <c r="C463" t="str">
        <f t="shared" si="21"/>
        <v>Ms</v>
      </c>
      <c r="D463" t="str">
        <f t="shared" si="22"/>
        <v>Meyer</v>
      </c>
      <c r="E463" t="str">
        <f t="shared" si="23"/>
        <v>ndsey</v>
      </c>
    </row>
    <row r="464" spans="1:5" ht="15.75" customHeight="1">
      <c r="A464" s="9" t="s">
        <v>929</v>
      </c>
      <c r="B464" s="9" t="s">
        <v>930</v>
      </c>
      <c r="C464" t="str">
        <f t="shared" si="21"/>
        <v>on,</v>
      </c>
      <c r="D464" t="str">
        <f t="shared" si="22"/>
        <v>Jamie</v>
      </c>
      <c r="E464" t="str">
        <f t="shared" si="23"/>
        <v>ssa D</v>
      </c>
    </row>
    <row r="465" spans="1:5" ht="15.75" customHeight="1">
      <c r="A465" s="9" t="s">
        <v>931</v>
      </c>
      <c r="B465" s="9" t="s">
        <v>932</v>
      </c>
      <c r="C465" t="str">
        <f t="shared" si="21"/>
        <v>, M</v>
      </c>
      <c r="D465" t="str">
        <f t="shared" si="22"/>
        <v>Dufea</v>
      </c>
      <c r="E465" t="str">
        <f t="shared" si="23"/>
        <v>n Luc</v>
      </c>
    </row>
    <row r="466" spans="1:5" ht="15.75" customHeight="1">
      <c r="A466" s="9" t="s">
        <v>933</v>
      </c>
      <c r="B466" s="9" t="s">
        <v>934</v>
      </c>
      <c r="C466" t="str">
        <f t="shared" si="21"/>
        <v>ett</v>
      </c>
      <c r="D466" t="str">
        <f t="shared" si="22"/>
        <v>Sanso</v>
      </c>
      <c r="E466" t="str">
        <f t="shared" si="23"/>
        <v>ielle</v>
      </c>
    </row>
    <row r="467" spans="1:5" ht="15.75" customHeight="1">
      <c r="A467" s="9" t="s">
        <v>935</v>
      </c>
      <c r="B467" s="9" t="s">
        <v>936</v>
      </c>
      <c r="C467" t="str">
        <f t="shared" si="21"/>
        <v>ny,</v>
      </c>
      <c r="D467" t="str">
        <f t="shared" si="22"/>
        <v>Konea</v>
      </c>
      <c r="E467" t="str">
        <f t="shared" si="23"/>
        <v>Jim</v>
      </c>
    </row>
    <row r="468" spans="1:5" ht="15.75" customHeight="1">
      <c r="A468" s="9" t="s">
        <v>937</v>
      </c>
      <c r="B468" s="9" t="s">
        <v>938</v>
      </c>
      <c r="C468" t="str">
        <f t="shared" si="21"/>
        <v>n,</v>
      </c>
      <c r="D468" t="str">
        <f t="shared" si="22"/>
        <v>Johns</v>
      </c>
      <c r="E468" t="str">
        <f t="shared" si="23"/>
        <v>hew T</v>
      </c>
    </row>
    <row r="469" spans="1:5" ht="15.75" customHeight="1">
      <c r="A469" s="9" t="s">
        <v>939</v>
      </c>
      <c r="B469" s="9" t="s">
        <v>940</v>
      </c>
      <c r="C469" t="str">
        <f t="shared" si="21"/>
        <v>n,</v>
      </c>
      <c r="D469" t="str">
        <f t="shared" si="22"/>
        <v>Glass</v>
      </c>
      <c r="E469" t="str">
        <f t="shared" si="23"/>
        <v>el L.</v>
      </c>
    </row>
    <row r="470" spans="1:5" ht="15.75" customHeight="1">
      <c r="A470" s="9" t="s">
        <v>941</v>
      </c>
      <c r="B470" s="9" t="s">
        <v>942</v>
      </c>
      <c r="C470" t="str">
        <f t="shared" si="21"/>
        <v>, M</v>
      </c>
      <c r="D470" t="str">
        <f t="shared" si="22"/>
        <v>Canit</v>
      </c>
      <c r="E470" t="str">
        <f t="shared" si="23"/>
        <v>orina</v>
      </c>
    </row>
    <row r="471" spans="1:5" ht="15.75" customHeight="1">
      <c r="A471" s="9" t="s">
        <v>943</v>
      </c>
      <c r="B471" s="9" t="s">
        <v>944</v>
      </c>
      <c r="C471" t="str">
        <f t="shared" si="21"/>
        <v>.</v>
      </c>
      <c r="D471" t="str">
        <f t="shared" si="22"/>
        <v>Li, M</v>
      </c>
      <c r="E471" t="str">
        <f t="shared" si="23"/>
        <v>annan</v>
      </c>
    </row>
    <row r="472" spans="1:5" ht="15.75" customHeight="1">
      <c r="A472" s="9" t="s">
        <v>945</v>
      </c>
      <c r="B472" s="9" t="s">
        <v>946</v>
      </c>
      <c r="C472" t="str">
        <f t="shared" si="21"/>
        <v>s,</v>
      </c>
      <c r="D472" t="str">
        <f t="shared" si="22"/>
        <v>Parso</v>
      </c>
      <c r="E472" t="str">
        <f t="shared" si="23"/>
        <v>Don</v>
      </c>
    </row>
    <row r="473" spans="1:5" ht="15.75" customHeight="1">
      <c r="A473" s="9" t="s">
        <v>947</v>
      </c>
      <c r="B473" s="9" t="s">
        <v>948</v>
      </c>
      <c r="C473" t="str">
        <f t="shared" si="21"/>
        <v>, M</v>
      </c>
      <c r="D473" t="str">
        <f t="shared" si="22"/>
        <v>Raull</v>
      </c>
      <c r="E473" t="str">
        <f t="shared" si="23"/>
        <v>Chris</v>
      </c>
    </row>
    <row r="474" spans="1:5" ht="15.75" customHeight="1">
      <c r="A474" s="9" t="s">
        <v>949</v>
      </c>
      <c r="B474" s="9" t="s">
        <v>950</v>
      </c>
      <c r="C474" t="str">
        <f t="shared" si="21"/>
        <v>Mr</v>
      </c>
      <c r="D474" t="str">
        <f t="shared" si="22"/>
        <v>Frome</v>
      </c>
      <c r="E474" t="str">
        <f t="shared" si="23"/>
        <v>in V.</v>
      </c>
    </row>
    <row r="475" spans="1:5" ht="15.75" customHeight="1">
      <c r="A475" s="9" t="s">
        <v>951</v>
      </c>
      <c r="B475" s="9" t="s">
        <v>952</v>
      </c>
      <c r="C475" t="str">
        <f t="shared" si="21"/>
        <v>, M</v>
      </c>
      <c r="D475" t="str">
        <f t="shared" si="22"/>
        <v>Sevci</v>
      </c>
      <c r="E475" t="str">
        <f t="shared" si="23"/>
        <v>David</v>
      </c>
    </row>
    <row r="476" spans="1:5" ht="15.75" customHeight="1">
      <c r="A476" s="9" t="s">
        <v>953</v>
      </c>
      <c r="B476" s="9" t="s">
        <v>954</v>
      </c>
      <c r="C476" t="str">
        <f t="shared" si="21"/>
        <v>, M</v>
      </c>
      <c r="D476" t="str">
        <f t="shared" si="22"/>
        <v>Naran</v>
      </c>
      <c r="E476" t="str">
        <f t="shared" si="23"/>
        <v>Jatin</v>
      </c>
    </row>
    <row r="477" spans="1:5" ht="15.75" customHeight="1">
      <c r="A477" s="9" t="s">
        <v>955</v>
      </c>
      <c r="B477" s="9" t="s">
        <v>956</v>
      </c>
      <c r="C477" t="str">
        <f t="shared" si="21"/>
        <v>n,</v>
      </c>
      <c r="D477" t="str">
        <f t="shared" si="22"/>
        <v>Royst</v>
      </c>
      <c r="E477" t="str">
        <f t="shared" si="23"/>
        <v>P. II</v>
      </c>
    </row>
    <row r="478" spans="1:5" ht="15.75" customHeight="1">
      <c r="A478" s="9" t="s">
        <v>957</v>
      </c>
      <c r="B478" s="9" t="s">
        <v>958</v>
      </c>
      <c r="C478" t="str">
        <f t="shared" si="21"/>
        <v>Ms</v>
      </c>
      <c r="D478" t="str">
        <f t="shared" si="22"/>
        <v>Tieri</v>
      </c>
      <c r="E478" t="str">
        <f t="shared" si="23"/>
        <v>la M.</v>
      </c>
    </row>
    <row r="479" spans="1:5" ht="15.75" customHeight="1">
      <c r="A479" s="9" t="s">
        <v>959</v>
      </c>
      <c r="B479" s="9" t="s">
        <v>960</v>
      </c>
      <c r="C479" t="str">
        <f t="shared" si="21"/>
        <v>y,</v>
      </c>
      <c r="D479" t="str">
        <f t="shared" si="22"/>
        <v>Whitn</v>
      </c>
      <c r="E479" t="str">
        <f t="shared" si="23"/>
        <v>ke K.</v>
      </c>
    </row>
    <row r="480" spans="1:5" ht="15.75" customHeight="1">
      <c r="A480" s="9" t="s">
        <v>961</v>
      </c>
      <c r="B480" s="9" t="s">
        <v>962</v>
      </c>
      <c r="C480" t="str">
        <f t="shared" si="21"/>
        <v>lak</v>
      </c>
      <c r="D480" t="str">
        <f t="shared" si="22"/>
        <v>Wandz</v>
      </c>
      <c r="E480" t="str">
        <f t="shared" si="23"/>
        <v>an T.</v>
      </c>
    </row>
    <row r="481" spans="1:5" ht="15.75" customHeight="1">
      <c r="A481" s="9" t="s">
        <v>963</v>
      </c>
      <c r="B481" s="9" t="s">
        <v>964</v>
      </c>
      <c r="C481" t="str">
        <f t="shared" si="21"/>
        <v>ona</v>
      </c>
      <c r="D481" t="str">
        <f t="shared" si="22"/>
        <v>Valen</v>
      </c>
      <c r="E481" t="str">
        <f t="shared" si="23"/>
        <v>Damon</v>
      </c>
    </row>
    <row r="482" spans="1:5" ht="15.75" customHeight="1">
      <c r="A482" s="9" t="s">
        <v>965</v>
      </c>
      <c r="B482" s="9" t="s">
        <v>966</v>
      </c>
      <c r="C482" t="str">
        <f t="shared" si="21"/>
        <v>Mr</v>
      </c>
      <c r="D482" t="str">
        <f t="shared" si="22"/>
        <v>Young</v>
      </c>
      <c r="E482" t="str">
        <f t="shared" si="23"/>
        <v>ffrey</v>
      </c>
    </row>
    <row r="483" spans="1:5" ht="15.75" customHeight="1">
      <c r="A483" s="9" t="s">
        <v>967</v>
      </c>
      <c r="B483" s="9" t="s">
        <v>968</v>
      </c>
      <c r="C483" t="str">
        <f t="shared" si="21"/>
        <v>ds,</v>
      </c>
      <c r="D483" t="str">
        <f t="shared" si="22"/>
        <v>Richa</v>
      </c>
      <c r="E483" t="str">
        <f t="shared" si="23"/>
        <v>lm J.</v>
      </c>
    </row>
    <row r="484" spans="1:5" ht="15.75" customHeight="1">
      <c r="A484" s="9" t="s">
        <v>969</v>
      </c>
      <c r="B484" s="9" t="s">
        <v>970</v>
      </c>
      <c r="C484" t="str">
        <f t="shared" si="21"/>
        <v>n,</v>
      </c>
      <c r="D484" t="str">
        <f t="shared" si="22"/>
        <v>Alexs</v>
      </c>
      <c r="E484" t="str">
        <f t="shared" si="23"/>
        <v>et B.</v>
      </c>
    </row>
    <row r="485" spans="1:5" ht="15.75" customHeight="1">
      <c r="A485" s="9" t="s">
        <v>971</v>
      </c>
      <c r="B485" s="9" t="s">
        <v>972</v>
      </c>
      <c r="C485" t="str">
        <f t="shared" si="21"/>
        <v>, M</v>
      </c>
      <c r="D485" t="str">
        <f t="shared" si="22"/>
        <v>Wrigh</v>
      </c>
      <c r="E485" t="str">
        <f t="shared" si="23"/>
        <v>Helen</v>
      </c>
    </row>
    <row r="486" spans="1:5" ht="15.75" customHeight="1">
      <c r="A486" s="9" t="s">
        <v>973</v>
      </c>
      <c r="B486" s="9" t="s">
        <v>974</v>
      </c>
      <c r="C486" t="str">
        <f t="shared" si="21"/>
        <v>a,</v>
      </c>
      <c r="D486" t="str">
        <f t="shared" si="22"/>
        <v>McKen</v>
      </c>
      <c r="E486" t="str">
        <f t="shared" si="23"/>
        <v>tthew</v>
      </c>
    </row>
    <row r="487" spans="1:5" ht="15.75" customHeight="1">
      <c r="A487" s="9" t="s">
        <v>975</v>
      </c>
      <c r="B487" s="9" t="s">
        <v>976</v>
      </c>
      <c r="C487" t="str">
        <f t="shared" si="21"/>
        <v>e,</v>
      </c>
      <c r="D487" t="str">
        <f t="shared" si="22"/>
        <v>Salla</v>
      </c>
      <c r="E487" t="str">
        <f t="shared" si="23"/>
        <v>Jeff</v>
      </c>
    </row>
    <row r="488" spans="1:5" ht="15.75" customHeight="1">
      <c r="A488" s="9" t="s">
        <v>977</v>
      </c>
      <c r="B488" s="9" t="s">
        <v>978</v>
      </c>
      <c r="C488" t="str">
        <f t="shared" si="21"/>
        <v>, M</v>
      </c>
      <c r="D488" t="str">
        <f t="shared" si="22"/>
        <v>Argal</v>
      </c>
      <c r="E488" t="str">
        <f t="shared" si="23"/>
        <v>ara R</v>
      </c>
    </row>
    <row r="489" spans="1:5" ht="15.75" customHeight="1">
      <c r="A489" s="9" t="s">
        <v>979</v>
      </c>
      <c r="B489" s="9" t="s">
        <v>980</v>
      </c>
      <c r="C489" t="str">
        <f t="shared" si="21"/>
        <v>ll,</v>
      </c>
      <c r="D489" t="str">
        <f t="shared" si="22"/>
        <v>Patch</v>
      </c>
      <c r="E489" t="str">
        <f t="shared" si="23"/>
        <v>istin</v>
      </c>
    </row>
    <row r="490" spans="1:5" ht="15.75" customHeight="1">
      <c r="A490" s="9" t="s">
        <v>981</v>
      </c>
      <c r="B490" s="9" t="s">
        <v>982</v>
      </c>
      <c r="C490" t="str">
        <f t="shared" si="21"/>
        <v>io,</v>
      </c>
      <c r="D490" t="str">
        <f t="shared" si="22"/>
        <v>Catog</v>
      </c>
      <c r="E490" t="str">
        <f t="shared" si="23"/>
        <v>mothy</v>
      </c>
    </row>
    <row r="491" spans="1:5" ht="15.75" customHeight="1">
      <c r="A491" s="9" t="s">
        <v>983</v>
      </c>
      <c r="B491" s="9" t="s">
        <v>984</v>
      </c>
      <c r="C491" t="str">
        <f t="shared" si="21"/>
        <v>Mr</v>
      </c>
      <c r="D491" t="str">
        <f t="shared" si="22"/>
        <v>Adams</v>
      </c>
      <c r="E491" t="str">
        <f t="shared" si="23"/>
        <v>Scott</v>
      </c>
    </row>
    <row r="492" spans="1:5" ht="15.75" customHeight="1">
      <c r="A492" s="9" t="s">
        <v>985</v>
      </c>
      <c r="B492" s="9" t="s">
        <v>986</v>
      </c>
      <c r="C492" t="str">
        <f t="shared" si="21"/>
        <v>Ms</v>
      </c>
      <c r="D492" t="str">
        <f t="shared" si="22"/>
        <v>Windt</v>
      </c>
      <c r="E492" t="str">
        <f t="shared" si="23"/>
        <v>rly E</v>
      </c>
    </row>
    <row r="493" spans="1:5" ht="15.75" customHeight="1">
      <c r="A493" s="9" t="s">
        <v>987</v>
      </c>
      <c r="B493" s="9" t="s">
        <v>988</v>
      </c>
      <c r="C493" t="str">
        <f t="shared" si="21"/>
        <v>Ms.</v>
      </c>
      <c r="D493" t="str">
        <f t="shared" si="22"/>
        <v>Ryan,</v>
      </c>
      <c r="E493" t="str">
        <f t="shared" si="23"/>
        <v>Lisa</v>
      </c>
    </row>
    <row r="494" spans="1:5" ht="15.75" customHeight="1">
      <c r="A494" s="9" t="s">
        <v>989</v>
      </c>
      <c r="B494" s="9" t="s">
        <v>990</v>
      </c>
      <c r="C494" t="str">
        <f t="shared" si="21"/>
        <v>, M</v>
      </c>
      <c r="D494" t="str">
        <f t="shared" si="22"/>
        <v>Mario</v>
      </c>
      <c r="E494" t="str">
        <f t="shared" si="23"/>
        <v>tacey</v>
      </c>
    </row>
    <row r="495" spans="1:5" ht="15.75" customHeight="1">
      <c r="A495" s="9" t="s">
        <v>991</v>
      </c>
      <c r="B495" s="9" t="s">
        <v>992</v>
      </c>
      <c r="C495" t="str">
        <f t="shared" si="21"/>
        <v>to,</v>
      </c>
      <c r="D495" t="str">
        <f t="shared" si="22"/>
        <v>Raffe</v>
      </c>
      <c r="E495" t="str">
        <f t="shared" si="23"/>
        <v>Louis</v>
      </c>
    </row>
    <row r="496" spans="1:5" ht="15.75" customHeight="1">
      <c r="A496" s="9" t="s">
        <v>993</v>
      </c>
      <c r="B496" s="9" t="s">
        <v>994</v>
      </c>
      <c r="C496" t="str">
        <f t="shared" si="21"/>
        <v>Mr</v>
      </c>
      <c r="D496" t="str">
        <f t="shared" si="22"/>
        <v>Young</v>
      </c>
      <c r="E496" t="str">
        <f t="shared" si="23"/>
        <v>an R.</v>
      </c>
    </row>
    <row r="497" spans="1:5" ht="15.75" customHeight="1">
      <c r="A497" s="9" t="s">
        <v>995</v>
      </c>
      <c r="B497" s="9" t="s">
        <v>996</v>
      </c>
      <c r="C497" t="str">
        <f t="shared" si="21"/>
        <v>, M</v>
      </c>
      <c r="D497" t="str">
        <f t="shared" si="22"/>
        <v>Oehlk</v>
      </c>
      <c r="E497" t="str">
        <f t="shared" si="23"/>
        <v>ssica</v>
      </c>
    </row>
    <row r="498" spans="1:5" ht="15.75" customHeight="1">
      <c r="A498" s="9" t="s">
        <v>997</v>
      </c>
      <c r="B498" s="9" t="s">
        <v>998</v>
      </c>
      <c r="C498" t="str">
        <f t="shared" si="21"/>
        <v>Ms</v>
      </c>
      <c r="D498" t="str">
        <f t="shared" si="22"/>
        <v>Sudol</v>
      </c>
      <c r="E498" t="str">
        <f t="shared" si="23"/>
        <v>wn M.</v>
      </c>
    </row>
    <row r="499" spans="1:5" ht="15.75" customHeight="1">
      <c r="A499" s="9" t="s">
        <v>999</v>
      </c>
      <c r="B499" s="9" t="s">
        <v>1000</v>
      </c>
      <c r="C499" t="str">
        <f t="shared" si="21"/>
        <v>, M</v>
      </c>
      <c r="D499" t="str">
        <f t="shared" si="22"/>
        <v>Van E</v>
      </c>
      <c r="E499" t="str">
        <f t="shared" si="23"/>
        <v>Chris</v>
      </c>
    </row>
    <row r="500" spans="1:5" ht="15.75" customHeight="1">
      <c r="A500" s="9" t="s">
        <v>1001</v>
      </c>
      <c r="B500" s="9" t="s">
        <v>1002</v>
      </c>
      <c r="C500" t="str">
        <f t="shared" si="21"/>
        <v>Ms</v>
      </c>
      <c r="D500" t="str">
        <f t="shared" si="22"/>
        <v>Dolge</v>
      </c>
      <c r="E500" t="str">
        <f t="shared" si="23"/>
        <v>Karen</v>
      </c>
    </row>
    <row r="501" spans="1:5" ht="15.75" customHeight="1">
      <c r="A501" s="9" t="s">
        <v>1003</v>
      </c>
      <c r="B501" s="9" t="s">
        <v>1004</v>
      </c>
      <c r="C501" t="str">
        <f t="shared" si="21"/>
        <v>r,</v>
      </c>
      <c r="D501" t="str">
        <f t="shared" si="22"/>
        <v>Marli</v>
      </c>
      <c r="E501" t="str">
        <f t="shared" si="23"/>
        <v>ssica</v>
      </c>
    </row>
    <row r="502" spans="1:5" ht="15.75" customHeight="1">
      <c r="A502" s="9" t="s">
        <v>1005</v>
      </c>
      <c r="B502" s="9" t="s">
        <v>1006</v>
      </c>
      <c r="C502" t="str">
        <f t="shared" si="21"/>
        <v>, M</v>
      </c>
      <c r="D502" t="str">
        <f t="shared" si="22"/>
        <v>Girar</v>
      </c>
      <c r="E502" t="str">
        <f t="shared" si="23"/>
        <v>thieu</v>
      </c>
    </row>
    <row r="503" spans="1:5" ht="15.75" customHeight="1">
      <c r="A503" s="9" t="s">
        <v>1007</v>
      </c>
      <c r="B503" s="9" t="s">
        <v>1008</v>
      </c>
      <c r="C503" t="str">
        <f t="shared" si="21"/>
        <v>r.</v>
      </c>
      <c r="D503" t="str">
        <f t="shared" si="22"/>
        <v>Lee,</v>
      </c>
      <c r="E503" t="str">
        <f t="shared" si="23"/>
        <v>am S.</v>
      </c>
    </row>
    <row r="504" spans="1:5" ht="15.75" customHeight="1">
      <c r="A504" s="9" t="s">
        <v>1009</v>
      </c>
      <c r="B504" s="9" t="s">
        <v>1010</v>
      </c>
      <c r="C504" t="str">
        <f t="shared" si="21"/>
        <v>d,</v>
      </c>
      <c r="D504" t="str">
        <f t="shared" si="22"/>
        <v>Hubba</v>
      </c>
      <c r="E504" t="str">
        <f t="shared" si="23"/>
        <v>rie A</v>
      </c>
    </row>
    <row r="505" spans="1:5" ht="15.75" customHeight="1">
      <c r="A505" s="9" t="s">
        <v>1011</v>
      </c>
      <c r="B505" s="9" t="s">
        <v>1012</v>
      </c>
      <c r="C505" t="str">
        <f t="shared" si="21"/>
        <v>r,</v>
      </c>
      <c r="D505" t="str">
        <f t="shared" si="22"/>
        <v>Koest</v>
      </c>
      <c r="E505" t="str">
        <f t="shared" si="23"/>
        <v>eya R</v>
      </c>
    </row>
    <row r="506" spans="1:5" ht="15.75" customHeight="1">
      <c r="A506" s="9" t="s">
        <v>1013</v>
      </c>
      <c r="B506" s="9" t="s">
        <v>1014</v>
      </c>
      <c r="C506" t="str">
        <f t="shared" si="21"/>
        <v>ws,</v>
      </c>
      <c r="D506" t="str">
        <f t="shared" si="22"/>
        <v>Matth</v>
      </c>
      <c r="E506" t="str">
        <f t="shared" si="23"/>
        <v>nifer</v>
      </c>
    </row>
    <row r="507" spans="1:5" ht="15.75" customHeight="1">
      <c r="A507" s="9" t="s">
        <v>1015</v>
      </c>
      <c r="B507" s="9" t="s">
        <v>1016</v>
      </c>
      <c r="C507" t="str">
        <f t="shared" si="21"/>
        <v>ch,</v>
      </c>
      <c r="D507" t="str">
        <f t="shared" si="22"/>
        <v>Rubin</v>
      </c>
      <c r="E507" t="str">
        <f t="shared" si="23"/>
        <v>Kara</v>
      </c>
    </row>
    <row r="508" spans="1:5" ht="15.75" customHeight="1">
      <c r="A508" s="9" t="s">
        <v>1017</v>
      </c>
      <c r="B508" s="9" t="s">
        <v>1018</v>
      </c>
      <c r="C508" t="str">
        <f t="shared" si="21"/>
        <v>Mr</v>
      </c>
      <c r="D508" t="str">
        <f t="shared" si="22"/>
        <v>Alban</v>
      </c>
      <c r="E508" t="str">
        <f t="shared" si="23"/>
        <v>ey A.</v>
      </c>
    </row>
    <row r="509" spans="1:5" ht="15.75" customHeight="1">
      <c r="A509" s="9" t="s">
        <v>1019</v>
      </c>
      <c r="B509" s="9" t="s">
        <v>1020</v>
      </c>
      <c r="C509" t="str">
        <f t="shared" si="21"/>
        <v>an,</v>
      </c>
      <c r="D509" t="str">
        <f t="shared" si="22"/>
        <v>Corco</v>
      </c>
      <c r="E509" t="str">
        <f t="shared" si="23"/>
        <v>endan</v>
      </c>
    </row>
    <row r="510" spans="1:5" ht="15.75" customHeight="1">
      <c r="A510" s="9" t="s">
        <v>1021</v>
      </c>
      <c r="B510" s="9" t="s">
        <v>1022</v>
      </c>
      <c r="C510" t="str">
        <f t="shared" si="21"/>
        <v>t,</v>
      </c>
      <c r="D510" t="str">
        <f t="shared" si="22"/>
        <v>Sarge</v>
      </c>
      <c r="E510" t="str">
        <f t="shared" si="23"/>
        <v>ber R</v>
      </c>
    </row>
    <row r="511" spans="1:5" ht="15.75" customHeight="1">
      <c r="A511" s="9" t="s">
        <v>1023</v>
      </c>
      <c r="B511" s="9" t="s">
        <v>1024</v>
      </c>
      <c r="C511" t="str">
        <f t="shared" si="21"/>
        <v>, M</v>
      </c>
      <c r="D511" t="str">
        <f t="shared" si="22"/>
        <v>Watso</v>
      </c>
      <c r="E511" t="str">
        <f t="shared" si="23"/>
        <v>ean K</v>
      </c>
    </row>
    <row r="512" spans="1:5" ht="15.75" customHeight="1">
      <c r="A512" s="9" t="s">
        <v>1025</v>
      </c>
      <c r="B512" s="9" t="s">
        <v>1026</v>
      </c>
      <c r="C512" t="str">
        <f t="shared" si="21"/>
        <v>a,</v>
      </c>
      <c r="D512" t="str">
        <f t="shared" si="22"/>
        <v>Espon</v>
      </c>
      <c r="E512" t="str">
        <f t="shared" si="23"/>
        <v>Rick</v>
      </c>
    </row>
    <row r="513" spans="1:5" ht="15.75" customHeight="1">
      <c r="A513" s="9" t="s">
        <v>1027</v>
      </c>
      <c r="B513" s="9" t="s">
        <v>1028</v>
      </c>
      <c r="C513" t="str">
        <f t="shared" si="21"/>
        <v>Mr</v>
      </c>
      <c r="D513" t="str">
        <f t="shared" si="22"/>
        <v>Krall</v>
      </c>
      <c r="E513" t="str">
        <f t="shared" si="23"/>
        <v>tthew</v>
      </c>
    </row>
    <row r="514" spans="1:5" ht="15.75" customHeight="1">
      <c r="A514" s="9" t="s">
        <v>1029</v>
      </c>
      <c r="B514" s="9" t="s">
        <v>1030</v>
      </c>
      <c r="C514" t="str">
        <f t="shared" si="21"/>
        <v>, M</v>
      </c>
      <c r="D514" t="str">
        <f t="shared" si="22"/>
        <v>Poski</v>
      </c>
      <c r="E514" t="str">
        <f t="shared" si="23"/>
        <v>Brady</v>
      </c>
    </row>
    <row r="515" spans="1:5" ht="15.75" customHeight="1">
      <c r="A515" s="9" t="s">
        <v>1031</v>
      </c>
      <c r="B515" s="9" t="s">
        <v>1032</v>
      </c>
      <c r="C515" t="str">
        <f t="shared" ref="C515:C578" si="24">MID(B515,7,3)</f>
        <v>nn,</v>
      </c>
      <c r="D515" t="str">
        <f t="shared" ref="D515:D578" si="25">LEFT(B515,5)</f>
        <v>Halfm</v>
      </c>
      <c r="E515" t="str">
        <f t="shared" ref="E515:E578" si="26">RIGHT(B515,5)</f>
        <v>ameko</v>
      </c>
    </row>
    <row r="516" spans="1:5" ht="15.75" customHeight="1">
      <c r="A516" s="9" t="s">
        <v>1033</v>
      </c>
      <c r="B516" s="9" t="s">
        <v>1034</v>
      </c>
      <c r="C516" t="str">
        <f t="shared" si="24"/>
        <v>r,</v>
      </c>
      <c r="D516" t="str">
        <f t="shared" si="25"/>
        <v>Klapp</v>
      </c>
      <c r="E516" t="str">
        <f t="shared" si="26"/>
        <v>emy A</v>
      </c>
    </row>
    <row r="517" spans="1:5" ht="15.75" customHeight="1">
      <c r="A517" s="9" t="s">
        <v>1035</v>
      </c>
      <c r="B517" s="9" t="s">
        <v>1036</v>
      </c>
      <c r="C517" t="str">
        <f t="shared" si="24"/>
        <v>, M</v>
      </c>
      <c r="D517" t="str">
        <f t="shared" si="25"/>
        <v>Georg</v>
      </c>
      <c r="E517" t="str">
        <f t="shared" si="26"/>
        <v>aniel</v>
      </c>
    </row>
    <row r="518" spans="1:5" ht="15.75" customHeight="1">
      <c r="A518" s="9" t="s">
        <v>1037</v>
      </c>
      <c r="B518" s="9" t="s">
        <v>1038</v>
      </c>
      <c r="C518" t="str">
        <f t="shared" si="24"/>
        <v>Ms</v>
      </c>
      <c r="D518" t="str">
        <f t="shared" si="25"/>
        <v>Hicks</v>
      </c>
      <c r="E518" t="str">
        <f t="shared" si="26"/>
        <v>manda</v>
      </c>
    </row>
    <row r="519" spans="1:5" ht="15.75" customHeight="1">
      <c r="A519" s="9" t="s">
        <v>1039</v>
      </c>
      <c r="B519" s="9" t="s">
        <v>1040</v>
      </c>
      <c r="C519" t="str">
        <f t="shared" si="24"/>
        <v>r,</v>
      </c>
      <c r="D519" t="str">
        <f t="shared" si="25"/>
        <v>Locky</v>
      </c>
      <c r="E519" t="str">
        <f t="shared" si="26"/>
        <v>Karen</v>
      </c>
    </row>
    <row r="520" spans="1:5" ht="15.75" customHeight="1">
      <c r="A520" s="9" t="s">
        <v>1041</v>
      </c>
      <c r="B520" s="9" t="s">
        <v>1042</v>
      </c>
      <c r="C520" t="str">
        <f t="shared" si="24"/>
        <v>, M</v>
      </c>
      <c r="D520" t="str">
        <f t="shared" si="25"/>
        <v>Byrne</v>
      </c>
      <c r="E520" t="str">
        <f t="shared" si="26"/>
        <v>egory</v>
      </c>
    </row>
    <row r="521" spans="1:5" ht="15.75" customHeight="1">
      <c r="A521" s="9" t="s">
        <v>1043</v>
      </c>
      <c r="B521" s="9" t="s">
        <v>1044</v>
      </c>
      <c r="C521" t="str">
        <f t="shared" si="24"/>
        <v>, M</v>
      </c>
      <c r="D521" t="str">
        <f t="shared" si="25"/>
        <v>Norri</v>
      </c>
      <c r="E521" t="str">
        <f t="shared" si="26"/>
        <v>abine</v>
      </c>
    </row>
    <row r="522" spans="1:5" ht="15.75" customHeight="1">
      <c r="A522" s="9" t="s">
        <v>1045</v>
      </c>
      <c r="B522" s="9" t="s">
        <v>1046</v>
      </c>
      <c r="C522" t="str">
        <f t="shared" si="24"/>
        <v>Mr</v>
      </c>
      <c r="D522" t="str">
        <f t="shared" si="25"/>
        <v>Darda</v>
      </c>
      <c r="E522" t="str">
        <f t="shared" si="26"/>
        <v>oseph</v>
      </c>
    </row>
    <row r="523" spans="1:5" ht="15.75" customHeight="1">
      <c r="A523" s="9" t="s">
        <v>1047</v>
      </c>
      <c r="B523" s="9" t="s">
        <v>1048</v>
      </c>
      <c r="C523" t="str">
        <f t="shared" si="24"/>
        <v>, M</v>
      </c>
      <c r="D523" t="str">
        <f t="shared" si="25"/>
        <v>Otsto</v>
      </c>
      <c r="E523" t="str">
        <f t="shared" si="26"/>
        <v>Adam</v>
      </c>
    </row>
    <row r="524" spans="1:5" ht="15.75" customHeight="1">
      <c r="A524" s="9" t="s">
        <v>1049</v>
      </c>
      <c r="B524" s="9" t="s">
        <v>1050</v>
      </c>
      <c r="C524" t="str">
        <f t="shared" si="24"/>
        <v>, M</v>
      </c>
      <c r="D524" t="str">
        <f t="shared" si="25"/>
        <v>Bowle</v>
      </c>
      <c r="E524" t="str">
        <f t="shared" si="26"/>
        <v>lyn A</v>
      </c>
    </row>
    <row r="525" spans="1:5" ht="15.75" customHeight="1">
      <c r="A525" s="9" t="s">
        <v>1051</v>
      </c>
      <c r="B525" s="9" t="s">
        <v>1052</v>
      </c>
      <c r="C525" t="str">
        <f t="shared" si="24"/>
        <v>, M</v>
      </c>
      <c r="D525" t="str">
        <f t="shared" si="25"/>
        <v>Roger</v>
      </c>
      <c r="E525" t="str">
        <f t="shared" si="26"/>
        <v>ta L.</v>
      </c>
    </row>
    <row r="526" spans="1:5" ht="15.75" customHeight="1">
      <c r="A526" s="9" t="s">
        <v>1053</v>
      </c>
      <c r="B526" s="9" t="s">
        <v>1054</v>
      </c>
      <c r="C526" t="str">
        <f t="shared" si="24"/>
        <v>hli</v>
      </c>
      <c r="D526" t="str">
        <f t="shared" si="25"/>
        <v>Mclau</v>
      </c>
      <c r="E526" t="str">
        <f t="shared" si="26"/>
        <v>ra E.</v>
      </c>
    </row>
    <row r="527" spans="1:5" ht="15.75" customHeight="1">
      <c r="A527" s="9" t="s">
        <v>1055</v>
      </c>
      <c r="B527" s="9" t="s">
        <v>1056</v>
      </c>
      <c r="C527" t="str">
        <f t="shared" si="24"/>
        <v>r,</v>
      </c>
      <c r="D527" t="str">
        <f t="shared" si="25"/>
        <v>Ziegl</v>
      </c>
      <c r="E527" t="str">
        <f t="shared" si="26"/>
        <v>Sarah</v>
      </c>
    </row>
    <row r="528" spans="1:5" ht="15.75" customHeight="1">
      <c r="A528" s="9" t="s">
        <v>1057</v>
      </c>
      <c r="B528" s="9" t="s">
        <v>1058</v>
      </c>
      <c r="C528" t="str">
        <f t="shared" si="24"/>
        <v>, M</v>
      </c>
      <c r="D528" t="str">
        <f t="shared" si="25"/>
        <v>Hughe</v>
      </c>
      <c r="E528" t="str">
        <f t="shared" si="26"/>
        <v>ley E</v>
      </c>
    </row>
    <row r="529" spans="1:5" ht="15.75" customHeight="1">
      <c r="A529" s="9" t="s">
        <v>1059</v>
      </c>
      <c r="B529" s="9" t="s">
        <v>1060</v>
      </c>
      <c r="C529" t="str">
        <f t="shared" si="24"/>
        <v>Ms</v>
      </c>
      <c r="D529" t="str">
        <f t="shared" si="25"/>
        <v>Knast</v>
      </c>
      <c r="E529" t="str">
        <f t="shared" si="26"/>
        <v>ndsey</v>
      </c>
    </row>
    <row r="530" spans="1:5" ht="15.75" customHeight="1">
      <c r="A530" s="9" t="s">
        <v>1061</v>
      </c>
      <c r="B530" s="9" t="s">
        <v>1062</v>
      </c>
      <c r="C530" t="str">
        <f t="shared" si="24"/>
        <v>Mr.</v>
      </c>
      <c r="D530" t="str">
        <f t="shared" si="25"/>
        <v>Stob,</v>
      </c>
      <c r="E530" t="str">
        <f t="shared" si="26"/>
        <v>Alan</v>
      </c>
    </row>
    <row r="531" spans="1:5" ht="15.75" customHeight="1">
      <c r="A531" s="9" t="s">
        <v>1063</v>
      </c>
      <c r="B531" s="9" t="s">
        <v>1064</v>
      </c>
      <c r="C531" t="str">
        <f t="shared" si="24"/>
        <v>, M</v>
      </c>
      <c r="D531" t="str">
        <f t="shared" si="25"/>
        <v>Jense</v>
      </c>
      <c r="E531" t="str">
        <f t="shared" si="26"/>
        <v>an R.</v>
      </c>
    </row>
    <row r="532" spans="1:5" ht="15.75" customHeight="1">
      <c r="A532" s="9" t="s">
        <v>1065</v>
      </c>
      <c r="B532" s="9" t="s">
        <v>1066</v>
      </c>
      <c r="C532" t="str">
        <f t="shared" si="24"/>
        <v>, M</v>
      </c>
      <c r="D532" t="str">
        <f t="shared" si="25"/>
        <v>Mutte</v>
      </c>
      <c r="E532" t="str">
        <f t="shared" si="26"/>
        <v>Katie</v>
      </c>
    </row>
    <row r="533" spans="1:5" ht="15.75" customHeight="1">
      <c r="A533" s="9" t="s">
        <v>1067</v>
      </c>
      <c r="B533" s="9" t="s">
        <v>1068</v>
      </c>
      <c r="C533" t="str">
        <f t="shared" si="24"/>
        <v>Mr</v>
      </c>
      <c r="D533" t="str">
        <f t="shared" si="25"/>
        <v>Ahern</v>
      </c>
      <c r="E533" t="str">
        <f t="shared" si="26"/>
        <v>Eric</v>
      </c>
    </row>
    <row r="534" spans="1:5" ht="15.75" customHeight="1">
      <c r="A534" s="9" t="s">
        <v>1069</v>
      </c>
      <c r="B534" s="9" t="s">
        <v>1070</v>
      </c>
      <c r="C534" t="str">
        <f t="shared" si="24"/>
        <v>k,</v>
      </c>
      <c r="D534" t="str">
        <f t="shared" si="25"/>
        <v>Chvir</v>
      </c>
      <c r="E534" t="str">
        <f t="shared" si="26"/>
        <v>thryn</v>
      </c>
    </row>
    <row r="535" spans="1:5" ht="15.75" customHeight="1">
      <c r="A535" s="9" t="s">
        <v>1071</v>
      </c>
      <c r="B535" s="9" t="s">
        <v>1072</v>
      </c>
      <c r="C535" t="str">
        <f t="shared" si="24"/>
        <v>, M</v>
      </c>
      <c r="D535" t="str">
        <f t="shared" si="25"/>
        <v>Meeha</v>
      </c>
      <c r="E535" t="str">
        <f t="shared" si="26"/>
        <v>endan</v>
      </c>
    </row>
    <row r="536" spans="1:5" ht="15.75" customHeight="1">
      <c r="A536" s="9" t="s">
        <v>1073</v>
      </c>
      <c r="B536" s="9" t="s">
        <v>1074</v>
      </c>
      <c r="C536" t="str">
        <f t="shared" si="24"/>
        <v>, M</v>
      </c>
      <c r="D536" t="str">
        <f t="shared" si="25"/>
        <v>Gammo</v>
      </c>
      <c r="E536" t="str">
        <f t="shared" si="26"/>
        <v>hauna</v>
      </c>
    </row>
    <row r="537" spans="1:5" ht="15.75" customHeight="1">
      <c r="A537" s="9" t="s">
        <v>1075</v>
      </c>
      <c r="B537" s="9" t="s">
        <v>1076</v>
      </c>
      <c r="C537" t="str">
        <f t="shared" si="24"/>
        <v>r.</v>
      </c>
      <c r="D537" t="str">
        <f t="shared" si="25"/>
        <v>Lee,</v>
      </c>
      <c r="E537" t="str">
        <f t="shared" si="26"/>
        <v>rence</v>
      </c>
    </row>
    <row r="538" spans="1:5" ht="15.75" customHeight="1">
      <c r="A538" s="9" t="s">
        <v>1077</v>
      </c>
      <c r="B538" s="9" t="s">
        <v>1078</v>
      </c>
      <c r="C538" t="str">
        <f t="shared" si="24"/>
        <v>, M</v>
      </c>
      <c r="D538" t="str">
        <f t="shared" si="25"/>
        <v>Franc</v>
      </c>
      <c r="E538" t="str">
        <f t="shared" si="26"/>
        <v>risol</v>
      </c>
    </row>
    <row r="539" spans="1:5" ht="15.75" customHeight="1">
      <c r="A539" s="9" t="s">
        <v>1079</v>
      </c>
      <c r="B539" s="9" t="s">
        <v>1080</v>
      </c>
      <c r="C539" t="str">
        <f t="shared" si="24"/>
        <v>son</v>
      </c>
      <c r="D539" t="str">
        <f t="shared" si="25"/>
        <v>Patte</v>
      </c>
      <c r="E539" t="str">
        <f t="shared" si="26"/>
        <v>ndsay</v>
      </c>
    </row>
    <row r="540" spans="1:5" ht="15.75" customHeight="1">
      <c r="A540" s="9" t="s">
        <v>1081</v>
      </c>
      <c r="B540" s="9" t="s">
        <v>1082</v>
      </c>
      <c r="C540" t="str">
        <f t="shared" si="24"/>
        <v>, M</v>
      </c>
      <c r="D540" t="str">
        <f t="shared" si="25"/>
        <v>Valde</v>
      </c>
      <c r="E540" t="str">
        <f t="shared" si="26"/>
        <v>Katie</v>
      </c>
    </row>
    <row r="541" spans="1:5" ht="15.75" customHeight="1">
      <c r="A541" s="9" t="s">
        <v>1083</v>
      </c>
      <c r="B541" s="9" t="s">
        <v>1084</v>
      </c>
      <c r="C541" t="str">
        <f t="shared" si="24"/>
        <v>Mr</v>
      </c>
      <c r="D541" t="str">
        <f t="shared" si="25"/>
        <v>Craig</v>
      </c>
      <c r="E541" t="str">
        <f t="shared" si="26"/>
        <v>aniel</v>
      </c>
    </row>
    <row r="542" spans="1:5" ht="15.75" customHeight="1">
      <c r="A542" s="9" t="s">
        <v>1085</v>
      </c>
      <c r="B542" s="9" t="s">
        <v>1086</v>
      </c>
      <c r="C542" t="str">
        <f t="shared" si="24"/>
        <v>e,</v>
      </c>
      <c r="D542" t="str">
        <f t="shared" si="25"/>
        <v>Whipp</v>
      </c>
      <c r="E542" t="str">
        <f t="shared" si="26"/>
        <v>ett W</v>
      </c>
    </row>
    <row r="543" spans="1:5" ht="15.75" customHeight="1">
      <c r="A543" s="9" t="s">
        <v>1087</v>
      </c>
      <c r="B543" s="9" t="s">
        <v>1088</v>
      </c>
      <c r="C543" t="str">
        <f t="shared" si="24"/>
        <v>, M</v>
      </c>
      <c r="D543" t="str">
        <f t="shared" si="25"/>
        <v>Marto</v>
      </c>
      <c r="E543" t="str">
        <f t="shared" si="26"/>
        <v>lan J</v>
      </c>
    </row>
    <row r="544" spans="1:5" ht="15.75" customHeight="1">
      <c r="A544" s="9" t="s">
        <v>1089</v>
      </c>
      <c r="B544" s="9" t="s">
        <v>1090</v>
      </c>
      <c r="C544" t="str">
        <f t="shared" si="24"/>
        <v>ran</v>
      </c>
      <c r="D544" t="str">
        <f t="shared" si="25"/>
        <v>Hilde</v>
      </c>
      <c r="E544" t="str">
        <f t="shared" si="26"/>
        <v>abeth</v>
      </c>
    </row>
    <row r="545" spans="1:5" ht="15.75" customHeight="1">
      <c r="A545" s="9" t="s">
        <v>1091</v>
      </c>
      <c r="B545" s="9" t="s">
        <v>1092</v>
      </c>
      <c r="C545" t="str">
        <f t="shared" si="24"/>
        <v>Ms</v>
      </c>
      <c r="D545" t="str">
        <f t="shared" si="25"/>
        <v>Biggs</v>
      </c>
      <c r="E545" t="str">
        <f t="shared" si="26"/>
        <v>ke M.</v>
      </c>
    </row>
    <row r="546" spans="1:5" ht="15.75" customHeight="1">
      <c r="A546" s="9" t="s">
        <v>1093</v>
      </c>
      <c r="B546" s="9" t="s">
        <v>1094</v>
      </c>
      <c r="C546" t="str">
        <f t="shared" si="24"/>
        <v>umi</v>
      </c>
      <c r="D546" t="str">
        <f t="shared" si="25"/>
        <v>Shige</v>
      </c>
      <c r="E546" t="str">
        <f t="shared" si="26"/>
        <v>Teiko</v>
      </c>
    </row>
    <row r="547" spans="1:5" ht="15.75" customHeight="1">
      <c r="A547" s="9" t="s">
        <v>1095</v>
      </c>
      <c r="B547" s="9" t="s">
        <v>1096</v>
      </c>
      <c r="C547" t="str">
        <f t="shared" si="24"/>
        <v>e,</v>
      </c>
      <c r="D547" t="str">
        <f t="shared" si="25"/>
        <v>Meine</v>
      </c>
      <c r="E547" t="str">
        <f t="shared" si="26"/>
        <v>chary</v>
      </c>
    </row>
    <row r="548" spans="1:5" ht="15.75" customHeight="1">
      <c r="A548" s="9" t="s">
        <v>1097</v>
      </c>
      <c r="B548" s="9" t="s">
        <v>1098</v>
      </c>
      <c r="C548" t="str">
        <f t="shared" si="24"/>
        <v>ton</v>
      </c>
      <c r="D548" t="str">
        <f t="shared" si="25"/>
        <v>Ludin</v>
      </c>
      <c r="E548" t="str">
        <f t="shared" si="26"/>
        <v>annah</v>
      </c>
    </row>
    <row r="549" spans="1:5" ht="15.75" customHeight="1">
      <c r="A549" s="9" t="s">
        <v>1099</v>
      </c>
      <c r="B549" s="9" t="s">
        <v>1100</v>
      </c>
      <c r="C549" t="str">
        <f t="shared" si="24"/>
        <v>h,</v>
      </c>
      <c r="D549" t="str">
        <f t="shared" si="25"/>
        <v>Perri</v>
      </c>
      <c r="E549" t="str">
        <f t="shared" si="26"/>
        <v>yan A</v>
      </c>
    </row>
    <row r="550" spans="1:5" ht="15.75" customHeight="1">
      <c r="A550" s="9" t="s">
        <v>1101</v>
      </c>
      <c r="B550" s="9" t="s">
        <v>1102</v>
      </c>
      <c r="C550" t="str">
        <f t="shared" si="24"/>
        <v>tes</v>
      </c>
      <c r="D550" t="str">
        <f t="shared" si="25"/>
        <v>Cerva</v>
      </c>
      <c r="E550" t="str">
        <f t="shared" si="26"/>
        <v>s Sr.</v>
      </c>
    </row>
    <row r="551" spans="1:5" ht="15.75" customHeight="1">
      <c r="A551" s="9" t="s">
        <v>1103</v>
      </c>
      <c r="B551" s="9" t="s">
        <v>1104</v>
      </c>
      <c r="C551" t="str">
        <f t="shared" si="24"/>
        <v>s,</v>
      </c>
      <c r="D551" t="str">
        <f t="shared" si="25"/>
        <v>Andre</v>
      </c>
      <c r="E551" t="str">
        <f t="shared" si="26"/>
        <v>Bryan</v>
      </c>
    </row>
    <row r="552" spans="1:5" ht="15.75" customHeight="1">
      <c r="A552" s="9" t="s">
        <v>1105</v>
      </c>
      <c r="B552" s="9" t="s">
        <v>1106</v>
      </c>
      <c r="C552" t="str">
        <f t="shared" si="24"/>
        <v>aba</v>
      </c>
      <c r="D552" t="str">
        <f t="shared" si="25"/>
        <v>Ruval</v>
      </c>
      <c r="E552" t="str">
        <f t="shared" si="26"/>
        <v>zette</v>
      </c>
    </row>
    <row r="553" spans="1:5" ht="15.75" customHeight="1">
      <c r="A553" s="9" t="s">
        <v>1107</v>
      </c>
      <c r="B553" s="9" t="s">
        <v>1108</v>
      </c>
      <c r="C553" t="str">
        <f t="shared" si="24"/>
        <v>Mr.</v>
      </c>
      <c r="D553" t="str">
        <f t="shared" si="25"/>
        <v>King,</v>
      </c>
      <c r="E553" t="str">
        <f t="shared" si="26"/>
        <v>Don</v>
      </c>
    </row>
    <row r="554" spans="1:5" ht="15.75" customHeight="1">
      <c r="A554" s="9" t="s">
        <v>1109</v>
      </c>
      <c r="B554" s="9" t="s">
        <v>1110</v>
      </c>
      <c r="C554" t="str">
        <f t="shared" si="24"/>
        <v>Mr</v>
      </c>
      <c r="D554" t="str">
        <f t="shared" si="25"/>
        <v>Stone</v>
      </c>
      <c r="E554" t="str">
        <f t="shared" si="26"/>
        <v>Jeb</v>
      </c>
    </row>
    <row r="555" spans="1:5" ht="15.75" customHeight="1">
      <c r="A555" s="9" t="s">
        <v>1111</v>
      </c>
      <c r="B555" s="9" t="s">
        <v>1112</v>
      </c>
      <c r="C555" t="str">
        <f t="shared" si="24"/>
        <v>ll,</v>
      </c>
      <c r="D555" t="str">
        <f t="shared" si="25"/>
        <v>Campb</v>
      </c>
      <c r="E555" t="str">
        <f t="shared" si="26"/>
        <v>my R.</v>
      </c>
    </row>
    <row r="556" spans="1:5" ht="15.75" customHeight="1">
      <c r="A556" s="9" t="s">
        <v>1113</v>
      </c>
      <c r="B556" s="9" t="s">
        <v>1114</v>
      </c>
      <c r="C556" t="str">
        <f t="shared" si="24"/>
        <v>Mr</v>
      </c>
      <c r="D556" t="str">
        <f t="shared" si="25"/>
        <v>Asher</v>
      </c>
      <c r="E556" t="str">
        <f t="shared" si="26"/>
        <v>Brian</v>
      </c>
    </row>
    <row r="557" spans="1:5" ht="15.75" customHeight="1">
      <c r="A557" s="9" t="s">
        <v>1115</v>
      </c>
      <c r="B557" s="9" t="s">
        <v>1116</v>
      </c>
      <c r="C557" t="str">
        <f t="shared" si="24"/>
        <v>ta,</v>
      </c>
      <c r="D557" t="str">
        <f t="shared" si="25"/>
        <v>Mazzo</v>
      </c>
      <c r="E557" t="str">
        <f t="shared" si="26"/>
        <v>ike G</v>
      </c>
    </row>
    <row r="558" spans="1:5" ht="15.75" customHeight="1">
      <c r="A558" s="9" t="s">
        <v>1117</v>
      </c>
      <c r="B558" s="9" t="s">
        <v>1118</v>
      </c>
      <c r="C558" t="str">
        <f t="shared" si="24"/>
        <v>Ms</v>
      </c>
      <c r="D558" t="str">
        <f t="shared" si="25"/>
        <v>Huttl</v>
      </c>
      <c r="E558" t="str">
        <f t="shared" si="26"/>
        <v>e Sr.</v>
      </c>
    </row>
    <row r="559" spans="1:5" ht="15.75" customHeight="1">
      <c r="A559" s="9" t="s">
        <v>1119</v>
      </c>
      <c r="B559" s="9" t="s">
        <v>1120</v>
      </c>
      <c r="C559" t="str">
        <f t="shared" si="24"/>
        <v>, M</v>
      </c>
      <c r="D559" t="str">
        <f t="shared" si="25"/>
        <v>Ferro</v>
      </c>
      <c r="E559" t="str">
        <f t="shared" si="26"/>
        <v>holas</v>
      </c>
    </row>
    <row r="560" spans="1:5" ht="15.75" customHeight="1">
      <c r="A560" s="9" t="s">
        <v>1121</v>
      </c>
      <c r="B560" s="9" t="s">
        <v>1122</v>
      </c>
      <c r="C560" t="str">
        <f t="shared" si="24"/>
        <v>sso</v>
      </c>
      <c r="D560" t="str">
        <f t="shared" si="25"/>
        <v>Colar</v>
      </c>
      <c r="E560" t="str">
        <f t="shared" si="26"/>
        <v>ela M</v>
      </c>
    </row>
    <row r="561" spans="1:5" ht="15.75" customHeight="1">
      <c r="A561" s="9" t="s">
        <v>1123</v>
      </c>
      <c r="B561" s="9" t="s">
        <v>1124</v>
      </c>
      <c r="C561" t="str">
        <f t="shared" si="24"/>
        <v>an,</v>
      </c>
      <c r="D561" t="str">
        <f t="shared" si="25"/>
        <v>Pearl</v>
      </c>
      <c r="E561" t="str">
        <f t="shared" si="26"/>
        <v>.  Oz</v>
      </c>
    </row>
    <row r="562" spans="1:5" ht="15.75" customHeight="1">
      <c r="A562" s="9" t="s">
        <v>1125</v>
      </c>
      <c r="B562" s="9" t="s">
        <v>1126</v>
      </c>
      <c r="C562" t="str">
        <f t="shared" si="24"/>
        <v>, M</v>
      </c>
      <c r="D562" t="str">
        <f t="shared" si="25"/>
        <v>O'Mar</v>
      </c>
      <c r="E562" t="str">
        <f t="shared" si="26"/>
        <v>in M.</v>
      </c>
    </row>
    <row r="563" spans="1:5" ht="15.75" customHeight="1">
      <c r="A563" s="9" t="s">
        <v>1127</v>
      </c>
      <c r="B563" s="9" t="s">
        <v>1128</v>
      </c>
      <c r="C563" t="str">
        <f t="shared" si="24"/>
        <v>Mr</v>
      </c>
      <c r="D563" t="str">
        <f t="shared" si="25"/>
        <v>Niska</v>
      </c>
      <c r="E563" t="str">
        <f t="shared" si="26"/>
        <v>by E.</v>
      </c>
    </row>
    <row r="564" spans="1:5" ht="15.75" customHeight="1">
      <c r="A564" s="9" t="s">
        <v>1129</v>
      </c>
      <c r="B564" s="9" t="s">
        <v>1130</v>
      </c>
      <c r="C564" t="str">
        <f t="shared" si="24"/>
        <v>h,</v>
      </c>
      <c r="D564" t="str">
        <f t="shared" si="25"/>
        <v>Schli</v>
      </c>
      <c r="E564" t="str">
        <f t="shared" si="26"/>
        <v>el P.</v>
      </c>
    </row>
    <row r="565" spans="1:5" ht="15.75" customHeight="1">
      <c r="A565" s="9" t="s">
        <v>1131</v>
      </c>
      <c r="B565" s="9" t="s">
        <v>1132</v>
      </c>
      <c r="C565" t="str">
        <f t="shared" si="24"/>
        <v>Ms</v>
      </c>
      <c r="D565" t="str">
        <f t="shared" si="25"/>
        <v>Zidek</v>
      </c>
      <c r="E565" t="str">
        <f t="shared" si="26"/>
        <v>ie E.</v>
      </c>
    </row>
    <row r="566" spans="1:5" ht="15.75" customHeight="1">
      <c r="A566" s="9" t="s">
        <v>1133</v>
      </c>
      <c r="B566" s="9" t="s">
        <v>1134</v>
      </c>
      <c r="C566" t="str">
        <f t="shared" si="24"/>
        <v>s,</v>
      </c>
      <c r="D566" t="str">
        <f t="shared" si="25"/>
        <v>Ellga</v>
      </c>
      <c r="E566" t="str">
        <f t="shared" si="26"/>
        <v>Katie</v>
      </c>
    </row>
    <row r="567" spans="1:5" ht="15.75" customHeight="1">
      <c r="A567" s="9" t="s">
        <v>1135</v>
      </c>
      <c r="B567" s="9" t="s">
        <v>1136</v>
      </c>
      <c r="C567" t="str">
        <f t="shared" si="24"/>
        <v>Mr.</v>
      </c>
      <c r="D567" t="str">
        <f t="shared" si="25"/>
        <v>Lowe,</v>
      </c>
      <c r="E567" t="str">
        <f t="shared" si="26"/>
        <v>ric D</v>
      </c>
    </row>
    <row r="568" spans="1:5" ht="15.75" customHeight="1">
      <c r="A568" s="9" t="s">
        <v>1137</v>
      </c>
      <c r="B568" s="9" t="s">
        <v>1138</v>
      </c>
      <c r="C568" t="str">
        <f t="shared" si="24"/>
        <v>, M</v>
      </c>
      <c r="D568" t="str">
        <f t="shared" si="25"/>
        <v>Malon</v>
      </c>
      <c r="E568" t="str">
        <f t="shared" si="26"/>
        <v>Tara</v>
      </c>
    </row>
    <row r="569" spans="1:5" ht="15.75" customHeight="1">
      <c r="A569" s="9" t="s">
        <v>1139</v>
      </c>
      <c r="B569" s="9" t="s">
        <v>1140</v>
      </c>
      <c r="C569" t="str">
        <f t="shared" si="24"/>
        <v>Ms</v>
      </c>
      <c r="D569" t="str">
        <f t="shared" si="25"/>
        <v>Dumke</v>
      </c>
      <c r="E569" t="str">
        <f t="shared" si="26"/>
        <v>ley L</v>
      </c>
    </row>
    <row r="570" spans="1:5" ht="15.75" customHeight="1">
      <c r="A570" s="9" t="s">
        <v>1141</v>
      </c>
      <c r="B570" s="9" t="s">
        <v>1142</v>
      </c>
      <c r="C570" t="str">
        <f t="shared" si="24"/>
        <v>, M</v>
      </c>
      <c r="D570" t="str">
        <f t="shared" si="25"/>
        <v>Stron</v>
      </c>
      <c r="E570" t="str">
        <f t="shared" si="26"/>
        <v>la B.</v>
      </c>
    </row>
    <row r="571" spans="1:5" ht="15.75" customHeight="1">
      <c r="A571" s="9" t="s">
        <v>1143</v>
      </c>
      <c r="B571" s="9" t="s">
        <v>1144</v>
      </c>
      <c r="C571" t="str">
        <f t="shared" si="24"/>
        <v>on,</v>
      </c>
      <c r="D571" t="str">
        <f t="shared" si="25"/>
        <v>Fergu</v>
      </c>
      <c r="E571" t="str">
        <f t="shared" si="26"/>
        <v>rk D.</v>
      </c>
    </row>
    <row r="572" spans="1:5" ht="15.75" customHeight="1">
      <c r="A572" s="9" t="s">
        <v>1145</v>
      </c>
      <c r="B572" s="9" t="s">
        <v>1146</v>
      </c>
      <c r="C572" t="str">
        <f t="shared" si="24"/>
        <v>Mr</v>
      </c>
      <c r="D572" t="str">
        <f t="shared" si="25"/>
        <v>Klein</v>
      </c>
      <c r="E572" t="str">
        <f t="shared" si="26"/>
        <v>ck J.</v>
      </c>
    </row>
    <row r="573" spans="1:5" ht="15.75" customHeight="1">
      <c r="A573" s="9" t="s">
        <v>1147</v>
      </c>
      <c r="B573" s="9" t="s">
        <v>1148</v>
      </c>
      <c r="C573" t="str">
        <f t="shared" si="24"/>
        <v>o,</v>
      </c>
      <c r="D573" t="str">
        <f t="shared" si="25"/>
        <v>Euseb</v>
      </c>
      <c r="E573" t="str">
        <f t="shared" si="26"/>
        <v>andro</v>
      </c>
    </row>
    <row r="574" spans="1:5" ht="15.75" customHeight="1">
      <c r="A574" s="9" t="s">
        <v>1149</v>
      </c>
      <c r="B574" s="9" t="s">
        <v>1150</v>
      </c>
      <c r="C574" t="str">
        <f t="shared" si="24"/>
        <v>i,</v>
      </c>
      <c r="D574" t="str">
        <f t="shared" si="25"/>
        <v>Szolo</v>
      </c>
      <c r="E574" t="str">
        <f t="shared" si="26"/>
        <v>eth A</v>
      </c>
    </row>
    <row r="575" spans="1:5" ht="15.75" customHeight="1">
      <c r="A575" s="9" t="s">
        <v>1151</v>
      </c>
      <c r="B575" s="9" t="s">
        <v>1152</v>
      </c>
      <c r="C575" t="str">
        <f t="shared" si="24"/>
        <v>, M</v>
      </c>
      <c r="D575" t="str">
        <f t="shared" si="25"/>
        <v>Butle</v>
      </c>
      <c r="E575" t="str">
        <f t="shared" si="26"/>
        <v>son R</v>
      </c>
    </row>
    <row r="576" spans="1:5" ht="15.75" customHeight="1">
      <c r="A576" s="9" t="s">
        <v>1153</v>
      </c>
      <c r="B576" s="9" t="s">
        <v>1154</v>
      </c>
      <c r="C576" t="str">
        <f t="shared" si="24"/>
        <v>i,</v>
      </c>
      <c r="D576" t="str">
        <f t="shared" si="25"/>
        <v>Fukuc</v>
      </c>
      <c r="E576" t="str">
        <f t="shared" si="26"/>
        <v>inori</v>
      </c>
    </row>
    <row r="577" spans="1:5" ht="15.75" customHeight="1">
      <c r="A577" s="9" t="s">
        <v>1155</v>
      </c>
      <c r="B577" s="9" t="s">
        <v>1156</v>
      </c>
      <c r="C577" t="str">
        <f t="shared" si="24"/>
        <v>r,</v>
      </c>
      <c r="D577" t="str">
        <f t="shared" si="25"/>
        <v>Druck</v>
      </c>
      <c r="E577" t="str">
        <f t="shared" si="26"/>
        <v>ne G.</v>
      </c>
    </row>
    <row r="578" spans="1:5" ht="15.75" customHeight="1">
      <c r="A578" s="9" t="s">
        <v>1157</v>
      </c>
      <c r="B578" s="9" t="s">
        <v>1158</v>
      </c>
      <c r="C578" t="str">
        <f t="shared" si="24"/>
        <v>Mrs</v>
      </c>
      <c r="D578" t="str">
        <f t="shared" si="25"/>
        <v>Aziz,</v>
      </c>
      <c r="E578" t="str">
        <f t="shared" si="26"/>
        <v>edith</v>
      </c>
    </row>
    <row r="579" spans="1:5" ht="15.75" customHeight="1">
      <c r="A579" s="9" t="s">
        <v>1159</v>
      </c>
      <c r="B579" s="9" t="s">
        <v>1160</v>
      </c>
      <c r="C579" t="str">
        <f t="shared" ref="C579:C642" si="27">MID(B579,7,3)</f>
        <v>r.</v>
      </c>
      <c r="D579" t="str">
        <f t="shared" ref="D579:D642" si="28">LEFT(B579,5)</f>
        <v>Pak,</v>
      </c>
      <c r="E579" t="str">
        <f t="shared" ref="E579:E642" si="29">RIGHT(B579,5)</f>
        <v>nyong</v>
      </c>
    </row>
    <row r="580" spans="1:5" ht="15.75" customHeight="1">
      <c r="A580" s="9" t="s">
        <v>1161</v>
      </c>
      <c r="B580" s="9" t="s">
        <v>1162</v>
      </c>
      <c r="C580" t="str">
        <f t="shared" si="27"/>
        <v>Ms</v>
      </c>
      <c r="D580" t="str">
        <f t="shared" si="28"/>
        <v>Kieta</v>
      </c>
      <c r="E580" t="str">
        <f t="shared" si="29"/>
        <v>en A.</v>
      </c>
    </row>
    <row r="581" spans="1:5" ht="15.75" customHeight="1">
      <c r="A581" s="9" t="s">
        <v>1163</v>
      </c>
      <c r="B581" s="9" t="s">
        <v>1164</v>
      </c>
      <c r="C581" t="str">
        <f t="shared" si="27"/>
        <v>Ms</v>
      </c>
      <c r="D581" t="str">
        <f t="shared" si="28"/>
        <v>Velez</v>
      </c>
      <c r="E581" t="str">
        <f t="shared" si="29"/>
        <v>ia I.</v>
      </c>
    </row>
    <row r="582" spans="1:5" ht="15.75" customHeight="1">
      <c r="A582" s="9" t="s">
        <v>1165</v>
      </c>
      <c r="B582" s="9" t="s">
        <v>1166</v>
      </c>
      <c r="C582" t="str">
        <f t="shared" si="27"/>
        <v>re,</v>
      </c>
      <c r="D582" t="str">
        <f t="shared" si="28"/>
        <v>Bussi</v>
      </c>
      <c r="E582" t="str">
        <f t="shared" si="29"/>
        <v>athan</v>
      </c>
    </row>
    <row r="583" spans="1:5" ht="15.75" customHeight="1">
      <c r="A583" s="9" t="s">
        <v>1167</v>
      </c>
      <c r="B583" s="9" t="s">
        <v>1168</v>
      </c>
      <c r="C583" t="str">
        <f t="shared" si="27"/>
        <v>ney</v>
      </c>
      <c r="D583" t="str">
        <f t="shared" si="28"/>
        <v>McCar</v>
      </c>
      <c r="E583" t="str">
        <f t="shared" si="29"/>
        <v>Phil</v>
      </c>
    </row>
    <row r="584" spans="1:5" ht="15.75" customHeight="1">
      <c r="A584" s="9" t="s">
        <v>1169</v>
      </c>
      <c r="B584" s="9" t="s">
        <v>1170</v>
      </c>
      <c r="C584" t="str">
        <f t="shared" si="27"/>
        <v>er,</v>
      </c>
      <c r="D584" t="str">
        <f t="shared" si="28"/>
        <v>Bamba</v>
      </c>
      <c r="E584" t="str">
        <f t="shared" si="29"/>
        <v>ina C</v>
      </c>
    </row>
    <row r="585" spans="1:5" ht="15.75" customHeight="1">
      <c r="A585" s="9" t="s">
        <v>1171</v>
      </c>
      <c r="B585" s="9" t="s">
        <v>1172</v>
      </c>
      <c r="C585" t="str">
        <f t="shared" si="27"/>
        <v>Mr</v>
      </c>
      <c r="D585" t="str">
        <f t="shared" si="28"/>
        <v>Mertz</v>
      </c>
      <c r="E585" t="str">
        <f t="shared" si="29"/>
        <v>opher</v>
      </c>
    </row>
    <row r="586" spans="1:5" ht="15.75" customHeight="1">
      <c r="A586" s="9" t="s">
        <v>1173</v>
      </c>
      <c r="B586" s="9" t="s">
        <v>1174</v>
      </c>
      <c r="C586" t="str">
        <f t="shared" si="27"/>
        <v>Ms</v>
      </c>
      <c r="D586" t="str">
        <f t="shared" si="28"/>
        <v>Mason</v>
      </c>
      <c r="E586" t="str">
        <f t="shared" si="29"/>
        <v>son B</v>
      </c>
    </row>
    <row r="587" spans="1:5" ht="15.75" customHeight="1">
      <c r="A587" s="9" t="s">
        <v>1175</v>
      </c>
      <c r="B587" s="9" t="s">
        <v>1176</v>
      </c>
      <c r="C587" t="str">
        <f t="shared" si="27"/>
        <v>, M</v>
      </c>
      <c r="D587" t="str">
        <f t="shared" si="28"/>
        <v>Rotic</v>
      </c>
      <c r="E587" t="str">
        <f t="shared" si="29"/>
        <v>oline</v>
      </c>
    </row>
    <row r="588" spans="1:5" ht="15.75" customHeight="1">
      <c r="A588" s="9" t="s">
        <v>1177</v>
      </c>
      <c r="B588" s="9" t="s">
        <v>1178</v>
      </c>
      <c r="C588" t="str">
        <f t="shared" si="27"/>
        <v>, M</v>
      </c>
      <c r="D588" t="str">
        <f t="shared" si="28"/>
        <v>Fetze</v>
      </c>
      <c r="E588" t="str">
        <f t="shared" si="29"/>
        <v>xis N</v>
      </c>
    </row>
    <row r="589" spans="1:5" ht="15.75" customHeight="1">
      <c r="A589" s="9" t="s">
        <v>1179</v>
      </c>
      <c r="B589" s="9" t="s">
        <v>1180</v>
      </c>
      <c r="C589" t="str">
        <f t="shared" si="27"/>
        <v>, M</v>
      </c>
      <c r="D589" t="str">
        <f t="shared" si="28"/>
        <v>Matti</v>
      </c>
      <c r="E589" t="str">
        <f t="shared" si="29"/>
        <v>nda L</v>
      </c>
    </row>
    <row r="590" spans="1:5" ht="15.75" customHeight="1">
      <c r="A590" s="9" t="s">
        <v>1181</v>
      </c>
      <c r="B590" s="9" t="s">
        <v>1182</v>
      </c>
      <c r="C590" t="str">
        <f t="shared" si="27"/>
        <v>n,</v>
      </c>
      <c r="D590" t="str">
        <f t="shared" si="28"/>
        <v>Cochr</v>
      </c>
      <c r="E590" t="str">
        <f t="shared" si="29"/>
        <v>Lacey</v>
      </c>
    </row>
    <row r="591" spans="1:5" ht="15.75" customHeight="1">
      <c r="A591" s="9" t="s">
        <v>1183</v>
      </c>
      <c r="B591" s="9" t="s">
        <v>1184</v>
      </c>
      <c r="C591" t="str">
        <f t="shared" si="27"/>
        <v>ky,</v>
      </c>
      <c r="D591" t="str">
        <f t="shared" si="28"/>
        <v>Balin</v>
      </c>
      <c r="E591" t="str">
        <f t="shared" si="29"/>
        <v>rette</v>
      </c>
    </row>
    <row r="592" spans="1:5" ht="15.75" customHeight="1">
      <c r="A592" s="9" t="s">
        <v>1185</v>
      </c>
      <c r="B592" s="9" t="s">
        <v>1186</v>
      </c>
      <c r="C592" t="str">
        <f t="shared" si="27"/>
        <v>, M</v>
      </c>
      <c r="D592" t="str">
        <f t="shared" si="28"/>
        <v>Reill</v>
      </c>
      <c r="E592" t="str">
        <f t="shared" si="29"/>
        <v>Jason</v>
      </c>
    </row>
    <row r="593" spans="1:5" ht="15.75" customHeight="1">
      <c r="A593" s="9" t="s">
        <v>1187</v>
      </c>
      <c r="B593" s="9" t="s">
        <v>1188</v>
      </c>
      <c r="C593" t="str">
        <f t="shared" si="27"/>
        <v>n,</v>
      </c>
      <c r="D593" t="str">
        <f t="shared" si="28"/>
        <v>Johns</v>
      </c>
      <c r="E593" t="str">
        <f t="shared" si="29"/>
        <v>Mary</v>
      </c>
    </row>
    <row r="594" spans="1:5" ht="15.75" customHeight="1">
      <c r="A594" s="9" t="s">
        <v>1189</v>
      </c>
      <c r="B594" s="9" t="s">
        <v>1190</v>
      </c>
      <c r="C594" t="str">
        <f t="shared" si="27"/>
        <v>Ms</v>
      </c>
      <c r="D594" t="str">
        <f t="shared" si="28"/>
        <v>Petry</v>
      </c>
      <c r="E594" t="str">
        <f t="shared" si="29"/>
        <v>ati A</v>
      </c>
    </row>
    <row r="595" spans="1:5" ht="15.75" customHeight="1">
      <c r="A595" s="9" t="s">
        <v>1191</v>
      </c>
      <c r="B595" s="9" t="s">
        <v>1192</v>
      </c>
      <c r="C595" t="str">
        <f t="shared" si="27"/>
        <v>n,</v>
      </c>
      <c r="D595" t="str">
        <f t="shared" si="28"/>
        <v>Lalem</v>
      </c>
      <c r="E595" t="str">
        <f t="shared" si="29"/>
        <v>lly J</v>
      </c>
    </row>
    <row r="596" spans="1:5" ht="15.75" customHeight="1">
      <c r="A596" s="9" t="s">
        <v>1193</v>
      </c>
      <c r="B596" s="9" t="s">
        <v>1194</v>
      </c>
      <c r="C596" t="str">
        <f t="shared" si="27"/>
        <v>Ms</v>
      </c>
      <c r="D596" t="str">
        <f t="shared" si="28"/>
        <v>Colby</v>
      </c>
      <c r="E596" t="str">
        <f t="shared" si="29"/>
        <v>eer D</v>
      </c>
    </row>
    <row r="597" spans="1:5" ht="15.75" customHeight="1">
      <c r="A597" s="9" t="s">
        <v>1195</v>
      </c>
      <c r="B597" s="9" t="s">
        <v>1196</v>
      </c>
      <c r="C597" t="str">
        <f t="shared" si="27"/>
        <v>, M</v>
      </c>
      <c r="D597" t="str">
        <f t="shared" si="28"/>
        <v>Wathk</v>
      </c>
      <c r="E597" t="str">
        <f t="shared" si="29"/>
        <v>Brent</v>
      </c>
    </row>
    <row r="598" spans="1:5" ht="15.75" customHeight="1">
      <c r="A598" s="9" t="s">
        <v>1197</v>
      </c>
      <c r="B598" s="9" t="s">
        <v>1198</v>
      </c>
      <c r="C598" t="str">
        <f t="shared" si="27"/>
        <v>Mr.</v>
      </c>
      <c r="D598" t="str">
        <f t="shared" si="28"/>
        <v>Daly,</v>
      </c>
      <c r="E598" t="str">
        <f t="shared" si="29"/>
        <v>ene M</v>
      </c>
    </row>
    <row r="599" spans="1:5" ht="15.75" customHeight="1">
      <c r="A599" s="9" t="s">
        <v>1199</v>
      </c>
      <c r="B599" s="9" t="s">
        <v>1200</v>
      </c>
      <c r="C599" t="str">
        <f t="shared" si="27"/>
        <v>, M</v>
      </c>
      <c r="D599" t="str">
        <f t="shared" si="28"/>
        <v>Dillo</v>
      </c>
      <c r="E599" t="str">
        <f t="shared" si="29"/>
        <v>rin D</v>
      </c>
    </row>
    <row r="600" spans="1:5" ht="15.75" customHeight="1">
      <c r="A600" s="9" t="s">
        <v>1201</v>
      </c>
      <c r="B600" s="9" t="s">
        <v>1202</v>
      </c>
      <c r="C600" t="str">
        <f t="shared" si="27"/>
        <v>, M</v>
      </c>
      <c r="D600" t="str">
        <f t="shared" si="28"/>
        <v>Ponte</v>
      </c>
      <c r="E600" t="str">
        <f t="shared" si="29"/>
        <v>milla</v>
      </c>
    </row>
    <row r="601" spans="1:5" ht="15.75" customHeight="1">
      <c r="A601" s="9" t="s">
        <v>1203</v>
      </c>
      <c r="B601" s="9" t="s">
        <v>1204</v>
      </c>
      <c r="C601" t="str">
        <f t="shared" si="27"/>
        <v>Mr</v>
      </c>
      <c r="D601" t="str">
        <f t="shared" si="28"/>
        <v>Spies</v>
      </c>
      <c r="E601" t="str">
        <f t="shared" si="29"/>
        <v>ne I.</v>
      </c>
    </row>
    <row r="602" spans="1:5" ht="15.75" customHeight="1">
      <c r="A602" s="9" t="s">
        <v>1205</v>
      </c>
      <c r="B602" s="9" t="s">
        <v>1206</v>
      </c>
      <c r="C602" t="str">
        <f t="shared" si="27"/>
        <v>Ms</v>
      </c>
      <c r="D602" t="str">
        <f t="shared" si="28"/>
        <v>Greig</v>
      </c>
      <c r="E602" t="str">
        <f t="shared" si="29"/>
        <v>acy L</v>
      </c>
    </row>
    <row r="603" spans="1:5" ht="15.75" customHeight="1">
      <c r="A603" s="9" t="s">
        <v>1207</v>
      </c>
      <c r="B603" s="9" t="s">
        <v>1208</v>
      </c>
      <c r="C603" t="str">
        <f t="shared" si="27"/>
        <v>Mr</v>
      </c>
      <c r="D603" t="str">
        <f t="shared" si="28"/>
        <v>Scott</v>
      </c>
      <c r="E603" t="str">
        <f t="shared" si="29"/>
        <v>ather</v>
      </c>
    </row>
    <row r="604" spans="1:5" ht="15.75" customHeight="1">
      <c r="A604" s="9" t="s">
        <v>1209</v>
      </c>
      <c r="B604" s="9" t="s">
        <v>1210</v>
      </c>
      <c r="C604" t="str">
        <f t="shared" si="27"/>
        <v>son</v>
      </c>
      <c r="D604" t="str">
        <f t="shared" si="28"/>
        <v>Erlan</v>
      </c>
      <c r="E604" t="str">
        <f t="shared" si="29"/>
        <v>gan C</v>
      </c>
    </row>
    <row r="605" spans="1:5" ht="15.75" customHeight="1">
      <c r="A605" s="9" t="s">
        <v>1211</v>
      </c>
      <c r="B605" s="9" t="s">
        <v>1212</v>
      </c>
      <c r="C605" t="str">
        <f t="shared" si="27"/>
        <v>, M</v>
      </c>
      <c r="D605" t="str">
        <f t="shared" si="28"/>
        <v>Autre</v>
      </c>
      <c r="E605" t="str">
        <f t="shared" si="29"/>
        <v>athan</v>
      </c>
    </row>
    <row r="606" spans="1:5" ht="15.75" customHeight="1">
      <c r="A606" s="9" t="s">
        <v>1213</v>
      </c>
      <c r="B606" s="9" t="s">
        <v>1214</v>
      </c>
      <c r="C606" t="str">
        <f t="shared" si="27"/>
        <v>n,</v>
      </c>
      <c r="D606" t="str">
        <f t="shared" si="28"/>
        <v>Allem</v>
      </c>
      <c r="E606" t="str">
        <f t="shared" si="29"/>
        <v>eg D.</v>
      </c>
    </row>
    <row r="607" spans="1:5" ht="15.75" customHeight="1">
      <c r="A607" s="9" t="s">
        <v>1215</v>
      </c>
      <c r="B607" s="9" t="s">
        <v>1216</v>
      </c>
      <c r="C607" t="str">
        <f t="shared" si="27"/>
        <v>ski</v>
      </c>
      <c r="D607" t="str">
        <f t="shared" si="28"/>
        <v>Micha</v>
      </c>
      <c r="E607" t="str">
        <f t="shared" si="29"/>
        <v>en L.</v>
      </c>
    </row>
    <row r="608" spans="1:5" ht="15.75" customHeight="1">
      <c r="A608" s="9" t="s">
        <v>1217</v>
      </c>
      <c r="B608" s="9" t="s">
        <v>1218</v>
      </c>
      <c r="C608" t="str">
        <f t="shared" si="27"/>
        <v>, M</v>
      </c>
      <c r="D608" t="str">
        <f t="shared" si="28"/>
        <v>Grill</v>
      </c>
      <c r="E608" t="str">
        <f t="shared" si="29"/>
        <v>lippo</v>
      </c>
    </row>
    <row r="609" spans="1:5" ht="15.75" customHeight="1">
      <c r="A609" s="9" t="s">
        <v>1219</v>
      </c>
      <c r="B609" s="9" t="s">
        <v>1220</v>
      </c>
      <c r="C609" t="str">
        <f t="shared" si="27"/>
        <v>do,</v>
      </c>
      <c r="D609" t="str">
        <f t="shared" si="28"/>
        <v>Coron</v>
      </c>
      <c r="E609" t="str">
        <f t="shared" si="29"/>
        <v>ector</v>
      </c>
    </row>
    <row r="610" spans="1:5" ht="15.75" customHeight="1">
      <c r="A610" s="9" t="s">
        <v>1221</v>
      </c>
      <c r="B610" s="9" t="s">
        <v>1222</v>
      </c>
      <c r="C610" t="str">
        <f t="shared" si="27"/>
        <v>, M</v>
      </c>
      <c r="D610" t="str">
        <f t="shared" si="28"/>
        <v>Dewin</v>
      </c>
      <c r="E610" t="str">
        <f t="shared" si="29"/>
        <v>rk W.</v>
      </c>
    </row>
    <row r="611" spans="1:5" ht="15.75" customHeight="1">
      <c r="A611" s="9" t="s">
        <v>1223</v>
      </c>
      <c r="B611" s="9" t="s">
        <v>1224</v>
      </c>
      <c r="C611" t="str">
        <f t="shared" si="27"/>
        <v>, M</v>
      </c>
      <c r="D611" t="str">
        <f t="shared" si="28"/>
        <v>Carma</v>
      </c>
      <c r="E611" t="str">
        <f t="shared" si="29"/>
        <v>Aubri</v>
      </c>
    </row>
    <row r="612" spans="1:5" ht="15.75" customHeight="1">
      <c r="A612" s="9" t="s">
        <v>1225</v>
      </c>
      <c r="B612" s="9" t="s">
        <v>1226</v>
      </c>
      <c r="C612" t="str">
        <f t="shared" si="27"/>
        <v>Mr</v>
      </c>
      <c r="D612" t="str">
        <f t="shared" si="28"/>
        <v>Neems</v>
      </c>
      <c r="E612" t="str">
        <f t="shared" si="29"/>
        <v>ustin</v>
      </c>
    </row>
    <row r="613" spans="1:5" ht="15.75" customHeight="1">
      <c r="A613" s="9" t="s">
        <v>1227</v>
      </c>
      <c r="B613" s="9" t="s">
        <v>1228</v>
      </c>
      <c r="C613" t="str">
        <f t="shared" si="27"/>
        <v>, M</v>
      </c>
      <c r="D613" t="str">
        <f t="shared" si="28"/>
        <v>Pesyn</v>
      </c>
      <c r="E613" t="str">
        <f t="shared" si="29"/>
        <v>an A.</v>
      </c>
    </row>
    <row r="614" spans="1:5" ht="15.75" customHeight="1">
      <c r="A614" s="9" t="s">
        <v>1229</v>
      </c>
      <c r="B614" s="9" t="s">
        <v>1230</v>
      </c>
      <c r="C614" t="str">
        <f t="shared" si="27"/>
        <v>, M</v>
      </c>
      <c r="D614" t="str">
        <f t="shared" si="28"/>
        <v>Melin</v>
      </c>
      <c r="E614" t="str">
        <f t="shared" si="29"/>
        <v>ka M.</v>
      </c>
    </row>
    <row r="615" spans="1:5" ht="15.75" customHeight="1">
      <c r="A615" s="9" t="s">
        <v>1231</v>
      </c>
      <c r="B615" s="9" t="s">
        <v>1232</v>
      </c>
      <c r="C615" t="str">
        <f t="shared" si="27"/>
        <v>ski</v>
      </c>
      <c r="D615" t="str">
        <f t="shared" si="28"/>
        <v>Widlo</v>
      </c>
      <c r="E615" t="str">
        <f t="shared" si="29"/>
        <v>el G.</v>
      </c>
    </row>
    <row r="616" spans="1:5" ht="15.75" customHeight="1">
      <c r="A616" s="9" t="s">
        <v>1233</v>
      </c>
      <c r="B616" s="9" t="s">
        <v>1234</v>
      </c>
      <c r="C616" t="str">
        <f t="shared" si="27"/>
        <v>Ms</v>
      </c>
      <c r="D616" t="str">
        <f t="shared" si="28"/>
        <v>Nadar</v>
      </c>
      <c r="E616" t="str">
        <f t="shared" si="29"/>
        <v>in C.</v>
      </c>
    </row>
    <row r="617" spans="1:5" ht="15.75" customHeight="1">
      <c r="A617" s="9" t="s">
        <v>1235</v>
      </c>
      <c r="B617" s="9" t="s">
        <v>1236</v>
      </c>
      <c r="C617" t="str">
        <f t="shared" si="27"/>
        <v>, M</v>
      </c>
      <c r="D617" t="str">
        <f t="shared" si="28"/>
        <v>Turne</v>
      </c>
      <c r="E617" t="str">
        <f t="shared" si="29"/>
        <v>ise A</v>
      </c>
    </row>
    <row r="618" spans="1:5" ht="15.75" customHeight="1">
      <c r="A618" s="9" t="s">
        <v>1237</v>
      </c>
      <c r="B618" s="9" t="s">
        <v>1238</v>
      </c>
      <c r="C618" t="str">
        <f t="shared" si="27"/>
        <v>, M</v>
      </c>
      <c r="D618" t="str">
        <f t="shared" si="28"/>
        <v>Walke</v>
      </c>
      <c r="E618" t="str">
        <f t="shared" si="29"/>
        <v>Sarah</v>
      </c>
    </row>
    <row r="619" spans="1:5" ht="15.75" customHeight="1">
      <c r="A619" s="9" t="s">
        <v>1239</v>
      </c>
      <c r="B619" s="9" t="s">
        <v>1240</v>
      </c>
      <c r="C619" t="str">
        <f t="shared" si="27"/>
        <v>m,</v>
      </c>
      <c r="D619" t="str">
        <f t="shared" si="28"/>
        <v>Leedh</v>
      </c>
      <c r="E619" t="str">
        <f t="shared" si="29"/>
        <v>Amy</v>
      </c>
    </row>
    <row r="620" spans="1:5" ht="15.75" customHeight="1">
      <c r="A620" s="9" t="s">
        <v>1241</v>
      </c>
      <c r="B620" s="9" t="s">
        <v>1242</v>
      </c>
      <c r="C620" t="str">
        <f t="shared" si="27"/>
        <v>d,</v>
      </c>
      <c r="D620" t="str">
        <f t="shared" si="28"/>
        <v>Haglu</v>
      </c>
      <c r="E620" t="str">
        <f t="shared" si="29"/>
        <v>ny L.</v>
      </c>
    </row>
    <row r="621" spans="1:5" ht="15.75" customHeight="1">
      <c r="A621" s="9" t="s">
        <v>1243</v>
      </c>
      <c r="B621" s="9" t="s">
        <v>1244</v>
      </c>
      <c r="C621" t="str">
        <f t="shared" si="27"/>
        <v>Ms</v>
      </c>
      <c r="D621" t="str">
        <f t="shared" si="28"/>
        <v>Mills</v>
      </c>
      <c r="E621" t="str">
        <f t="shared" si="29"/>
        <v>ica L</v>
      </c>
    </row>
    <row r="622" spans="1:5" ht="15.75" customHeight="1">
      <c r="A622" s="9" t="s">
        <v>1245</v>
      </c>
      <c r="B622" s="9" t="s">
        <v>1246</v>
      </c>
      <c r="C622" t="str">
        <f t="shared" si="27"/>
        <v>ich</v>
      </c>
      <c r="D622" t="str">
        <f t="shared" si="28"/>
        <v>Drnje</v>
      </c>
      <c r="E622" t="str">
        <f t="shared" si="29"/>
        <v>ina K</v>
      </c>
    </row>
    <row r="623" spans="1:5" ht="15.75" customHeight="1">
      <c r="A623" s="9" t="s">
        <v>1247</v>
      </c>
      <c r="B623" s="9" t="s">
        <v>1248</v>
      </c>
      <c r="C623" t="str">
        <f t="shared" si="27"/>
        <v>Mr.</v>
      </c>
      <c r="D623" t="str">
        <f t="shared" si="28"/>
        <v>Clay,</v>
      </c>
      <c r="E623" t="str">
        <f t="shared" si="29"/>
        <v>Brad</v>
      </c>
    </row>
    <row r="624" spans="1:5" ht="15.75" customHeight="1">
      <c r="A624" s="9" t="s">
        <v>1249</v>
      </c>
      <c r="B624" s="9" t="s">
        <v>1250</v>
      </c>
      <c r="C624" t="str">
        <f t="shared" si="27"/>
        <v>y,</v>
      </c>
      <c r="D624" t="str">
        <f t="shared" si="28"/>
        <v>Marbu</v>
      </c>
      <c r="E624" t="str">
        <f t="shared" si="29"/>
        <v>ret O</v>
      </c>
    </row>
    <row r="625" spans="1:5" ht="15.75" customHeight="1">
      <c r="A625" s="9" t="s">
        <v>1251</v>
      </c>
      <c r="B625" s="9" t="s">
        <v>1252</v>
      </c>
      <c r="C625" t="str">
        <f t="shared" si="27"/>
        <v>Mr.</v>
      </c>
      <c r="D625" t="str">
        <f t="shared" si="28"/>
        <v>Coon,</v>
      </c>
      <c r="E625" t="str">
        <f t="shared" si="29"/>
        <v>ig R.</v>
      </c>
    </row>
    <row r="626" spans="1:5" ht="15.75" customHeight="1">
      <c r="A626" s="9" t="s">
        <v>1253</v>
      </c>
      <c r="B626" s="9" t="s">
        <v>1254</v>
      </c>
      <c r="C626" t="str">
        <f t="shared" si="27"/>
        <v>nen</v>
      </c>
      <c r="D626" t="str">
        <f t="shared" si="28"/>
        <v>Vantt</v>
      </c>
      <c r="E626" t="str">
        <f t="shared" si="29"/>
        <v>Simo</v>
      </c>
    </row>
    <row r="627" spans="1:5" ht="15.75" customHeight="1">
      <c r="A627" s="9" t="s">
        <v>1255</v>
      </c>
      <c r="B627" s="9" t="s">
        <v>1256</v>
      </c>
      <c r="C627" t="str">
        <f t="shared" si="27"/>
        <v>, M</v>
      </c>
      <c r="D627" t="str">
        <f t="shared" si="28"/>
        <v>Garge</v>
      </c>
      <c r="E627" t="str">
        <f t="shared" si="29"/>
        <v>her J</v>
      </c>
    </row>
    <row r="628" spans="1:5" ht="15.75" customHeight="1">
      <c r="A628" s="9" t="s">
        <v>1257</v>
      </c>
      <c r="B628" s="9" t="s">
        <v>1258</v>
      </c>
      <c r="C628" t="str">
        <f t="shared" si="27"/>
        <v>Mr</v>
      </c>
      <c r="D628" t="str">
        <f t="shared" si="28"/>
        <v>Rivel</v>
      </c>
      <c r="E628" t="str">
        <f t="shared" si="29"/>
        <v>o Sr.</v>
      </c>
    </row>
    <row r="629" spans="1:5" ht="15.75" customHeight="1">
      <c r="A629" s="9" t="s">
        <v>1259</v>
      </c>
      <c r="B629" s="9" t="s">
        <v>1260</v>
      </c>
      <c r="C629" t="str">
        <f t="shared" si="27"/>
        <v>, M</v>
      </c>
      <c r="D629" t="str">
        <f t="shared" si="28"/>
        <v>Lawso</v>
      </c>
      <c r="E629" t="str">
        <f t="shared" si="29"/>
        <v>nn R.</v>
      </c>
    </row>
    <row r="630" spans="1:5" ht="15.75" customHeight="1">
      <c r="A630" s="9" t="s">
        <v>1261</v>
      </c>
      <c r="B630" s="9" t="s">
        <v>1262</v>
      </c>
      <c r="C630" t="str">
        <f t="shared" si="27"/>
        <v>Mr.</v>
      </c>
      <c r="D630" t="str">
        <f t="shared" si="28"/>
        <v>Cale,</v>
      </c>
      <c r="E630" t="str">
        <f t="shared" si="29"/>
        <v>ott M</v>
      </c>
    </row>
    <row r="631" spans="1:5" ht="15.75" customHeight="1">
      <c r="A631" s="9" t="s">
        <v>1263</v>
      </c>
      <c r="B631" s="9" t="s">
        <v>1264</v>
      </c>
      <c r="C631" t="str">
        <f t="shared" si="27"/>
        <v>ps,</v>
      </c>
      <c r="D631" t="str">
        <f t="shared" si="28"/>
        <v>Phill</v>
      </c>
      <c r="E631" t="str">
        <f t="shared" si="29"/>
        <v>in E.</v>
      </c>
    </row>
    <row r="632" spans="1:5" ht="15.75" customHeight="1">
      <c r="A632" s="9" t="s">
        <v>1265</v>
      </c>
      <c r="B632" s="9" t="s">
        <v>1266</v>
      </c>
      <c r="C632" t="str">
        <f t="shared" si="27"/>
        <v>t,</v>
      </c>
      <c r="D632" t="str">
        <f t="shared" si="28"/>
        <v>Stewa</v>
      </c>
      <c r="E632" t="str">
        <f t="shared" si="29"/>
        <v>ha A.</v>
      </c>
    </row>
    <row r="633" spans="1:5" ht="15.75" customHeight="1">
      <c r="A633" s="9" t="s">
        <v>1267</v>
      </c>
      <c r="B633" s="9" t="s">
        <v>1268</v>
      </c>
      <c r="C633" t="str">
        <f t="shared" si="27"/>
        <v>Mr</v>
      </c>
      <c r="D633" t="str">
        <f t="shared" si="28"/>
        <v>Drotz</v>
      </c>
      <c r="E633" t="str">
        <f t="shared" si="29"/>
        <v>Erik</v>
      </c>
    </row>
    <row r="634" spans="1:5" ht="15.75" customHeight="1">
      <c r="A634" s="9" t="s">
        <v>1269</v>
      </c>
      <c r="B634" s="9" t="s">
        <v>1270</v>
      </c>
      <c r="C634" t="str">
        <f t="shared" si="27"/>
        <v>Mr</v>
      </c>
      <c r="D634" t="str">
        <f t="shared" si="28"/>
        <v>Mutai</v>
      </c>
      <c r="E634" t="str">
        <f t="shared" si="29"/>
        <v>opher</v>
      </c>
    </row>
    <row r="635" spans="1:5" ht="15.75" customHeight="1">
      <c r="A635" s="9" t="s">
        <v>1271</v>
      </c>
      <c r="B635" s="9" t="s">
        <v>1272</v>
      </c>
      <c r="C635" t="str">
        <f t="shared" si="27"/>
        <v>n,</v>
      </c>
      <c r="D635" t="str">
        <f t="shared" si="28"/>
        <v>Lovli</v>
      </c>
      <c r="E635" t="str">
        <f t="shared" si="29"/>
        <v>Maya</v>
      </c>
    </row>
    <row r="636" spans="1:5" ht="15.75" customHeight="1">
      <c r="A636" s="9" t="s">
        <v>1273</v>
      </c>
      <c r="B636" s="9" t="s">
        <v>1274</v>
      </c>
      <c r="C636" t="str">
        <f t="shared" si="27"/>
        <v>Mr</v>
      </c>
      <c r="D636" t="str">
        <f t="shared" si="28"/>
        <v>Bruns</v>
      </c>
      <c r="E636" t="str">
        <f t="shared" si="29"/>
        <v>ary T</v>
      </c>
    </row>
    <row r="637" spans="1:5" ht="15.75" customHeight="1">
      <c r="A637" s="9" t="s">
        <v>1275</v>
      </c>
      <c r="B637" s="9" t="s">
        <v>1276</v>
      </c>
      <c r="C637" t="str">
        <f t="shared" si="27"/>
        <v>, M</v>
      </c>
      <c r="D637" t="str">
        <f t="shared" si="28"/>
        <v>Stone</v>
      </c>
      <c r="E637" t="str">
        <f t="shared" si="29"/>
        <v>Hilda</v>
      </c>
    </row>
    <row r="638" spans="1:5" ht="15.75" customHeight="1">
      <c r="A638" s="9" t="s">
        <v>1277</v>
      </c>
      <c r="B638" s="9" t="s">
        <v>1278</v>
      </c>
      <c r="C638" t="str">
        <f t="shared" si="27"/>
        <v>t,</v>
      </c>
      <c r="D638" t="str">
        <f t="shared" si="28"/>
        <v>Marke</v>
      </c>
      <c r="E638" t="str">
        <f t="shared" si="29"/>
        <v>hanie</v>
      </c>
    </row>
    <row r="639" spans="1:5" ht="15.75" customHeight="1">
      <c r="A639" s="9" t="s">
        <v>1279</v>
      </c>
      <c r="B639" s="9" t="s">
        <v>1280</v>
      </c>
      <c r="C639" t="str">
        <f t="shared" si="27"/>
        <v>s,</v>
      </c>
      <c r="D639" t="str">
        <f t="shared" si="28"/>
        <v>McLuc</v>
      </c>
      <c r="E639" t="str">
        <f t="shared" si="29"/>
        <v>Doug</v>
      </c>
    </row>
    <row r="640" spans="1:5" ht="15.75" customHeight="1">
      <c r="A640" s="9" t="s">
        <v>1281</v>
      </c>
      <c r="B640" s="9" t="s">
        <v>1282</v>
      </c>
      <c r="C640" t="str">
        <f t="shared" si="27"/>
        <v>Ms</v>
      </c>
      <c r="D640" t="str">
        <f t="shared" si="28"/>
        <v>Erwin</v>
      </c>
      <c r="E640" t="str">
        <f t="shared" si="29"/>
        <v>ny N.</v>
      </c>
    </row>
    <row r="641" spans="1:5" ht="15.75" customHeight="1">
      <c r="A641" s="9" t="s">
        <v>1283</v>
      </c>
      <c r="B641" s="9" t="s">
        <v>1284</v>
      </c>
      <c r="C641" t="str">
        <f t="shared" si="27"/>
        <v>e,</v>
      </c>
      <c r="D641" t="str">
        <f t="shared" si="28"/>
        <v>Osbor</v>
      </c>
      <c r="E641" t="str">
        <f t="shared" si="29"/>
        <v>dra H</v>
      </c>
    </row>
    <row r="642" spans="1:5" ht="15.75" customHeight="1">
      <c r="A642" s="9" t="s">
        <v>1285</v>
      </c>
      <c r="B642" s="9" t="s">
        <v>1286</v>
      </c>
      <c r="C642" t="str">
        <f t="shared" si="27"/>
        <v>, M</v>
      </c>
      <c r="D642" t="str">
        <f t="shared" si="28"/>
        <v>Otsuk</v>
      </c>
      <c r="E642" t="str">
        <f t="shared" si="29"/>
        <v>Takuo</v>
      </c>
    </row>
    <row r="643" spans="1:5" ht="15.75" customHeight="1">
      <c r="A643" s="9" t="s">
        <v>1287</v>
      </c>
      <c r="B643" s="9" t="s">
        <v>1288</v>
      </c>
      <c r="C643" t="str">
        <f t="shared" ref="C643:C706" si="30">MID(B643,7,3)</f>
        <v>Ms</v>
      </c>
      <c r="D643" t="str">
        <f t="shared" ref="D643:D706" si="31">LEFT(B643,5)</f>
        <v>Smith</v>
      </c>
      <c r="E643" t="str">
        <f t="shared" ref="E643:E706" si="32">RIGHT(B643,5)</f>
        <v>ly A.</v>
      </c>
    </row>
    <row r="644" spans="1:5" ht="15.75" customHeight="1">
      <c r="A644" s="9" t="s">
        <v>1289</v>
      </c>
      <c r="B644" s="9" t="s">
        <v>1290</v>
      </c>
      <c r="C644" t="str">
        <f t="shared" si="30"/>
        <v>Mr</v>
      </c>
      <c r="D644" t="str">
        <f t="shared" si="31"/>
        <v>Myers</v>
      </c>
      <c r="E644" t="str">
        <f t="shared" si="32"/>
        <v>Scott</v>
      </c>
    </row>
    <row r="645" spans="1:5" ht="15.75" customHeight="1">
      <c r="A645" s="9" t="s">
        <v>1291</v>
      </c>
      <c r="B645" s="9" t="s">
        <v>1292</v>
      </c>
      <c r="C645" t="str">
        <f t="shared" si="30"/>
        <v>Mr.</v>
      </c>
      <c r="D645" t="str">
        <f t="shared" si="31"/>
        <v>Cote,</v>
      </c>
      <c r="E645" t="str">
        <f t="shared" si="32"/>
        <v>enoit</v>
      </c>
    </row>
    <row r="646" spans="1:5" ht="15.75" customHeight="1">
      <c r="A646" s="9" t="s">
        <v>1293</v>
      </c>
      <c r="B646" s="9" t="s">
        <v>1294</v>
      </c>
      <c r="C646" t="str">
        <f t="shared" si="30"/>
        <v>dt,</v>
      </c>
      <c r="D646" t="str">
        <f t="shared" si="31"/>
        <v>Ehrha</v>
      </c>
      <c r="E646" t="str">
        <f t="shared" si="32"/>
        <v>th M.</v>
      </c>
    </row>
    <row r="647" spans="1:5" ht="15.75" customHeight="1">
      <c r="A647" s="9" t="s">
        <v>1295</v>
      </c>
      <c r="B647" s="9" t="s">
        <v>1296</v>
      </c>
      <c r="C647" t="str">
        <f t="shared" si="30"/>
        <v>en,</v>
      </c>
      <c r="D647" t="str">
        <f t="shared" si="31"/>
        <v>Peter</v>
      </c>
      <c r="E647" t="str">
        <f t="shared" si="32"/>
        <v>ca A.</v>
      </c>
    </row>
    <row r="648" spans="1:5" ht="15.75" customHeight="1">
      <c r="A648" s="9" t="s">
        <v>1297</v>
      </c>
      <c r="B648" s="9" t="s">
        <v>1298</v>
      </c>
      <c r="C648" t="str">
        <f t="shared" si="30"/>
        <v>Ms</v>
      </c>
      <c r="D648" t="str">
        <f t="shared" si="31"/>
        <v>Ertel</v>
      </c>
      <c r="E648" t="str">
        <f t="shared" si="32"/>
        <v>ica K</v>
      </c>
    </row>
    <row r="649" spans="1:5" ht="15.75" customHeight="1">
      <c r="A649" s="9" t="s">
        <v>1299</v>
      </c>
      <c r="B649" s="9" t="s">
        <v>1300</v>
      </c>
      <c r="C649" t="str">
        <f t="shared" si="30"/>
        <v>Mr</v>
      </c>
      <c r="D649" t="str">
        <f t="shared" si="31"/>
        <v>Lanza</v>
      </c>
      <c r="E649" t="str">
        <f t="shared" si="32"/>
        <v>vin L</v>
      </c>
    </row>
    <row r="650" spans="1:5" ht="15.75" customHeight="1">
      <c r="A650" s="9" t="s">
        <v>1301</v>
      </c>
      <c r="B650" s="9" t="s">
        <v>1302</v>
      </c>
      <c r="C650" t="str">
        <f t="shared" si="30"/>
        <v>sim</v>
      </c>
      <c r="D650" t="str">
        <f t="shared" si="31"/>
        <v>Pickl</v>
      </c>
      <c r="E650" t="str">
        <f t="shared" si="32"/>
        <v>egory</v>
      </c>
    </row>
    <row r="651" spans="1:5" ht="15.75" customHeight="1">
      <c r="A651" s="9" t="s">
        <v>1303</v>
      </c>
      <c r="B651" s="9" t="s">
        <v>1304</v>
      </c>
      <c r="C651" t="str">
        <f t="shared" si="30"/>
        <v>Ms</v>
      </c>
      <c r="D651" t="str">
        <f t="shared" si="31"/>
        <v>Giles</v>
      </c>
      <c r="E651" t="str">
        <f t="shared" si="32"/>
        <v>Della</v>
      </c>
    </row>
    <row r="652" spans="1:5" ht="15.75" customHeight="1">
      <c r="A652" s="9" t="s">
        <v>1305</v>
      </c>
      <c r="B652" s="9" t="s">
        <v>1306</v>
      </c>
      <c r="C652" t="str">
        <f t="shared" si="30"/>
        <v>, M</v>
      </c>
      <c r="D652" t="str">
        <f t="shared" si="31"/>
        <v>Harmo</v>
      </c>
      <c r="E652" t="str">
        <f t="shared" si="32"/>
        <v>David</v>
      </c>
    </row>
    <row r="653" spans="1:5" ht="15.75" customHeight="1">
      <c r="A653" s="9" t="s">
        <v>1307</v>
      </c>
      <c r="B653" s="9" t="s">
        <v>1308</v>
      </c>
      <c r="C653" t="str">
        <f t="shared" si="30"/>
        <v>gs,</v>
      </c>
      <c r="D653" t="str">
        <f t="shared" si="31"/>
        <v>Penni</v>
      </c>
      <c r="E653" t="str">
        <f t="shared" si="32"/>
        <v>toria</v>
      </c>
    </row>
    <row r="654" spans="1:5" ht="15.75" customHeight="1">
      <c r="A654" s="9" t="s">
        <v>1309</v>
      </c>
      <c r="B654" s="9" t="s">
        <v>1310</v>
      </c>
      <c r="C654" t="str">
        <f t="shared" si="30"/>
        <v>is,</v>
      </c>
      <c r="D654" t="str">
        <f t="shared" si="31"/>
        <v>Tsero</v>
      </c>
      <c r="E654" t="str">
        <f t="shared" si="32"/>
        <v>Tasos</v>
      </c>
    </row>
    <row r="655" spans="1:5" ht="15.75" customHeight="1">
      <c r="A655" s="9" t="s">
        <v>1311</v>
      </c>
      <c r="B655" s="9" t="s">
        <v>1312</v>
      </c>
      <c r="C655" t="str">
        <f t="shared" si="30"/>
        <v>Mr</v>
      </c>
      <c r="D655" t="str">
        <f t="shared" si="31"/>
        <v>Aliff</v>
      </c>
      <c r="E655" t="str">
        <f t="shared" si="32"/>
        <v>homas</v>
      </c>
    </row>
    <row r="656" spans="1:5" ht="15.75" customHeight="1">
      <c r="A656" s="9" t="s">
        <v>1313</v>
      </c>
      <c r="B656" s="9" t="s">
        <v>1314</v>
      </c>
      <c r="C656" t="str">
        <f t="shared" si="30"/>
        <v>ber</v>
      </c>
      <c r="D656" t="str">
        <f t="shared" si="31"/>
        <v>Wille</v>
      </c>
      <c r="E656" t="str">
        <f t="shared" si="32"/>
        <v>ukasz</v>
      </c>
    </row>
    <row r="657" spans="1:5" ht="15.75" customHeight="1">
      <c r="A657" s="9" t="s">
        <v>1315</v>
      </c>
      <c r="B657" s="9" t="s">
        <v>1316</v>
      </c>
      <c r="C657" t="str">
        <f t="shared" si="30"/>
        <v>t,</v>
      </c>
      <c r="D657" t="str">
        <f t="shared" si="31"/>
        <v>Mille</v>
      </c>
      <c r="E657" t="str">
        <f t="shared" si="32"/>
        <v>ew A.</v>
      </c>
    </row>
    <row r="658" spans="1:5" ht="15.75" customHeight="1">
      <c r="A658" s="9" t="s">
        <v>1317</v>
      </c>
      <c r="B658" s="9" t="s">
        <v>1318</v>
      </c>
      <c r="C658" t="str">
        <f t="shared" si="30"/>
        <v>Ms</v>
      </c>
      <c r="D658" t="str">
        <f t="shared" si="31"/>
        <v>Haley</v>
      </c>
      <c r="E658" t="str">
        <f t="shared" si="32"/>
        <v>Meta</v>
      </c>
    </row>
    <row r="659" spans="1:5" ht="15.75" customHeight="1">
      <c r="A659" s="9" t="s">
        <v>1319</v>
      </c>
      <c r="B659" s="9" t="s">
        <v>1320</v>
      </c>
      <c r="C659" t="str">
        <f t="shared" si="30"/>
        <v>an,</v>
      </c>
      <c r="D659" t="str">
        <f t="shared" si="31"/>
        <v>Acker</v>
      </c>
      <c r="E659" t="str">
        <f t="shared" si="32"/>
        <v>hel E</v>
      </c>
    </row>
    <row r="660" spans="1:5" ht="15.75" customHeight="1">
      <c r="A660" s="9" t="s">
        <v>1321</v>
      </c>
      <c r="B660" s="9" t="s">
        <v>1322</v>
      </c>
      <c r="C660" t="str">
        <f t="shared" si="30"/>
        <v>, M</v>
      </c>
      <c r="D660" t="str">
        <f t="shared" si="31"/>
        <v>Valde</v>
      </c>
      <c r="E660" t="str">
        <f t="shared" si="32"/>
        <v>elica</v>
      </c>
    </row>
    <row r="661" spans="1:5" ht="15.75" customHeight="1">
      <c r="A661" s="9" t="s">
        <v>1323</v>
      </c>
      <c r="B661" s="9" t="s">
        <v>1324</v>
      </c>
      <c r="C661" t="str">
        <f t="shared" si="30"/>
        <v>d,</v>
      </c>
      <c r="D661" t="str">
        <f t="shared" si="31"/>
        <v>Micha</v>
      </c>
      <c r="E661" t="str">
        <f t="shared" si="32"/>
        <v>hleen</v>
      </c>
    </row>
    <row r="662" spans="1:5" ht="15.75" customHeight="1">
      <c r="A662" s="9" t="s">
        <v>1325</v>
      </c>
      <c r="B662" s="9" t="s">
        <v>1326</v>
      </c>
      <c r="C662" t="str">
        <f t="shared" si="30"/>
        <v>k,</v>
      </c>
      <c r="D662" t="str">
        <f t="shared" si="31"/>
        <v>Gunni</v>
      </c>
      <c r="E662" t="str">
        <f t="shared" si="32"/>
        <v>el D.</v>
      </c>
    </row>
    <row r="663" spans="1:5" ht="15.75" customHeight="1">
      <c r="A663" s="9" t="s">
        <v>1327</v>
      </c>
      <c r="B663" s="9" t="s">
        <v>1328</v>
      </c>
      <c r="C663" t="str">
        <f t="shared" si="30"/>
        <v>, M</v>
      </c>
      <c r="D663" t="str">
        <f t="shared" si="31"/>
        <v>Knigh</v>
      </c>
      <c r="E663" t="str">
        <f t="shared" si="32"/>
        <v>eff T</v>
      </c>
    </row>
    <row r="664" spans="1:5" ht="15.75" customHeight="1">
      <c r="A664" s="9" t="s">
        <v>1329</v>
      </c>
      <c r="B664" s="9" t="s">
        <v>1330</v>
      </c>
      <c r="C664" t="str">
        <f t="shared" si="30"/>
        <v>up,</v>
      </c>
      <c r="D664" t="str">
        <f t="shared" si="31"/>
        <v>Gross</v>
      </c>
      <c r="E664" t="str">
        <f t="shared" si="32"/>
        <v>eil D</v>
      </c>
    </row>
    <row r="665" spans="1:5" ht="15.75" customHeight="1">
      <c r="A665" s="9" t="s">
        <v>1331</v>
      </c>
      <c r="B665" s="9" t="s">
        <v>1332</v>
      </c>
      <c r="C665" t="str">
        <f t="shared" si="30"/>
        <v>h,</v>
      </c>
      <c r="D665" t="str">
        <f t="shared" si="31"/>
        <v>Koniu</v>
      </c>
      <c r="E665" t="str">
        <f t="shared" si="32"/>
        <v>ne L.</v>
      </c>
    </row>
    <row r="666" spans="1:5" ht="15.75" customHeight="1">
      <c r="A666" s="9" t="s">
        <v>1333</v>
      </c>
      <c r="B666" s="9" t="s">
        <v>1334</v>
      </c>
      <c r="C666" t="str">
        <f t="shared" si="30"/>
        <v>an,</v>
      </c>
      <c r="D666" t="str">
        <f t="shared" si="31"/>
        <v>Heitz</v>
      </c>
      <c r="E666" t="str">
        <f t="shared" si="32"/>
        <v>iel E</v>
      </c>
    </row>
    <row r="667" spans="1:5" ht="15.75" customHeight="1">
      <c r="A667" s="9" t="s">
        <v>1335</v>
      </c>
      <c r="B667" s="9" t="s">
        <v>1336</v>
      </c>
      <c r="C667" t="str">
        <f t="shared" si="30"/>
        <v>, M</v>
      </c>
      <c r="D667" t="str">
        <f t="shared" si="31"/>
        <v>Tatto</v>
      </c>
      <c r="E667" t="str">
        <f t="shared" si="32"/>
        <v>her P</v>
      </c>
    </row>
    <row r="668" spans="1:5" ht="15.75" customHeight="1">
      <c r="A668" s="9" t="s">
        <v>1337</v>
      </c>
      <c r="B668" s="9" t="s">
        <v>1338</v>
      </c>
      <c r="C668" t="str">
        <f t="shared" si="30"/>
        <v>an,</v>
      </c>
      <c r="D668" t="str">
        <f t="shared" si="31"/>
        <v>Flana</v>
      </c>
      <c r="E668" t="str">
        <f t="shared" si="32"/>
        <v>in M.</v>
      </c>
    </row>
    <row r="669" spans="1:5" ht="15.75" customHeight="1">
      <c r="A669" s="9" t="s">
        <v>1339</v>
      </c>
      <c r="B669" s="9" t="s">
        <v>1340</v>
      </c>
      <c r="C669" t="str">
        <f t="shared" si="30"/>
        <v>Mrs</v>
      </c>
      <c r="D669" t="str">
        <f t="shared" si="31"/>
        <v>Funk,</v>
      </c>
      <c r="E669" t="str">
        <f t="shared" si="32"/>
        <v>ly K.</v>
      </c>
    </row>
    <row r="670" spans="1:5" ht="15.75" customHeight="1">
      <c r="A670" s="9" t="s">
        <v>1341</v>
      </c>
      <c r="B670" s="9" t="s">
        <v>1342</v>
      </c>
      <c r="C670" t="str">
        <f t="shared" si="30"/>
        <v>ort</v>
      </c>
      <c r="D670" t="str">
        <f t="shared" si="31"/>
        <v>Daven</v>
      </c>
      <c r="E670" t="str">
        <f t="shared" si="32"/>
        <v>an J.</v>
      </c>
    </row>
    <row r="671" spans="1:5" ht="15.75" customHeight="1">
      <c r="A671" s="9" t="s">
        <v>1343</v>
      </c>
      <c r="B671" s="9" t="s">
        <v>1344</v>
      </c>
      <c r="C671" t="str">
        <f t="shared" si="30"/>
        <v>son</v>
      </c>
      <c r="D671" t="str">
        <f t="shared" si="31"/>
        <v>Nicho</v>
      </c>
      <c r="E671" t="str">
        <f t="shared" si="32"/>
        <v>nifer</v>
      </c>
    </row>
    <row r="672" spans="1:5" ht="15.75" customHeight="1">
      <c r="A672" s="9" t="s">
        <v>1345</v>
      </c>
      <c r="B672" s="9" t="s">
        <v>1346</v>
      </c>
      <c r="C672" t="str">
        <f t="shared" si="30"/>
        <v>oom</v>
      </c>
      <c r="D672" t="str">
        <f t="shared" si="31"/>
        <v>Lindb</v>
      </c>
      <c r="E672" t="str">
        <f t="shared" si="32"/>
        <v>iel M</v>
      </c>
    </row>
    <row r="673" spans="1:5" ht="15.75" customHeight="1">
      <c r="A673" s="9" t="s">
        <v>1347</v>
      </c>
      <c r="B673" s="9" t="s">
        <v>1348</v>
      </c>
      <c r="C673" t="str">
        <f t="shared" si="30"/>
        <v>rat</v>
      </c>
      <c r="D673" t="str">
        <f t="shared" si="31"/>
        <v>Wijay</v>
      </c>
      <c r="E673" t="str">
        <f t="shared" si="32"/>
        <v>iruni</v>
      </c>
    </row>
    <row r="674" spans="1:5" ht="15.75" customHeight="1">
      <c r="A674" s="9" t="s">
        <v>1349</v>
      </c>
      <c r="B674" s="9" t="s">
        <v>1350</v>
      </c>
      <c r="C674" t="str">
        <f t="shared" si="30"/>
        <v>rth</v>
      </c>
      <c r="D674" t="str">
        <f t="shared" si="31"/>
        <v>Ainsw</v>
      </c>
      <c r="E674" t="str">
        <f t="shared" si="32"/>
        <v>na H.</v>
      </c>
    </row>
    <row r="675" spans="1:5" ht="15.75" customHeight="1">
      <c r="A675" s="9" t="s">
        <v>1351</v>
      </c>
      <c r="B675" s="9" t="s">
        <v>1352</v>
      </c>
      <c r="C675" t="str">
        <f t="shared" si="30"/>
        <v>y,</v>
      </c>
      <c r="D675" t="str">
        <f t="shared" si="31"/>
        <v>Gayag</v>
      </c>
      <c r="E675" t="str">
        <f t="shared" si="32"/>
        <v>risti</v>
      </c>
    </row>
    <row r="676" spans="1:5" ht="15.75" customHeight="1">
      <c r="A676" s="9" t="s">
        <v>1353</v>
      </c>
      <c r="B676" s="9" t="s">
        <v>1354</v>
      </c>
      <c r="C676" t="str">
        <f t="shared" si="30"/>
        <v>uri</v>
      </c>
      <c r="D676" t="str">
        <f t="shared" si="31"/>
        <v>Fitzm</v>
      </c>
      <c r="E676" t="str">
        <f t="shared" si="32"/>
        <v>th L.</v>
      </c>
    </row>
    <row r="677" spans="1:5" ht="15.75" customHeight="1">
      <c r="A677" s="9" t="s">
        <v>1355</v>
      </c>
      <c r="B677" s="9" t="s">
        <v>1356</v>
      </c>
      <c r="C677" t="str">
        <f t="shared" si="30"/>
        <v>uez</v>
      </c>
      <c r="D677" t="str">
        <f t="shared" si="31"/>
        <v>Rodri</v>
      </c>
      <c r="E677" t="str">
        <f t="shared" si="32"/>
        <v>celyn</v>
      </c>
    </row>
    <row r="678" spans="1:5" ht="15.75" customHeight="1">
      <c r="A678" s="9" t="s">
        <v>1357</v>
      </c>
      <c r="B678" s="9" t="s">
        <v>1358</v>
      </c>
      <c r="C678" t="str">
        <f t="shared" si="30"/>
        <v>s,</v>
      </c>
      <c r="D678" t="str">
        <f t="shared" si="31"/>
        <v>Tsouc</v>
      </c>
      <c r="E678" t="str">
        <f t="shared" si="32"/>
        <v>aphne</v>
      </c>
    </row>
    <row r="679" spans="1:5" ht="15.75" customHeight="1">
      <c r="A679" s="9" t="s">
        <v>1359</v>
      </c>
      <c r="B679" s="9" t="s">
        <v>1360</v>
      </c>
      <c r="C679" t="str">
        <f t="shared" si="30"/>
        <v>Ms</v>
      </c>
      <c r="D679" t="str">
        <f t="shared" si="31"/>
        <v>Muhly</v>
      </c>
      <c r="E679" t="str">
        <f t="shared" si="32"/>
        <v>ret E</v>
      </c>
    </row>
    <row r="680" spans="1:5" ht="15.75" customHeight="1">
      <c r="A680" s="9" t="s">
        <v>1361</v>
      </c>
      <c r="B680" s="9" t="s">
        <v>1362</v>
      </c>
      <c r="C680" t="str">
        <f t="shared" si="30"/>
        <v>Mr.</v>
      </c>
      <c r="D680" t="str">
        <f t="shared" si="31"/>
        <v>Lund,</v>
      </c>
      <c r="E680" t="str">
        <f t="shared" si="32"/>
        <v>io J.</v>
      </c>
    </row>
    <row r="681" spans="1:5" ht="15.75" customHeight="1">
      <c r="A681" s="9" t="s">
        <v>1363</v>
      </c>
      <c r="B681" s="9" t="s">
        <v>1364</v>
      </c>
      <c r="C681" t="str">
        <f t="shared" si="30"/>
        <v>lin</v>
      </c>
      <c r="D681" t="str">
        <f t="shared" si="31"/>
        <v>Batta</v>
      </c>
      <c r="E681" t="str">
        <f t="shared" si="32"/>
        <v>Peter</v>
      </c>
    </row>
    <row r="682" spans="1:5" ht="15.75" customHeight="1">
      <c r="A682" s="9" t="s">
        <v>1365</v>
      </c>
      <c r="B682" s="9" t="s">
        <v>1366</v>
      </c>
      <c r="C682" t="str">
        <f t="shared" si="30"/>
        <v>Ms.</v>
      </c>
      <c r="D682" t="str">
        <f t="shared" si="31"/>
        <v>Pena,</v>
      </c>
      <c r="E682" t="str">
        <f t="shared" si="32"/>
        <v>olina</v>
      </c>
    </row>
    <row r="683" spans="1:5" ht="15.75" customHeight="1">
      <c r="A683" s="9" t="s">
        <v>1367</v>
      </c>
      <c r="B683" s="9" t="s">
        <v>1368</v>
      </c>
      <c r="C683" t="str">
        <f t="shared" si="30"/>
        <v>on,</v>
      </c>
      <c r="D683" t="str">
        <f t="shared" si="31"/>
        <v>Thoma</v>
      </c>
      <c r="E683" t="str">
        <f t="shared" si="32"/>
        <v>ny K.</v>
      </c>
    </row>
    <row r="684" spans="1:5" ht="15.75" customHeight="1">
      <c r="A684" s="9" t="s">
        <v>1369</v>
      </c>
      <c r="B684" s="9" t="s">
        <v>1370</v>
      </c>
      <c r="C684" t="str">
        <f t="shared" si="30"/>
        <v>, M</v>
      </c>
      <c r="D684" t="str">
        <f t="shared" si="31"/>
        <v>Hanco</v>
      </c>
      <c r="E684" t="str">
        <f t="shared" si="32"/>
        <v>ssica</v>
      </c>
    </row>
    <row r="685" spans="1:5" ht="15.75" customHeight="1">
      <c r="A685" s="9" t="s">
        <v>1371</v>
      </c>
      <c r="B685" s="9" t="s">
        <v>1372</v>
      </c>
      <c r="C685" t="str">
        <f t="shared" si="30"/>
        <v>cci</v>
      </c>
      <c r="D685" t="str">
        <f t="shared" si="31"/>
        <v>Canar</v>
      </c>
      <c r="E685" t="str">
        <f t="shared" si="32"/>
        <v>rly D</v>
      </c>
    </row>
    <row r="686" spans="1:5" ht="15.75" customHeight="1">
      <c r="A686" s="9" t="s">
        <v>1373</v>
      </c>
      <c r="B686" s="9" t="s">
        <v>1374</v>
      </c>
      <c r="C686" t="str">
        <f t="shared" si="30"/>
        <v>, M</v>
      </c>
      <c r="D686" t="str">
        <f t="shared" si="31"/>
        <v>Toupi</v>
      </c>
      <c r="E686" t="str">
        <f t="shared" si="32"/>
        <v>ivier</v>
      </c>
    </row>
    <row r="687" spans="1:5" ht="15.75" customHeight="1">
      <c r="A687" s="9" t="s">
        <v>1375</v>
      </c>
      <c r="B687" s="9" t="s">
        <v>1376</v>
      </c>
      <c r="C687" t="str">
        <f t="shared" si="30"/>
        <v>, M</v>
      </c>
      <c r="D687" t="str">
        <f t="shared" si="31"/>
        <v>Mulle</v>
      </c>
      <c r="E687" t="str">
        <f t="shared" si="32"/>
        <v>ell J</v>
      </c>
    </row>
    <row r="688" spans="1:5" ht="15.75" customHeight="1">
      <c r="A688" s="9" t="s">
        <v>1377</v>
      </c>
      <c r="B688" s="9" t="s">
        <v>1378</v>
      </c>
      <c r="C688" t="str">
        <f t="shared" si="30"/>
        <v>Ms</v>
      </c>
      <c r="D688" t="str">
        <f t="shared" si="31"/>
        <v>Parry</v>
      </c>
      <c r="E688" t="str">
        <f t="shared" si="32"/>
        <v>arine</v>
      </c>
    </row>
    <row r="689" spans="1:5" ht="15.75" customHeight="1">
      <c r="A689" s="9" t="s">
        <v>1379</v>
      </c>
      <c r="B689" s="9" t="s">
        <v>1380</v>
      </c>
      <c r="C689" t="str">
        <f t="shared" si="30"/>
        <v>Cox</v>
      </c>
      <c r="D689" t="str">
        <f t="shared" si="31"/>
        <v>Mason</v>
      </c>
      <c r="E689" t="str">
        <f t="shared" si="32"/>
        <v>heryl</v>
      </c>
    </row>
    <row r="690" spans="1:5" ht="15.75" customHeight="1">
      <c r="A690" s="9" t="s">
        <v>1381</v>
      </c>
      <c r="B690" s="9" t="s">
        <v>1382</v>
      </c>
      <c r="C690" t="str">
        <f t="shared" si="30"/>
        <v>on,</v>
      </c>
      <c r="D690" t="str">
        <f t="shared" si="31"/>
        <v>Thomp</v>
      </c>
      <c r="E690" t="str">
        <f t="shared" si="32"/>
        <v>on M.</v>
      </c>
    </row>
    <row r="691" spans="1:5" ht="15.75" customHeight="1">
      <c r="A691" s="9" t="s">
        <v>1383</v>
      </c>
      <c r="B691" s="9" t="s">
        <v>1384</v>
      </c>
      <c r="C691" t="str">
        <f t="shared" si="30"/>
        <v>, M</v>
      </c>
      <c r="D691" t="str">
        <f t="shared" si="31"/>
        <v>Nelso</v>
      </c>
      <c r="E691" t="str">
        <f t="shared" si="32"/>
        <v>riana</v>
      </c>
    </row>
    <row r="692" spans="1:5" ht="15.75" customHeight="1">
      <c r="A692" s="9" t="s">
        <v>1385</v>
      </c>
      <c r="B692" s="9" t="s">
        <v>1386</v>
      </c>
      <c r="C692" t="str">
        <f t="shared" si="30"/>
        <v>Ms</v>
      </c>
      <c r="D692" t="str">
        <f t="shared" si="31"/>
        <v>Forte</v>
      </c>
      <c r="E692" t="str">
        <f t="shared" si="32"/>
        <v>nda J</v>
      </c>
    </row>
    <row r="693" spans="1:5" ht="15.75" customHeight="1">
      <c r="A693" s="9" t="s">
        <v>1387</v>
      </c>
      <c r="B693" s="9" t="s">
        <v>1388</v>
      </c>
      <c r="C693" t="str">
        <f t="shared" si="30"/>
        <v>It</v>
      </c>
      <c r="D693" t="str">
        <f t="shared" si="31"/>
        <v>Coron</v>
      </c>
      <c r="E693" t="str">
        <f t="shared" si="32"/>
        <v>berto</v>
      </c>
    </row>
    <row r="694" spans="1:5" ht="15.75" customHeight="1">
      <c r="A694" s="9" t="s">
        <v>1389</v>
      </c>
      <c r="B694" s="9" t="s">
        <v>1390</v>
      </c>
      <c r="C694" t="str">
        <f t="shared" si="30"/>
        <v>um,</v>
      </c>
      <c r="D694" t="str">
        <f t="shared" si="31"/>
        <v>McCol</v>
      </c>
      <c r="E694" t="str">
        <f t="shared" si="32"/>
        <v>ca B.</v>
      </c>
    </row>
    <row r="695" spans="1:5" ht="15.75" customHeight="1">
      <c r="A695" s="9" t="s">
        <v>1391</v>
      </c>
      <c r="B695" s="9" t="s">
        <v>1392</v>
      </c>
      <c r="C695" t="str">
        <f t="shared" si="30"/>
        <v>, M</v>
      </c>
      <c r="D695" t="str">
        <f t="shared" si="31"/>
        <v>Hevne</v>
      </c>
      <c r="E695" t="str">
        <f t="shared" si="32"/>
        <v>ffany</v>
      </c>
    </row>
    <row r="696" spans="1:5" ht="15.75" customHeight="1">
      <c r="A696" s="9" t="s">
        <v>1393</v>
      </c>
      <c r="B696" s="9" t="s">
        <v>1394</v>
      </c>
      <c r="C696" t="str">
        <f t="shared" si="30"/>
        <v>Mr.</v>
      </c>
      <c r="D696" t="str">
        <f t="shared" si="31"/>
        <v>Looi,</v>
      </c>
      <c r="E696" t="str">
        <f t="shared" si="32"/>
        <v>ander</v>
      </c>
    </row>
    <row r="697" spans="1:5" ht="15.75" customHeight="1">
      <c r="A697" s="9" t="s">
        <v>1395</v>
      </c>
      <c r="B697" s="9" t="s">
        <v>1396</v>
      </c>
      <c r="C697" t="str">
        <f t="shared" si="30"/>
        <v>Mr</v>
      </c>
      <c r="D697" t="str">
        <f t="shared" si="31"/>
        <v>Power</v>
      </c>
      <c r="E697" t="str">
        <f t="shared" si="32"/>
        <v>ich M</v>
      </c>
    </row>
    <row r="698" spans="1:5" ht="15.75" customHeight="1">
      <c r="A698" s="9" t="s">
        <v>1397</v>
      </c>
      <c r="B698" s="9" t="s">
        <v>1398</v>
      </c>
      <c r="C698" t="str">
        <f t="shared" si="30"/>
        <v>, M</v>
      </c>
      <c r="D698" t="str">
        <f t="shared" si="31"/>
        <v>Routo</v>
      </c>
      <c r="E698" t="str">
        <f t="shared" si="32"/>
        <v>ron C</v>
      </c>
    </row>
    <row r="699" spans="1:5" ht="15.75" customHeight="1">
      <c r="A699" s="9" t="s">
        <v>1399</v>
      </c>
      <c r="B699" s="9" t="s">
        <v>1400</v>
      </c>
      <c r="C699" t="str">
        <f t="shared" si="30"/>
        <v>li,</v>
      </c>
      <c r="D699" t="str">
        <f t="shared" si="31"/>
        <v>Doche</v>
      </c>
      <c r="E699" t="str">
        <f t="shared" si="32"/>
        <v>Kate</v>
      </c>
    </row>
    <row r="700" spans="1:5" ht="15.75" customHeight="1">
      <c r="A700" s="9" t="s">
        <v>1401</v>
      </c>
      <c r="B700" s="9" t="s">
        <v>1402</v>
      </c>
      <c r="C700" t="str">
        <f t="shared" si="30"/>
        <v>pie</v>
      </c>
      <c r="D700" t="str">
        <f t="shared" si="31"/>
        <v>Gille</v>
      </c>
      <c r="E700" t="str">
        <f t="shared" si="32"/>
        <v>ria M</v>
      </c>
    </row>
    <row r="701" spans="1:5" ht="15.75" customHeight="1">
      <c r="A701" s="9" t="s">
        <v>1403</v>
      </c>
      <c r="B701" s="9" t="s">
        <v>1404</v>
      </c>
      <c r="C701" t="str">
        <f t="shared" si="30"/>
        <v>, M</v>
      </c>
      <c r="D701" t="str">
        <f t="shared" si="31"/>
        <v>Oskvi</v>
      </c>
      <c r="E701" t="str">
        <f t="shared" si="32"/>
        <v>ven W</v>
      </c>
    </row>
    <row r="702" spans="1:5" ht="15.75" customHeight="1">
      <c r="A702" s="9" t="s">
        <v>1405</v>
      </c>
      <c r="B702" s="9" t="s">
        <v>1406</v>
      </c>
      <c r="C702" t="str">
        <f t="shared" si="30"/>
        <v>d-S</v>
      </c>
      <c r="D702" t="str">
        <f t="shared" si="31"/>
        <v>Holla</v>
      </c>
      <c r="E702" t="str">
        <f t="shared" si="32"/>
        <v>ianne</v>
      </c>
    </row>
    <row r="703" spans="1:5" ht="15.75" customHeight="1">
      <c r="A703" s="9" t="s">
        <v>1407</v>
      </c>
      <c r="B703" s="9" t="s">
        <v>1408</v>
      </c>
      <c r="C703" t="str">
        <f t="shared" si="30"/>
        <v>Mr.</v>
      </c>
      <c r="D703" t="str">
        <f t="shared" si="31"/>
        <v>Arai,</v>
      </c>
      <c r="E703" t="str">
        <f t="shared" si="32"/>
        <v>iroki</v>
      </c>
    </row>
    <row r="704" spans="1:5" ht="15.75" customHeight="1">
      <c r="A704" s="9" t="s">
        <v>1409</v>
      </c>
      <c r="B704" s="9" t="s">
        <v>1410</v>
      </c>
      <c r="C704" t="str">
        <f t="shared" si="30"/>
        <v>on,</v>
      </c>
      <c r="D704" t="str">
        <f t="shared" si="31"/>
        <v>Olaus</v>
      </c>
      <c r="E704" t="str">
        <f t="shared" si="32"/>
        <v>nders</v>
      </c>
    </row>
    <row r="705" spans="1:5" ht="15.75" customHeight="1">
      <c r="A705" s="9" t="s">
        <v>1411</v>
      </c>
      <c r="B705" s="9" t="s">
        <v>1412</v>
      </c>
      <c r="C705" t="str">
        <f t="shared" si="30"/>
        <v>, M</v>
      </c>
      <c r="D705" t="str">
        <f t="shared" si="31"/>
        <v>Wagne</v>
      </c>
      <c r="E705" t="str">
        <f t="shared" si="32"/>
        <v>ielle</v>
      </c>
    </row>
    <row r="706" spans="1:5" ht="15.75" customHeight="1">
      <c r="A706" s="9" t="s">
        <v>1413</v>
      </c>
      <c r="B706" s="9" t="s">
        <v>1414</v>
      </c>
      <c r="C706" t="str">
        <f t="shared" si="30"/>
        <v>, M</v>
      </c>
      <c r="D706" t="str">
        <f t="shared" si="31"/>
        <v>Delon</v>
      </c>
      <c r="E706" t="str">
        <f t="shared" si="32"/>
        <v>ace N</v>
      </c>
    </row>
    <row r="707" spans="1:5" ht="15.75" customHeight="1">
      <c r="A707" s="9" t="s">
        <v>1415</v>
      </c>
      <c r="B707" s="9" t="s">
        <v>1416</v>
      </c>
      <c r="C707" t="str">
        <f t="shared" ref="C707:C770" si="33">MID(B707,7,3)</f>
        <v>, M</v>
      </c>
      <c r="D707" t="str">
        <f t="shared" ref="D707:D770" si="34">LEFT(B707,5)</f>
        <v>Mehec</v>
      </c>
      <c r="E707" t="str">
        <f t="shared" ref="E707:E770" si="35">RIGHT(B707,5)</f>
        <v>no F.</v>
      </c>
    </row>
    <row r="708" spans="1:5" ht="15.75" customHeight="1">
      <c r="A708" s="9" t="s">
        <v>1417</v>
      </c>
      <c r="B708" s="9" t="s">
        <v>1418</v>
      </c>
      <c r="C708" t="str">
        <f t="shared" si="33"/>
        <v>la,</v>
      </c>
      <c r="D708" t="str">
        <f t="shared" si="34"/>
        <v>Machi</v>
      </c>
      <c r="E708" t="str">
        <f t="shared" si="35"/>
        <v>Emily</v>
      </c>
    </row>
    <row r="709" spans="1:5" ht="15.75" customHeight="1">
      <c r="A709" s="9" t="s">
        <v>1419</v>
      </c>
      <c r="B709" s="9" t="s">
        <v>1420</v>
      </c>
      <c r="C709" t="str">
        <f t="shared" si="33"/>
        <v>Mr</v>
      </c>
      <c r="D709" t="str">
        <f t="shared" si="34"/>
        <v>Young</v>
      </c>
      <c r="E709" t="str">
        <f t="shared" si="35"/>
        <v>Katie</v>
      </c>
    </row>
    <row r="710" spans="1:5" ht="15.75" customHeight="1">
      <c r="A710" s="9" t="s">
        <v>1421</v>
      </c>
      <c r="B710" s="9" t="s">
        <v>1422</v>
      </c>
      <c r="C710" t="str">
        <f t="shared" si="33"/>
        <v>, M</v>
      </c>
      <c r="D710" t="str">
        <f t="shared" si="34"/>
        <v>Duper</v>
      </c>
      <c r="E710" t="str">
        <f t="shared" si="35"/>
        <v>Sally</v>
      </c>
    </row>
    <row r="711" spans="1:5" ht="15.75" customHeight="1">
      <c r="A711" s="9" t="s">
        <v>1423</v>
      </c>
      <c r="B711" s="9" t="s">
        <v>1424</v>
      </c>
      <c r="C711" t="str">
        <f t="shared" si="33"/>
        <v>o,</v>
      </c>
      <c r="D711" t="str">
        <f t="shared" si="34"/>
        <v>Iando</v>
      </c>
      <c r="E711" t="str">
        <f t="shared" si="35"/>
        <v>han J</v>
      </c>
    </row>
    <row r="712" spans="1:5" ht="15.75" customHeight="1">
      <c r="A712" s="9" t="s">
        <v>1425</v>
      </c>
      <c r="B712" s="9" t="s">
        <v>1426</v>
      </c>
      <c r="C712" t="str">
        <f t="shared" si="33"/>
        <v>s.</v>
      </c>
      <c r="D712" t="str">
        <f t="shared" si="34"/>
        <v>Ito,</v>
      </c>
      <c r="E712" t="str">
        <f t="shared" si="35"/>
        <v>Rina</v>
      </c>
    </row>
    <row r="713" spans="1:5" ht="15.75" customHeight="1">
      <c r="A713" s="9" t="s">
        <v>1427</v>
      </c>
      <c r="B713" s="9" t="s">
        <v>1428</v>
      </c>
      <c r="C713" t="str">
        <f t="shared" si="33"/>
        <v>Ms</v>
      </c>
      <c r="D713" t="str">
        <f t="shared" si="34"/>
        <v>Barry</v>
      </c>
      <c r="E713" t="str">
        <f t="shared" si="35"/>
        <v>in P.</v>
      </c>
    </row>
    <row r="714" spans="1:5" ht="15.75" customHeight="1">
      <c r="A714" s="9" t="s">
        <v>1429</v>
      </c>
      <c r="B714" s="9" t="s">
        <v>1430</v>
      </c>
      <c r="C714" t="str">
        <f t="shared" si="33"/>
        <v>Mr</v>
      </c>
      <c r="D714" t="str">
        <f t="shared" si="34"/>
        <v>Boyce</v>
      </c>
      <c r="E714" t="str">
        <f t="shared" si="35"/>
        <v>lbert</v>
      </c>
    </row>
    <row r="715" spans="1:5" ht="15.75" customHeight="1">
      <c r="A715" s="9" t="s">
        <v>1431</v>
      </c>
      <c r="B715" s="9" t="s">
        <v>1432</v>
      </c>
      <c r="C715" t="str">
        <f t="shared" si="33"/>
        <v>rs.</v>
      </c>
      <c r="D715" t="str">
        <f t="shared" si="34"/>
        <v>Lin,</v>
      </c>
      <c r="E715" t="str">
        <f t="shared" si="35"/>
        <v>shley</v>
      </c>
    </row>
    <row r="716" spans="1:5" ht="15.75" customHeight="1">
      <c r="A716" s="9" t="s">
        <v>1433</v>
      </c>
      <c r="B716" s="9" t="s">
        <v>1434</v>
      </c>
      <c r="C716" t="str">
        <f t="shared" si="33"/>
        <v>Mr</v>
      </c>
      <c r="D716" t="str">
        <f t="shared" si="34"/>
        <v>Smith</v>
      </c>
      <c r="E716" t="str">
        <f t="shared" si="35"/>
        <v>non L</v>
      </c>
    </row>
    <row r="717" spans="1:5" ht="15.75" customHeight="1">
      <c r="A717" s="9" t="s">
        <v>1435</v>
      </c>
      <c r="B717" s="9" t="s">
        <v>1436</v>
      </c>
      <c r="C717" t="str">
        <f t="shared" si="33"/>
        <v>, M</v>
      </c>
      <c r="D717" t="str">
        <f t="shared" si="34"/>
        <v>Nalve</v>
      </c>
      <c r="E717" t="str">
        <f t="shared" si="35"/>
        <v>Amy B</v>
      </c>
    </row>
    <row r="718" spans="1:5" ht="15.75" customHeight="1">
      <c r="A718" s="9" t="s">
        <v>1437</v>
      </c>
      <c r="B718" s="9" t="s">
        <v>1438</v>
      </c>
      <c r="C718" t="str">
        <f t="shared" si="33"/>
        <v>ois</v>
      </c>
      <c r="D718" t="str">
        <f t="shared" si="34"/>
        <v>Bourg</v>
      </c>
      <c r="E718" t="str">
        <f t="shared" si="35"/>
        <v>ielle</v>
      </c>
    </row>
    <row r="719" spans="1:5" ht="15.75" customHeight="1">
      <c r="A719" s="9" t="s">
        <v>1439</v>
      </c>
      <c r="B719" s="9" t="s">
        <v>1440</v>
      </c>
      <c r="C719" t="str">
        <f t="shared" si="33"/>
        <v>, M</v>
      </c>
      <c r="D719" t="str">
        <f t="shared" si="34"/>
        <v>Orlof</v>
      </c>
      <c r="E719" t="str">
        <f t="shared" si="35"/>
        <v>rad F</v>
      </c>
    </row>
    <row r="720" spans="1:5" ht="15.75" customHeight="1">
      <c r="A720" s="9" t="s">
        <v>1441</v>
      </c>
      <c r="B720" s="9" t="s">
        <v>1442</v>
      </c>
      <c r="C720" t="str">
        <f t="shared" si="33"/>
        <v>z,</v>
      </c>
      <c r="D720" t="str">
        <f t="shared" si="34"/>
        <v>Ramir</v>
      </c>
      <c r="E720" t="str">
        <f t="shared" si="35"/>
        <v>Josh</v>
      </c>
    </row>
    <row r="721" spans="1:5" ht="15.75" customHeight="1">
      <c r="A721" s="9" t="s">
        <v>1443</v>
      </c>
      <c r="B721" s="9" t="s">
        <v>1444</v>
      </c>
      <c r="C721" t="str">
        <f t="shared" si="33"/>
        <v>t,</v>
      </c>
      <c r="D721" t="str">
        <f t="shared" si="34"/>
        <v>Fouqu</v>
      </c>
      <c r="E721" t="str">
        <f t="shared" si="35"/>
        <v>axime</v>
      </c>
    </row>
    <row r="722" spans="1:5" ht="15.75" customHeight="1">
      <c r="A722" s="9" t="s">
        <v>1445</v>
      </c>
      <c r="B722" s="9" t="s">
        <v>1446</v>
      </c>
      <c r="C722" t="str">
        <f t="shared" si="33"/>
        <v>lip</v>
      </c>
      <c r="D722" t="str">
        <f t="shared" si="34"/>
        <v>McPhi</v>
      </c>
      <c r="E722" t="str">
        <f t="shared" si="35"/>
        <v>talie</v>
      </c>
    </row>
    <row r="723" spans="1:5" ht="15.75" customHeight="1">
      <c r="A723" s="9" t="s">
        <v>1447</v>
      </c>
      <c r="B723" s="9" t="s">
        <v>1448</v>
      </c>
      <c r="C723" t="str">
        <f t="shared" si="33"/>
        <v>, M</v>
      </c>
      <c r="D723" t="str">
        <f t="shared" si="34"/>
        <v>Burgi</v>
      </c>
      <c r="E723" t="str">
        <f t="shared" si="35"/>
        <v>lissa</v>
      </c>
    </row>
    <row r="724" spans="1:5" ht="15.75" customHeight="1">
      <c r="A724" s="9" t="s">
        <v>1449</v>
      </c>
      <c r="B724" s="9" t="s">
        <v>1450</v>
      </c>
      <c r="C724" t="str">
        <f t="shared" si="33"/>
        <v>s,</v>
      </c>
      <c r="D724" t="str">
        <f t="shared" si="34"/>
        <v>Rober</v>
      </c>
      <c r="E724" t="str">
        <f t="shared" si="35"/>
        <v>ra P.</v>
      </c>
    </row>
    <row r="725" spans="1:5" ht="15.75" customHeight="1">
      <c r="A725" s="9" t="s">
        <v>1451</v>
      </c>
      <c r="B725" s="9" t="s">
        <v>1452</v>
      </c>
      <c r="C725" t="str">
        <f t="shared" si="33"/>
        <v>Mr</v>
      </c>
      <c r="D725" t="str">
        <f t="shared" si="34"/>
        <v>Nemec</v>
      </c>
      <c r="E725" t="str">
        <f t="shared" si="35"/>
        <v>Lisa</v>
      </c>
    </row>
    <row r="726" spans="1:5" ht="15.75" customHeight="1">
      <c r="A726" s="9" t="s">
        <v>1453</v>
      </c>
      <c r="B726" s="9" t="s">
        <v>1454</v>
      </c>
      <c r="C726" t="str">
        <f t="shared" si="33"/>
        <v>, M</v>
      </c>
      <c r="D726" t="str">
        <f t="shared" si="34"/>
        <v>Appma</v>
      </c>
      <c r="E726" t="str">
        <f t="shared" si="35"/>
        <v>. Jr.</v>
      </c>
    </row>
    <row r="727" spans="1:5" ht="15.75" customHeight="1">
      <c r="A727" s="9" t="s">
        <v>1455</v>
      </c>
      <c r="B727" s="9" t="s">
        <v>1456</v>
      </c>
      <c r="C727" t="str">
        <f t="shared" si="33"/>
        <v>ll,</v>
      </c>
      <c r="D727" t="str">
        <f t="shared" si="34"/>
        <v>Drisc</v>
      </c>
      <c r="E727" t="str">
        <f t="shared" si="35"/>
        <v>James</v>
      </c>
    </row>
    <row r="728" spans="1:5" ht="15.75" customHeight="1">
      <c r="A728" s="9" t="s">
        <v>1457</v>
      </c>
      <c r="B728" s="9" t="s">
        <v>1458</v>
      </c>
      <c r="C728" t="str">
        <f t="shared" si="33"/>
        <v>ach</v>
      </c>
      <c r="D728" t="str">
        <f t="shared" si="34"/>
        <v>Glotz</v>
      </c>
      <c r="E728" t="str">
        <f t="shared" si="35"/>
        <v>John</v>
      </c>
    </row>
    <row r="729" spans="1:5" ht="15.75" customHeight="1">
      <c r="A729" s="9" t="s">
        <v>1459</v>
      </c>
      <c r="B729" s="9" t="s">
        <v>1460</v>
      </c>
      <c r="C729" t="str">
        <f t="shared" si="33"/>
        <v>de,</v>
      </c>
      <c r="D729" t="str">
        <f t="shared" si="34"/>
        <v>Tenfo</v>
      </c>
      <c r="E729" t="str">
        <f t="shared" si="35"/>
        <v>dam S</v>
      </c>
    </row>
    <row r="730" spans="1:5" ht="15.75" customHeight="1">
      <c r="A730" s="9" t="s">
        <v>1461</v>
      </c>
      <c r="B730" s="9" t="s">
        <v>1462</v>
      </c>
      <c r="C730" t="str">
        <f t="shared" si="33"/>
        <v>z,</v>
      </c>
      <c r="D730" t="str">
        <f t="shared" si="34"/>
        <v>Ramir</v>
      </c>
      <c r="E730" t="str">
        <f t="shared" si="35"/>
        <v>mando</v>
      </c>
    </row>
    <row r="731" spans="1:5" ht="15.75" customHeight="1">
      <c r="A731" s="9" t="s">
        <v>1463</v>
      </c>
      <c r="B731" s="9" t="s">
        <v>1464</v>
      </c>
      <c r="C731" t="str">
        <f t="shared" si="33"/>
        <v>y T</v>
      </c>
      <c r="D731" t="str">
        <f t="shared" si="34"/>
        <v>Stanl</v>
      </c>
      <c r="E731" t="str">
        <f t="shared" si="35"/>
        <v>Dana</v>
      </c>
    </row>
    <row r="732" spans="1:5" ht="15.75" customHeight="1">
      <c r="A732" s="9" t="s">
        <v>1465</v>
      </c>
      <c r="B732" s="9" t="s">
        <v>1466</v>
      </c>
      <c r="C732" t="str">
        <f t="shared" si="33"/>
        <v>gen</v>
      </c>
      <c r="D732" t="str">
        <f t="shared" si="34"/>
        <v>Vando</v>
      </c>
      <c r="E732" t="str">
        <f t="shared" si="35"/>
        <v>fer L</v>
      </c>
    </row>
    <row r="733" spans="1:5" ht="15.75" customHeight="1">
      <c r="A733" s="9" t="s">
        <v>1467</v>
      </c>
      <c r="B733" s="9" t="s">
        <v>1468</v>
      </c>
      <c r="C733" t="str">
        <f t="shared" si="33"/>
        <v>d,</v>
      </c>
      <c r="D733" t="str">
        <f t="shared" si="34"/>
        <v>Lieba</v>
      </c>
      <c r="E733" t="str">
        <f t="shared" si="35"/>
        <v>jamin</v>
      </c>
    </row>
    <row r="734" spans="1:5" ht="15.75" customHeight="1">
      <c r="A734" s="9" t="s">
        <v>1469</v>
      </c>
      <c r="B734" s="9" t="s">
        <v>1470</v>
      </c>
      <c r="C734" t="str">
        <f t="shared" si="33"/>
        <v>Ms</v>
      </c>
      <c r="D734" t="str">
        <f t="shared" si="34"/>
        <v>Holte</v>
      </c>
      <c r="E734" t="str">
        <f t="shared" si="35"/>
        <v>Tanya</v>
      </c>
    </row>
    <row r="735" spans="1:5" ht="15.75" customHeight="1">
      <c r="A735" s="9" t="s">
        <v>1471</v>
      </c>
      <c r="B735" s="9" t="s">
        <v>1472</v>
      </c>
      <c r="C735" t="str">
        <f t="shared" si="33"/>
        <v>n,</v>
      </c>
      <c r="D735" t="str">
        <f t="shared" si="34"/>
        <v>Johns</v>
      </c>
      <c r="E735" t="str">
        <f t="shared" si="35"/>
        <v>Tracy</v>
      </c>
    </row>
    <row r="736" spans="1:5" ht="15.75" customHeight="1">
      <c r="A736" s="9" t="s">
        <v>1473</v>
      </c>
      <c r="B736" s="9" t="s">
        <v>1474</v>
      </c>
      <c r="C736" t="str">
        <f t="shared" si="33"/>
        <v>tt,</v>
      </c>
      <c r="D736" t="str">
        <f t="shared" si="34"/>
        <v>Bartl</v>
      </c>
      <c r="E736" t="str">
        <f t="shared" si="35"/>
        <v>ily S</v>
      </c>
    </row>
    <row r="737" spans="1:5" ht="15.75" customHeight="1">
      <c r="A737" s="9" t="s">
        <v>1475</v>
      </c>
      <c r="B737" s="9" t="s">
        <v>1476</v>
      </c>
      <c r="C737" t="str">
        <f t="shared" si="33"/>
        <v>n,</v>
      </c>
      <c r="D737" t="str">
        <f t="shared" si="34"/>
        <v>Bergm</v>
      </c>
      <c r="E737" t="str">
        <f t="shared" si="35"/>
        <v>lly R</v>
      </c>
    </row>
    <row r="738" spans="1:5" ht="15.75" customHeight="1">
      <c r="A738" s="9" t="s">
        <v>1477</v>
      </c>
      <c r="B738" s="9" t="s">
        <v>1478</v>
      </c>
      <c r="C738" t="str">
        <f t="shared" si="33"/>
        <v>, M</v>
      </c>
      <c r="D738" t="str">
        <f t="shared" si="34"/>
        <v>Aitke</v>
      </c>
      <c r="E738" t="str">
        <f t="shared" si="35"/>
        <v>Kyle</v>
      </c>
    </row>
    <row r="739" spans="1:5" ht="15.75" customHeight="1">
      <c r="A739" s="9" t="s">
        <v>1479</v>
      </c>
      <c r="B739" s="9" t="s">
        <v>1480</v>
      </c>
      <c r="C739" t="str">
        <f t="shared" si="33"/>
        <v>, M</v>
      </c>
      <c r="D739" t="str">
        <f t="shared" si="34"/>
        <v>Berge</v>
      </c>
      <c r="E739" t="str">
        <f t="shared" si="35"/>
        <v>A Jr.</v>
      </c>
    </row>
    <row r="740" spans="1:5" ht="15.75" customHeight="1">
      <c r="A740" s="9" t="s">
        <v>1481</v>
      </c>
      <c r="B740" s="9" t="s">
        <v>1482</v>
      </c>
      <c r="C740" t="str">
        <f t="shared" si="33"/>
        <v>, M</v>
      </c>
      <c r="D740" t="str">
        <f t="shared" si="34"/>
        <v>Riche</v>
      </c>
      <c r="E740" t="str">
        <f t="shared" si="35"/>
        <v>ary J</v>
      </c>
    </row>
    <row r="741" spans="1:5" ht="15.75" customHeight="1">
      <c r="A741" s="9" t="s">
        <v>1483</v>
      </c>
      <c r="B741" s="9" t="s">
        <v>1484</v>
      </c>
      <c r="C741" t="str">
        <f t="shared" si="33"/>
        <v>r,</v>
      </c>
      <c r="D741" t="str">
        <f t="shared" si="34"/>
        <v>Trott</v>
      </c>
      <c r="E741" t="str">
        <f t="shared" si="35"/>
        <v>ill M</v>
      </c>
    </row>
    <row r="742" spans="1:5" ht="15.75" customHeight="1">
      <c r="A742" s="9" t="s">
        <v>1485</v>
      </c>
      <c r="B742" s="9" t="s">
        <v>1486</v>
      </c>
      <c r="C742" t="str">
        <f t="shared" si="33"/>
        <v>, M</v>
      </c>
      <c r="D742" t="str">
        <f t="shared" si="34"/>
        <v>Chave</v>
      </c>
      <c r="E742" t="str">
        <f t="shared" si="35"/>
        <v>Chris</v>
      </c>
    </row>
    <row r="743" spans="1:5" ht="15.75" customHeight="1">
      <c r="A743" s="9" t="s">
        <v>1487</v>
      </c>
      <c r="B743" s="9" t="s">
        <v>1488</v>
      </c>
      <c r="C743" t="str">
        <f t="shared" si="33"/>
        <v>e,</v>
      </c>
      <c r="D743" t="str">
        <f t="shared" si="34"/>
        <v>Orifi</v>
      </c>
      <c r="E743" t="str">
        <f t="shared" si="35"/>
        <v>el E.</v>
      </c>
    </row>
    <row r="744" spans="1:5" ht="15.75" customHeight="1">
      <c r="A744" s="9" t="s">
        <v>1489</v>
      </c>
      <c r="B744" s="9" t="s">
        <v>1490</v>
      </c>
      <c r="C744" t="str">
        <f t="shared" si="33"/>
        <v>h,</v>
      </c>
      <c r="D744" t="str">
        <f t="shared" si="34"/>
        <v>Farka</v>
      </c>
      <c r="E744" t="str">
        <f t="shared" si="35"/>
        <v>auren</v>
      </c>
    </row>
    <row r="745" spans="1:5" ht="15.75" customHeight="1">
      <c r="A745" s="9" t="s">
        <v>1491</v>
      </c>
      <c r="B745" s="9" t="s">
        <v>1492</v>
      </c>
      <c r="C745" t="str">
        <f t="shared" si="33"/>
        <v>, M</v>
      </c>
      <c r="D745" t="str">
        <f t="shared" si="34"/>
        <v>Hriba</v>
      </c>
      <c r="E745" t="str">
        <f t="shared" si="35"/>
        <v>ryn E</v>
      </c>
    </row>
    <row r="746" spans="1:5" ht="15.75" customHeight="1">
      <c r="A746" s="9" t="s">
        <v>1493</v>
      </c>
      <c r="B746" s="9" t="s">
        <v>1494</v>
      </c>
      <c r="C746" t="str">
        <f t="shared" si="33"/>
        <v>rd,</v>
      </c>
      <c r="D746" t="str">
        <f t="shared" si="34"/>
        <v>Crawf</v>
      </c>
      <c r="E746" t="str">
        <f t="shared" si="35"/>
        <v>Polly</v>
      </c>
    </row>
    <row r="747" spans="1:5" ht="15.75" customHeight="1">
      <c r="A747" s="9" t="s">
        <v>1495</v>
      </c>
      <c r="B747" s="9" t="s">
        <v>1496</v>
      </c>
      <c r="C747" t="str">
        <f t="shared" si="33"/>
        <v>ngt</v>
      </c>
      <c r="D747" t="str">
        <f t="shared" si="34"/>
        <v>Sittl</v>
      </c>
      <c r="E747" t="str">
        <f t="shared" si="35"/>
        <v>rk H.</v>
      </c>
    </row>
    <row r="748" spans="1:5" ht="15.75" customHeight="1">
      <c r="A748" s="9" t="s">
        <v>1497</v>
      </c>
      <c r="B748" s="9" t="s">
        <v>1498</v>
      </c>
      <c r="C748" t="str">
        <f t="shared" si="33"/>
        <v>t,</v>
      </c>
      <c r="D748" t="str">
        <f t="shared" si="34"/>
        <v>Silbe</v>
      </c>
      <c r="E748" t="str">
        <f t="shared" si="35"/>
        <v>ie M.</v>
      </c>
    </row>
    <row r="749" spans="1:5" ht="15.75" customHeight="1">
      <c r="A749" s="9" t="s">
        <v>1499</v>
      </c>
      <c r="B749" s="9" t="s">
        <v>1500</v>
      </c>
      <c r="C749" t="str">
        <f t="shared" si="33"/>
        <v>ue,</v>
      </c>
      <c r="D749" t="str">
        <f t="shared" si="34"/>
        <v>Carri</v>
      </c>
      <c r="E749" t="str">
        <f t="shared" si="35"/>
        <v>Chris</v>
      </c>
    </row>
    <row r="750" spans="1:5" ht="15.75" customHeight="1">
      <c r="A750" s="9" t="s">
        <v>1501</v>
      </c>
      <c r="B750" s="9" t="s">
        <v>1502</v>
      </c>
      <c r="C750" t="str">
        <f t="shared" si="33"/>
        <v>Mr</v>
      </c>
      <c r="D750" t="str">
        <f t="shared" si="34"/>
        <v>Kosla</v>
      </c>
      <c r="E750" t="str">
        <f t="shared" si="35"/>
        <v>aniel</v>
      </c>
    </row>
    <row r="751" spans="1:5" ht="15.75" customHeight="1">
      <c r="A751" s="9" t="s">
        <v>1503</v>
      </c>
      <c r="B751" s="9" t="s">
        <v>1504</v>
      </c>
      <c r="C751" t="str">
        <f t="shared" si="33"/>
        <v>, M</v>
      </c>
      <c r="D751" t="str">
        <f t="shared" si="34"/>
        <v>Parke</v>
      </c>
      <c r="E751" t="str">
        <f t="shared" si="35"/>
        <v>Megan</v>
      </c>
    </row>
    <row r="752" spans="1:5" ht="15.75" customHeight="1">
      <c r="A752" s="9" t="s">
        <v>1505</v>
      </c>
      <c r="B752" s="9" t="s">
        <v>1506</v>
      </c>
      <c r="C752" t="str">
        <f t="shared" si="33"/>
        <v>, M</v>
      </c>
      <c r="D752" t="str">
        <f t="shared" si="34"/>
        <v>Horto</v>
      </c>
      <c r="E752" t="str">
        <f t="shared" si="35"/>
        <v>Kevin</v>
      </c>
    </row>
    <row r="753" spans="1:5" ht="15.75" customHeight="1">
      <c r="A753" s="9" t="s">
        <v>1507</v>
      </c>
      <c r="B753" s="9" t="s">
        <v>1508</v>
      </c>
      <c r="C753" t="str">
        <f t="shared" si="33"/>
        <v>, M</v>
      </c>
      <c r="D753" t="str">
        <f t="shared" si="34"/>
        <v>Bolle</v>
      </c>
      <c r="E753" t="str">
        <f t="shared" si="35"/>
        <v>ne S.</v>
      </c>
    </row>
    <row r="754" spans="1:5" ht="15.75" customHeight="1">
      <c r="A754" s="9" t="s">
        <v>1509</v>
      </c>
      <c r="B754" s="9" t="s">
        <v>1510</v>
      </c>
      <c r="C754" t="str">
        <f t="shared" si="33"/>
        <v>Ms</v>
      </c>
      <c r="D754" t="str">
        <f t="shared" si="34"/>
        <v>Olaru</v>
      </c>
      <c r="E754" t="str">
        <f t="shared" si="35"/>
        <v>Nuta</v>
      </c>
    </row>
    <row r="755" spans="1:5" ht="15.75" customHeight="1">
      <c r="A755" s="9" t="s">
        <v>1511</v>
      </c>
      <c r="B755" s="9" t="s">
        <v>1512</v>
      </c>
      <c r="C755" t="str">
        <f t="shared" si="33"/>
        <v>tt,</v>
      </c>
      <c r="D755" t="str">
        <f t="shared" si="34"/>
        <v>Presc</v>
      </c>
      <c r="E755" t="str">
        <f t="shared" si="35"/>
        <v>argie</v>
      </c>
    </row>
    <row r="756" spans="1:5" ht="15.75" customHeight="1">
      <c r="A756" s="9" t="s">
        <v>1513</v>
      </c>
      <c r="B756" s="9" t="s">
        <v>1514</v>
      </c>
      <c r="C756" t="str">
        <f t="shared" si="33"/>
        <v>Mr</v>
      </c>
      <c r="D756" t="str">
        <f t="shared" si="34"/>
        <v>Hines</v>
      </c>
      <c r="E756" t="str">
        <f t="shared" si="35"/>
        <v>Heidi</v>
      </c>
    </row>
    <row r="757" spans="1:5" ht="15.75" customHeight="1">
      <c r="A757" s="9" t="s">
        <v>1515</v>
      </c>
      <c r="B757" s="9" t="s">
        <v>1516</v>
      </c>
      <c r="C757" t="str">
        <f t="shared" si="33"/>
        <v>n,</v>
      </c>
      <c r="D757" t="str">
        <f t="shared" si="34"/>
        <v>Blant</v>
      </c>
      <c r="E757" t="str">
        <f t="shared" si="35"/>
        <v>ego J</v>
      </c>
    </row>
    <row r="758" spans="1:5" ht="15.75" customHeight="1">
      <c r="A758" s="9" t="s">
        <v>1517</v>
      </c>
      <c r="B758" s="9" t="s">
        <v>1518</v>
      </c>
      <c r="C758" t="str">
        <f t="shared" si="33"/>
        <v>ant</v>
      </c>
      <c r="D758" t="str">
        <f t="shared" si="34"/>
        <v>Busta</v>
      </c>
      <c r="E758" t="str">
        <f t="shared" si="35"/>
        <v>M Sr.</v>
      </c>
    </row>
    <row r="759" spans="1:5" ht="15.75" customHeight="1">
      <c r="A759" s="9" t="s">
        <v>1519</v>
      </c>
      <c r="B759" s="9" t="s">
        <v>1520</v>
      </c>
      <c r="C759" t="str">
        <f t="shared" si="33"/>
        <v>, M</v>
      </c>
      <c r="D759" t="str">
        <f t="shared" si="34"/>
        <v>McCan</v>
      </c>
      <c r="E759" t="str">
        <f t="shared" si="35"/>
        <v>Greg</v>
      </c>
    </row>
    <row r="760" spans="1:5" ht="15.75" customHeight="1">
      <c r="A760" s="9" t="s">
        <v>1521</v>
      </c>
      <c r="B760" s="9" t="s">
        <v>1522</v>
      </c>
      <c r="C760" t="str">
        <f t="shared" si="33"/>
        <v>e,</v>
      </c>
      <c r="D760" t="str">
        <f t="shared" si="34"/>
        <v>Schmo</v>
      </c>
      <c r="E760" t="str">
        <f t="shared" si="35"/>
        <v>Filip</v>
      </c>
    </row>
    <row r="761" spans="1:5" ht="15.75" customHeight="1">
      <c r="A761" s="9" t="s">
        <v>1523</v>
      </c>
      <c r="B761" s="9" t="s">
        <v>1524</v>
      </c>
      <c r="C761" t="str">
        <f t="shared" si="33"/>
        <v>, M</v>
      </c>
      <c r="D761" t="str">
        <f t="shared" si="34"/>
        <v>Barbe</v>
      </c>
      <c r="E761" t="str">
        <f t="shared" si="35"/>
        <v>ry E.</v>
      </c>
    </row>
    <row r="762" spans="1:5" ht="15.75" customHeight="1">
      <c r="A762" s="9" t="s">
        <v>1525</v>
      </c>
      <c r="B762" s="9" t="s">
        <v>1526</v>
      </c>
      <c r="C762" t="str">
        <f t="shared" si="33"/>
        <v>ann</v>
      </c>
      <c r="D762" t="str">
        <f t="shared" si="34"/>
        <v>Reich</v>
      </c>
      <c r="E762" t="str">
        <f t="shared" si="35"/>
        <v>Lisa</v>
      </c>
    </row>
    <row r="763" spans="1:5" ht="15.75" customHeight="1">
      <c r="A763" s="9" t="s">
        <v>1527</v>
      </c>
      <c r="B763" s="9" t="s">
        <v>1528</v>
      </c>
      <c r="C763" t="str">
        <f t="shared" si="33"/>
        <v>rta</v>
      </c>
      <c r="D763" t="str">
        <f t="shared" si="34"/>
        <v>Cavat</v>
      </c>
      <c r="E763" t="str">
        <f t="shared" si="35"/>
        <v>Jason</v>
      </c>
    </row>
    <row r="764" spans="1:5" ht="15.75" customHeight="1">
      <c r="A764" s="9" t="s">
        <v>1529</v>
      </c>
      <c r="B764" s="9" t="s">
        <v>1530</v>
      </c>
      <c r="C764" t="str">
        <f t="shared" si="33"/>
        <v>, M</v>
      </c>
      <c r="D764" t="str">
        <f t="shared" si="34"/>
        <v>Yaege</v>
      </c>
      <c r="E764" t="str">
        <f t="shared" si="35"/>
        <v>rtney</v>
      </c>
    </row>
    <row r="765" spans="1:5" ht="15.75" customHeight="1">
      <c r="A765" s="9" t="s">
        <v>1531</v>
      </c>
      <c r="B765" s="9" t="s">
        <v>1532</v>
      </c>
      <c r="C765" t="str">
        <f t="shared" si="33"/>
        <v>, M</v>
      </c>
      <c r="D765" t="str">
        <f t="shared" si="34"/>
        <v>Hughe</v>
      </c>
      <c r="E765" t="str">
        <f t="shared" si="35"/>
        <v>er R.</v>
      </c>
    </row>
    <row r="766" spans="1:5" ht="15.75" customHeight="1">
      <c r="A766" s="9" t="s">
        <v>1533</v>
      </c>
      <c r="B766" s="9" t="s">
        <v>1534</v>
      </c>
      <c r="C766" t="str">
        <f t="shared" si="33"/>
        <v>e,</v>
      </c>
      <c r="D766" t="str">
        <f t="shared" si="34"/>
        <v>Donah</v>
      </c>
      <c r="E766" t="str">
        <f t="shared" si="35"/>
        <v>ren E</v>
      </c>
    </row>
    <row r="767" spans="1:5" ht="15.75" customHeight="1">
      <c r="A767" s="9" t="s">
        <v>1535</v>
      </c>
      <c r="B767" s="9" t="s">
        <v>1536</v>
      </c>
      <c r="C767" t="str">
        <f t="shared" si="33"/>
        <v>ell</v>
      </c>
      <c r="D767" t="str">
        <f t="shared" si="34"/>
        <v>Green</v>
      </c>
      <c r="E767" t="str">
        <f t="shared" si="35"/>
        <v>ey M.</v>
      </c>
    </row>
    <row r="768" spans="1:5" ht="15.75" customHeight="1">
      <c r="A768" s="9" t="s">
        <v>1537</v>
      </c>
      <c r="B768" s="9" t="s">
        <v>1538</v>
      </c>
      <c r="C768" t="str">
        <f t="shared" si="33"/>
        <v>, M</v>
      </c>
      <c r="D768" t="str">
        <f t="shared" si="34"/>
        <v>Steel</v>
      </c>
      <c r="E768" t="str">
        <f t="shared" si="35"/>
        <v>on R.</v>
      </c>
    </row>
    <row r="769" spans="1:5" ht="15.75" customHeight="1">
      <c r="A769" s="9" t="s">
        <v>1539</v>
      </c>
      <c r="B769" s="9" t="s">
        <v>1540</v>
      </c>
      <c r="C769" t="str">
        <f t="shared" si="33"/>
        <v>, M</v>
      </c>
      <c r="D769" t="str">
        <f t="shared" si="34"/>
        <v>Gunte</v>
      </c>
      <c r="E769" t="str">
        <f t="shared" si="35"/>
        <v>leine</v>
      </c>
    </row>
    <row r="770" spans="1:5" ht="15.75" customHeight="1">
      <c r="A770" s="9" t="s">
        <v>1541</v>
      </c>
      <c r="B770" s="9" t="s">
        <v>1542</v>
      </c>
      <c r="C770" t="str">
        <f t="shared" si="33"/>
        <v>ugh</v>
      </c>
      <c r="D770" t="str">
        <f t="shared" si="34"/>
        <v>McDon</v>
      </c>
      <c r="E770" t="str">
        <f t="shared" si="35"/>
        <v>tacey</v>
      </c>
    </row>
    <row r="771" spans="1:5" ht="15.75" customHeight="1">
      <c r="A771" s="9" t="s">
        <v>1543</v>
      </c>
      <c r="B771" s="9" t="s">
        <v>1544</v>
      </c>
      <c r="C771" t="str">
        <f t="shared" ref="C771:C834" si="36">MID(B771,7,3)</f>
        <v>and</v>
      </c>
      <c r="D771" t="str">
        <f t="shared" ref="D771:D834" si="37">LEFT(B771,5)</f>
        <v>Sweet</v>
      </c>
      <c r="E771" t="str">
        <f t="shared" ref="E771:E834" si="38">RIGHT(B771,5)</f>
        <v>berly</v>
      </c>
    </row>
    <row r="772" spans="1:5" ht="15.75" customHeight="1">
      <c r="A772" s="9" t="s">
        <v>1545</v>
      </c>
      <c r="B772" s="9" t="s">
        <v>1546</v>
      </c>
      <c r="C772" t="str">
        <f t="shared" si="36"/>
        <v>smi</v>
      </c>
      <c r="D772" t="str">
        <f t="shared" si="37"/>
        <v>Hamme</v>
      </c>
      <c r="E772" t="str">
        <f t="shared" si="38"/>
        <v>hew D</v>
      </c>
    </row>
    <row r="773" spans="1:5" ht="15.75" customHeight="1">
      <c r="A773" s="9" t="s">
        <v>1547</v>
      </c>
      <c r="B773" s="9" t="s">
        <v>1548</v>
      </c>
      <c r="C773" t="str">
        <f t="shared" si="36"/>
        <v>, M</v>
      </c>
      <c r="D773" t="str">
        <f t="shared" si="37"/>
        <v>Frenc</v>
      </c>
      <c r="E773" t="str">
        <f t="shared" si="38"/>
        <v>chael</v>
      </c>
    </row>
    <row r="774" spans="1:5" ht="15.75" customHeight="1">
      <c r="A774" s="9" t="s">
        <v>1549</v>
      </c>
      <c r="B774" s="9" t="s">
        <v>1550</v>
      </c>
      <c r="C774" t="str">
        <f t="shared" si="36"/>
        <v>Mr</v>
      </c>
      <c r="D774" t="str">
        <f t="shared" si="37"/>
        <v>Garbe</v>
      </c>
      <c r="E774" t="str">
        <f t="shared" si="38"/>
        <v>Ben</v>
      </c>
    </row>
    <row r="775" spans="1:5" ht="15.75" customHeight="1">
      <c r="A775" s="9" t="s">
        <v>1551</v>
      </c>
      <c r="B775" s="9" t="s">
        <v>1552</v>
      </c>
      <c r="C775" t="str">
        <f t="shared" si="36"/>
        <v>, M</v>
      </c>
      <c r="D775" t="str">
        <f t="shared" si="37"/>
        <v>Dunca</v>
      </c>
      <c r="E775" t="str">
        <f t="shared" si="38"/>
        <v>Chris</v>
      </c>
    </row>
    <row r="776" spans="1:5" ht="15.75" customHeight="1">
      <c r="A776" s="9" t="s">
        <v>1553</v>
      </c>
      <c r="B776" s="9" t="s">
        <v>1554</v>
      </c>
      <c r="C776" t="str">
        <f t="shared" si="36"/>
        <v>e,</v>
      </c>
      <c r="D776" t="str">
        <f t="shared" si="37"/>
        <v>Walla</v>
      </c>
      <c r="E776" t="str">
        <f t="shared" si="38"/>
        <v>emy J</v>
      </c>
    </row>
    <row r="777" spans="1:5" ht="15.75" customHeight="1">
      <c r="A777" s="9" t="s">
        <v>1555</v>
      </c>
      <c r="B777" s="9" t="s">
        <v>1556</v>
      </c>
      <c r="C777" t="str">
        <f t="shared" si="36"/>
        <v>n,</v>
      </c>
      <c r="D777" t="str">
        <f t="shared" si="37"/>
        <v>Tillm</v>
      </c>
      <c r="E777" t="str">
        <f t="shared" si="38"/>
        <v>my L.</v>
      </c>
    </row>
    <row r="778" spans="1:5" ht="15.75" customHeight="1">
      <c r="A778" s="9" t="s">
        <v>1557</v>
      </c>
      <c r="B778" s="9" t="s">
        <v>1558</v>
      </c>
      <c r="C778" t="str">
        <f t="shared" si="36"/>
        <v>rs.</v>
      </c>
      <c r="D778" t="str">
        <f t="shared" si="37"/>
        <v>Lee,</v>
      </c>
      <c r="E778" t="str">
        <f t="shared" si="38"/>
        <v>en L.</v>
      </c>
    </row>
    <row r="779" spans="1:5" ht="15.75" customHeight="1">
      <c r="A779" s="9" t="s">
        <v>1559</v>
      </c>
      <c r="B779" s="9" t="s">
        <v>1560</v>
      </c>
      <c r="C779" t="str">
        <f t="shared" si="36"/>
        <v>, M</v>
      </c>
      <c r="D779" t="str">
        <f t="shared" si="37"/>
        <v>Taylo</v>
      </c>
      <c r="E779" t="str">
        <f t="shared" si="38"/>
        <v>nille</v>
      </c>
    </row>
    <row r="780" spans="1:5" ht="15.75" customHeight="1">
      <c r="A780" s="9" t="s">
        <v>1561</v>
      </c>
      <c r="B780" s="9" t="s">
        <v>1562</v>
      </c>
      <c r="C780" t="str">
        <f t="shared" si="36"/>
        <v>n,</v>
      </c>
      <c r="D780" t="str">
        <f t="shared" si="37"/>
        <v>McSwe</v>
      </c>
      <c r="E780" t="str">
        <f t="shared" si="38"/>
        <v>Matt</v>
      </c>
    </row>
    <row r="781" spans="1:5" ht="15.75" customHeight="1">
      <c r="A781" s="9" t="s">
        <v>1563</v>
      </c>
      <c r="B781" s="9" t="s">
        <v>1564</v>
      </c>
      <c r="C781" t="str">
        <f t="shared" si="36"/>
        <v>rt,</v>
      </c>
      <c r="D781" t="str">
        <f t="shared" si="37"/>
        <v>Schub</v>
      </c>
      <c r="E781" t="str">
        <f t="shared" si="38"/>
        <v>Emily</v>
      </c>
    </row>
    <row r="782" spans="1:5" ht="15.75" customHeight="1">
      <c r="A782" s="9" t="s">
        <v>1565</v>
      </c>
      <c r="B782" s="9" t="s">
        <v>1566</v>
      </c>
      <c r="C782" t="str">
        <f t="shared" si="36"/>
        <v>e,</v>
      </c>
      <c r="D782" t="str">
        <f t="shared" si="37"/>
        <v>Lalan</v>
      </c>
      <c r="E782" t="str">
        <f t="shared" si="38"/>
        <v>tin E</v>
      </c>
    </row>
    <row r="783" spans="1:5" ht="15.75" customHeight="1">
      <c r="A783" s="9" t="s">
        <v>1567</v>
      </c>
      <c r="B783" s="9" t="s">
        <v>1568</v>
      </c>
      <c r="C783" t="str">
        <f t="shared" si="36"/>
        <v>an,</v>
      </c>
      <c r="D783" t="str">
        <f t="shared" si="37"/>
        <v>Flana</v>
      </c>
      <c r="E783" t="str">
        <f t="shared" si="38"/>
        <v>alane</v>
      </c>
    </row>
    <row r="784" spans="1:5" ht="15.75" customHeight="1">
      <c r="A784" s="9" t="s">
        <v>1569</v>
      </c>
      <c r="B784" s="9" t="s">
        <v>1570</v>
      </c>
      <c r="C784" t="str">
        <f t="shared" si="36"/>
        <v>no,</v>
      </c>
      <c r="D784" t="str">
        <f t="shared" si="37"/>
        <v>Arell</v>
      </c>
      <c r="E784" t="str">
        <f t="shared" si="38"/>
        <v>ca N.</v>
      </c>
    </row>
    <row r="785" spans="1:5" ht="15.75" customHeight="1">
      <c r="A785" s="9" t="s">
        <v>1571</v>
      </c>
      <c r="B785" s="9" t="s">
        <v>1572</v>
      </c>
      <c r="C785" t="str">
        <f t="shared" si="36"/>
        <v>te,</v>
      </c>
      <c r="D785" t="str">
        <f t="shared" si="37"/>
        <v>Chare</v>
      </c>
      <c r="E785" t="str">
        <f t="shared" si="38"/>
        <v>lanie</v>
      </c>
    </row>
    <row r="786" spans="1:5" ht="15.75" customHeight="1">
      <c r="A786" s="9" t="s">
        <v>1573</v>
      </c>
      <c r="B786" s="9" t="s">
        <v>1574</v>
      </c>
      <c r="C786" t="str">
        <f t="shared" si="36"/>
        <v>eye</v>
      </c>
      <c r="D786" t="str">
        <f t="shared" si="37"/>
        <v>Pena</v>
      </c>
      <c r="E786" t="str">
        <f t="shared" si="38"/>
        <v>elica</v>
      </c>
    </row>
    <row r="787" spans="1:5" ht="15.75" customHeight="1">
      <c r="A787" s="9" t="s">
        <v>1575</v>
      </c>
      <c r="B787" s="9" t="s">
        <v>1576</v>
      </c>
      <c r="C787" t="str">
        <f t="shared" si="36"/>
        <v>ick</v>
      </c>
      <c r="D787" t="str">
        <f t="shared" si="37"/>
        <v>Brode</v>
      </c>
      <c r="E787" t="str">
        <f t="shared" si="38"/>
        <v>Una M</v>
      </c>
    </row>
    <row r="788" spans="1:5" ht="15.75" customHeight="1">
      <c r="A788" s="9" t="s">
        <v>1577</v>
      </c>
      <c r="B788" s="9" t="s">
        <v>1578</v>
      </c>
      <c r="C788" t="str">
        <f t="shared" si="36"/>
        <v>s,</v>
      </c>
      <c r="D788" t="str">
        <f t="shared" si="37"/>
        <v>Summe</v>
      </c>
      <c r="E788" t="str">
        <f t="shared" si="38"/>
        <v>ralyn</v>
      </c>
    </row>
    <row r="789" spans="1:5" ht="15.75" customHeight="1">
      <c r="A789" s="9" t="s">
        <v>1579</v>
      </c>
      <c r="B789" s="9" t="s">
        <v>1580</v>
      </c>
      <c r="C789" t="str">
        <f t="shared" si="36"/>
        <v>, M</v>
      </c>
      <c r="D789" t="str">
        <f t="shared" si="37"/>
        <v>Fishe</v>
      </c>
      <c r="E789" t="str">
        <f t="shared" si="38"/>
        <v>mes A</v>
      </c>
    </row>
    <row r="790" spans="1:5" ht="15.75" customHeight="1">
      <c r="A790" s="9" t="s">
        <v>1581</v>
      </c>
      <c r="B790" s="9" t="s">
        <v>1582</v>
      </c>
      <c r="C790" t="str">
        <f t="shared" si="36"/>
        <v>Mr.</v>
      </c>
      <c r="D790" t="str">
        <f t="shared" si="37"/>
        <v>Zhou,</v>
      </c>
      <c r="E790" t="str">
        <f t="shared" si="38"/>
        <v>Ning</v>
      </c>
    </row>
    <row r="791" spans="1:5" ht="15.75" customHeight="1">
      <c r="A791" s="9" t="s">
        <v>1583</v>
      </c>
      <c r="B791" s="9" t="s">
        <v>1584</v>
      </c>
      <c r="C791" t="str">
        <f t="shared" si="36"/>
        <v>-Am</v>
      </c>
      <c r="D791" t="str">
        <f t="shared" si="37"/>
        <v>Clark</v>
      </c>
      <c r="E791" t="str">
        <f t="shared" si="38"/>
        <v>Joel</v>
      </c>
    </row>
    <row r="792" spans="1:5" ht="15.75" customHeight="1">
      <c r="A792" s="9" t="s">
        <v>1585</v>
      </c>
      <c r="B792" s="9" t="s">
        <v>1586</v>
      </c>
      <c r="C792" t="str">
        <f t="shared" si="36"/>
        <v>, M</v>
      </c>
      <c r="D792" t="str">
        <f t="shared" si="37"/>
        <v>Stato</v>
      </c>
      <c r="E792" t="str">
        <f t="shared" si="38"/>
        <v>la J.</v>
      </c>
    </row>
    <row r="793" spans="1:5" ht="15.75" customHeight="1">
      <c r="A793" s="9" t="s">
        <v>1587</v>
      </c>
      <c r="B793" s="9" t="s">
        <v>1588</v>
      </c>
      <c r="C793" t="str">
        <f t="shared" si="36"/>
        <v>r,</v>
      </c>
      <c r="D793" t="str">
        <f t="shared" si="37"/>
        <v>Forst</v>
      </c>
      <c r="E793" t="str">
        <f t="shared" si="38"/>
        <v>ttney</v>
      </c>
    </row>
    <row r="794" spans="1:5" ht="15.75" customHeight="1">
      <c r="A794" s="9" t="s">
        <v>1589</v>
      </c>
      <c r="B794" s="9" t="s">
        <v>1590</v>
      </c>
      <c r="C794" t="str">
        <f t="shared" si="36"/>
        <v>an,</v>
      </c>
      <c r="D794" t="str">
        <f t="shared" si="37"/>
        <v>Monag</v>
      </c>
      <c r="E794" t="str">
        <f t="shared" si="38"/>
        <v>heila</v>
      </c>
    </row>
    <row r="795" spans="1:5" ht="15.75" customHeight="1">
      <c r="A795" s="9" t="s">
        <v>1591</v>
      </c>
      <c r="B795" s="9" t="s">
        <v>1592</v>
      </c>
      <c r="C795" t="str">
        <f t="shared" si="36"/>
        <v>to,</v>
      </c>
      <c r="D795" t="str">
        <f t="shared" si="37"/>
        <v>Kawam</v>
      </c>
      <c r="E795" t="str">
        <f t="shared" si="38"/>
        <v>Koji</v>
      </c>
    </row>
    <row r="796" spans="1:5" ht="15.75" customHeight="1">
      <c r="A796" s="9" t="s">
        <v>1593</v>
      </c>
      <c r="B796" s="9" t="s">
        <v>1594</v>
      </c>
      <c r="C796" t="str">
        <f t="shared" si="36"/>
        <v>ry,</v>
      </c>
      <c r="D796" t="str">
        <f t="shared" si="37"/>
        <v>Dicha</v>
      </c>
      <c r="E796" t="str">
        <f t="shared" si="38"/>
        <v>Sarah</v>
      </c>
    </row>
    <row r="797" spans="1:5" ht="15.75" customHeight="1">
      <c r="A797" s="9" t="s">
        <v>1595</v>
      </c>
      <c r="B797" s="9" t="s">
        <v>1596</v>
      </c>
      <c r="C797" t="str">
        <f t="shared" si="36"/>
        <v>Mr</v>
      </c>
      <c r="D797" t="str">
        <f t="shared" si="37"/>
        <v>Berry</v>
      </c>
      <c r="E797" t="str">
        <f t="shared" si="38"/>
        <v>een M</v>
      </c>
    </row>
    <row r="798" spans="1:5" ht="15.75" customHeight="1">
      <c r="A798" s="9" t="s">
        <v>1597</v>
      </c>
      <c r="B798" s="9" t="s">
        <v>1598</v>
      </c>
      <c r="C798" t="str">
        <f t="shared" si="36"/>
        <v>io,</v>
      </c>
      <c r="D798" t="str">
        <f t="shared" si="37"/>
        <v>Porfi</v>
      </c>
      <c r="E798" t="str">
        <f t="shared" si="38"/>
        <v>ra G.</v>
      </c>
    </row>
    <row r="799" spans="1:5" ht="15.75" customHeight="1">
      <c r="A799" s="9" t="s">
        <v>1599</v>
      </c>
      <c r="B799" s="9" t="s">
        <v>1600</v>
      </c>
      <c r="C799" t="str">
        <f t="shared" si="36"/>
        <v>Mr</v>
      </c>
      <c r="D799" t="str">
        <f t="shared" si="37"/>
        <v>Thind</v>
      </c>
      <c r="E799" t="str">
        <f t="shared" si="38"/>
        <v>inder</v>
      </c>
    </row>
    <row r="800" spans="1:5" ht="15.75" customHeight="1">
      <c r="A800" s="9" t="s">
        <v>1601</v>
      </c>
      <c r="B800" s="9" t="s">
        <v>1602</v>
      </c>
      <c r="C800" t="str">
        <f t="shared" si="36"/>
        <v>Ms.</v>
      </c>
      <c r="D800" t="str">
        <f t="shared" si="37"/>
        <v>Ryan,</v>
      </c>
      <c r="E800" t="str">
        <f t="shared" si="38"/>
        <v>nn M.</v>
      </c>
    </row>
    <row r="801" spans="1:5" ht="15.75" customHeight="1">
      <c r="A801" s="9" t="s">
        <v>1603</v>
      </c>
      <c r="B801" s="9" t="s">
        <v>1604</v>
      </c>
      <c r="C801" t="str">
        <f t="shared" si="36"/>
        <v>Ms.</v>
      </c>
      <c r="D801" t="str">
        <f t="shared" si="37"/>
        <v>Horn,</v>
      </c>
      <c r="E801" t="str">
        <f t="shared" si="38"/>
        <v>rah E</v>
      </c>
    </row>
    <row r="802" spans="1:5" ht="15.75" customHeight="1">
      <c r="A802" s="9" t="s">
        <v>1605</v>
      </c>
      <c r="B802" s="9" t="s">
        <v>1606</v>
      </c>
      <c r="C802" t="str">
        <f t="shared" si="36"/>
        <v>sa,</v>
      </c>
      <c r="D802" t="str">
        <f t="shared" si="37"/>
        <v>Sabad</v>
      </c>
      <c r="E802" t="str">
        <f t="shared" si="38"/>
        <v>yl J.</v>
      </c>
    </row>
    <row r="803" spans="1:5" ht="15.75" customHeight="1">
      <c r="A803" s="9" t="s">
        <v>1607</v>
      </c>
      <c r="B803" s="9" t="s">
        <v>1608</v>
      </c>
      <c r="C803" t="str">
        <f t="shared" si="36"/>
        <v>, M</v>
      </c>
      <c r="D803" t="str">
        <f t="shared" si="37"/>
        <v>Casad</v>
      </c>
      <c r="E803" t="str">
        <f t="shared" si="38"/>
        <v>Ilana</v>
      </c>
    </row>
    <row r="804" spans="1:5" ht="15.75" customHeight="1">
      <c r="A804" s="9" t="s">
        <v>1609</v>
      </c>
      <c r="B804" s="9" t="s">
        <v>1610</v>
      </c>
      <c r="C804" t="str">
        <f t="shared" si="36"/>
        <v>ps,</v>
      </c>
      <c r="D804" t="str">
        <f t="shared" si="37"/>
        <v>Phill</v>
      </c>
      <c r="E804" t="str">
        <f t="shared" si="38"/>
        <v>erine</v>
      </c>
    </row>
    <row r="805" spans="1:5" ht="15.75" customHeight="1">
      <c r="A805" s="9" t="s">
        <v>1611</v>
      </c>
      <c r="B805" s="9" t="s">
        <v>1612</v>
      </c>
      <c r="C805" t="str">
        <f t="shared" si="36"/>
        <v>, M</v>
      </c>
      <c r="D805" t="str">
        <f t="shared" si="37"/>
        <v>Ahoka</v>
      </c>
      <c r="E805" t="str">
        <f t="shared" si="38"/>
        <v>erine</v>
      </c>
    </row>
    <row r="806" spans="1:5" ht="15.75" customHeight="1">
      <c r="A806" s="9" t="s">
        <v>1613</v>
      </c>
      <c r="B806" s="9" t="s">
        <v>1614</v>
      </c>
      <c r="C806" t="str">
        <f t="shared" si="36"/>
        <v>, M</v>
      </c>
      <c r="D806" t="str">
        <f t="shared" si="37"/>
        <v>Heber</v>
      </c>
      <c r="E806" t="str">
        <f t="shared" si="38"/>
        <v>Karl</v>
      </c>
    </row>
    <row r="807" spans="1:5" ht="15.75" customHeight="1">
      <c r="A807" s="9" t="s">
        <v>1615</v>
      </c>
      <c r="B807" s="9" t="s">
        <v>1616</v>
      </c>
      <c r="C807" t="str">
        <f t="shared" si="36"/>
        <v>Mr.</v>
      </c>
      <c r="D807" t="str">
        <f t="shared" si="37"/>
        <v>Fair,</v>
      </c>
      <c r="E807" t="str">
        <f t="shared" si="38"/>
        <v>ephen</v>
      </c>
    </row>
    <row r="808" spans="1:5" ht="15.75" customHeight="1">
      <c r="A808" s="9" t="s">
        <v>1617</v>
      </c>
      <c r="B808" s="9" t="s">
        <v>1618</v>
      </c>
      <c r="C808" t="str">
        <f t="shared" si="36"/>
        <v>n,</v>
      </c>
      <c r="D808" t="str">
        <f t="shared" si="37"/>
        <v>Swens</v>
      </c>
      <c r="E808" t="str">
        <f t="shared" si="38"/>
        <v>Will</v>
      </c>
    </row>
    <row r="809" spans="1:5" ht="15.75" customHeight="1">
      <c r="A809" s="9" t="s">
        <v>1619</v>
      </c>
      <c r="B809" s="9" t="s">
        <v>1620</v>
      </c>
      <c r="C809" t="str">
        <f t="shared" si="36"/>
        <v>s,</v>
      </c>
      <c r="D809" t="str">
        <f t="shared" si="37"/>
        <v>Reven</v>
      </c>
      <c r="E809" t="str">
        <f t="shared" si="38"/>
        <v>ley D</v>
      </c>
    </row>
    <row r="810" spans="1:5" ht="15.75" customHeight="1">
      <c r="A810" s="9" t="s">
        <v>1621</v>
      </c>
      <c r="B810" s="9" t="s">
        <v>1622</v>
      </c>
      <c r="C810" t="str">
        <f t="shared" si="36"/>
        <v>, M</v>
      </c>
      <c r="D810" t="str">
        <f t="shared" si="37"/>
        <v>Engne</v>
      </c>
      <c r="E810" t="str">
        <f t="shared" si="38"/>
        <v>Amy M</v>
      </c>
    </row>
    <row r="811" spans="1:5" ht="15.75" customHeight="1">
      <c r="A811" s="9" t="s">
        <v>1623</v>
      </c>
      <c r="B811" s="9" t="s">
        <v>1624</v>
      </c>
      <c r="C811" t="str">
        <f t="shared" si="36"/>
        <v>, M</v>
      </c>
      <c r="D811" t="str">
        <f t="shared" si="37"/>
        <v>Wilts</v>
      </c>
      <c r="E811" t="str">
        <f t="shared" si="38"/>
        <v>ew W.</v>
      </c>
    </row>
    <row r="812" spans="1:5" ht="15.75" customHeight="1">
      <c r="A812" s="9" t="s">
        <v>1625</v>
      </c>
      <c r="B812" s="9" t="s">
        <v>1626</v>
      </c>
      <c r="C812" t="str">
        <f t="shared" si="36"/>
        <v>dez</v>
      </c>
      <c r="D812" t="str">
        <f t="shared" si="37"/>
        <v>Ferna</v>
      </c>
      <c r="E812" t="str">
        <f t="shared" si="38"/>
        <v>Doug</v>
      </c>
    </row>
    <row r="813" spans="1:5" ht="15.75" customHeight="1">
      <c r="A813" s="9" t="s">
        <v>1627</v>
      </c>
      <c r="B813" s="9" t="s">
        <v>1628</v>
      </c>
      <c r="C813" t="str">
        <f t="shared" si="36"/>
        <v>s,</v>
      </c>
      <c r="D813" t="str">
        <f t="shared" si="37"/>
        <v>Edwar</v>
      </c>
      <c r="E813" t="str">
        <f t="shared" si="38"/>
        <v>Tom</v>
      </c>
    </row>
    <row r="814" spans="1:5" ht="15.75" customHeight="1">
      <c r="A814" s="9" t="s">
        <v>1629</v>
      </c>
      <c r="B814" s="9" t="s">
        <v>1630</v>
      </c>
      <c r="C814" t="str">
        <f t="shared" si="36"/>
        <v>, M</v>
      </c>
      <c r="D814" t="str">
        <f t="shared" si="37"/>
        <v>Pinne</v>
      </c>
      <c r="E814" t="str">
        <f t="shared" si="38"/>
        <v>athan</v>
      </c>
    </row>
    <row r="815" spans="1:5" ht="15.75" customHeight="1">
      <c r="A815" s="9" t="s">
        <v>1631</v>
      </c>
      <c r="B815" s="9" t="s">
        <v>1632</v>
      </c>
      <c r="C815" t="str">
        <f t="shared" si="36"/>
        <v>Mr.</v>
      </c>
      <c r="D815" t="str">
        <f t="shared" si="37"/>
        <v>Levy,</v>
      </c>
      <c r="E815" t="str">
        <f t="shared" si="38"/>
        <v>ne A.</v>
      </c>
    </row>
    <row r="816" spans="1:5" ht="15.75" customHeight="1">
      <c r="A816" s="9" t="s">
        <v>1633</v>
      </c>
      <c r="B816" s="9" t="s">
        <v>1634</v>
      </c>
      <c r="C816" t="str">
        <f t="shared" si="36"/>
        <v>, M</v>
      </c>
      <c r="D816" t="str">
        <f t="shared" si="37"/>
        <v>Taked</v>
      </c>
      <c r="E816" t="str">
        <f t="shared" si="38"/>
        <v>uyori</v>
      </c>
    </row>
    <row r="817" spans="1:5" ht="15.75" customHeight="1">
      <c r="A817" s="9" t="s">
        <v>1635</v>
      </c>
      <c r="B817" s="9" t="s">
        <v>1636</v>
      </c>
      <c r="C817" t="str">
        <f t="shared" si="36"/>
        <v>Mr</v>
      </c>
      <c r="D817" t="str">
        <f t="shared" si="37"/>
        <v>Burke</v>
      </c>
      <c r="E817" t="str">
        <f t="shared" si="38"/>
        <v>Rich</v>
      </c>
    </row>
    <row r="818" spans="1:5" ht="15.75" customHeight="1">
      <c r="A818" s="9" t="s">
        <v>1637</v>
      </c>
      <c r="B818" s="9" t="s">
        <v>1638</v>
      </c>
      <c r="C818" t="str">
        <f t="shared" si="36"/>
        <v>, M</v>
      </c>
      <c r="D818" t="str">
        <f t="shared" si="37"/>
        <v>Duart</v>
      </c>
      <c r="E818" t="str">
        <f t="shared" si="38"/>
        <v>cos S</v>
      </c>
    </row>
    <row r="819" spans="1:5" ht="15.75" customHeight="1">
      <c r="A819" s="9" t="s">
        <v>1639</v>
      </c>
      <c r="B819" s="9" t="s">
        <v>1640</v>
      </c>
      <c r="C819" t="str">
        <f t="shared" si="36"/>
        <v>Mr</v>
      </c>
      <c r="D819" t="str">
        <f t="shared" si="37"/>
        <v>Clark</v>
      </c>
      <c r="E819" t="str">
        <f t="shared" si="38"/>
        <v>Dave</v>
      </c>
    </row>
    <row r="820" spans="1:5" ht="15.75" customHeight="1">
      <c r="A820" s="9" t="s">
        <v>1641</v>
      </c>
      <c r="B820" s="9" t="s">
        <v>1642</v>
      </c>
      <c r="C820" t="str">
        <f t="shared" si="36"/>
        <v>Mr.</v>
      </c>
      <c r="D820" t="str">
        <f t="shared" si="37"/>
        <v>Nice,</v>
      </c>
      <c r="E820" t="str">
        <f t="shared" si="38"/>
        <v>Andy</v>
      </c>
    </row>
    <row r="821" spans="1:5" ht="15.75" customHeight="1">
      <c r="A821" s="9" t="s">
        <v>1643</v>
      </c>
      <c r="B821" s="9" t="s">
        <v>1644</v>
      </c>
      <c r="C821" t="str">
        <f t="shared" si="36"/>
        <v>r,</v>
      </c>
      <c r="D821" t="str">
        <f t="shared" si="37"/>
        <v>Windl</v>
      </c>
      <c r="E821" t="str">
        <f t="shared" si="38"/>
        <v>Mary</v>
      </c>
    </row>
    <row r="822" spans="1:5" ht="15.75" customHeight="1">
      <c r="A822" s="9" t="s">
        <v>1645</v>
      </c>
      <c r="B822" s="9" t="s">
        <v>1646</v>
      </c>
      <c r="C822" t="str">
        <f t="shared" si="36"/>
        <v>Mr</v>
      </c>
      <c r="D822" t="str">
        <f t="shared" si="37"/>
        <v>Jones</v>
      </c>
      <c r="E822" t="str">
        <f t="shared" si="38"/>
        <v>cus B</v>
      </c>
    </row>
    <row r="823" spans="1:5" ht="15.75" customHeight="1">
      <c r="A823" s="9" t="s">
        <v>1647</v>
      </c>
      <c r="B823" s="9" t="s">
        <v>1648</v>
      </c>
      <c r="C823" t="str">
        <f t="shared" si="36"/>
        <v>son</v>
      </c>
      <c r="D823" t="str">
        <f t="shared" si="37"/>
        <v>Steve</v>
      </c>
      <c r="E823" t="str">
        <f t="shared" si="38"/>
        <v>as K.</v>
      </c>
    </row>
    <row r="824" spans="1:5" ht="15.75" customHeight="1">
      <c r="A824" s="9" t="s">
        <v>1649</v>
      </c>
      <c r="B824" s="9" t="s">
        <v>1650</v>
      </c>
      <c r="C824" t="str">
        <f t="shared" si="36"/>
        <v>ey,</v>
      </c>
      <c r="D824" t="str">
        <f t="shared" si="37"/>
        <v>Humph</v>
      </c>
      <c r="E824" t="str">
        <f t="shared" si="38"/>
        <v>obert</v>
      </c>
    </row>
    <row r="825" spans="1:5" ht="15.75" customHeight="1">
      <c r="A825" s="9" t="s">
        <v>1651</v>
      </c>
      <c r="B825" s="9" t="s">
        <v>1652</v>
      </c>
      <c r="C825" t="str">
        <f t="shared" si="36"/>
        <v>, M</v>
      </c>
      <c r="D825" t="str">
        <f t="shared" si="37"/>
        <v>Nelso</v>
      </c>
      <c r="E825" t="str">
        <f t="shared" si="38"/>
        <v>Geoff</v>
      </c>
    </row>
    <row r="826" spans="1:5" ht="15.75" customHeight="1">
      <c r="A826" s="9" t="s">
        <v>1653</v>
      </c>
      <c r="B826" s="9" t="s">
        <v>1654</v>
      </c>
      <c r="C826" t="str">
        <f t="shared" si="36"/>
        <v>Mr</v>
      </c>
      <c r="D826" t="str">
        <f t="shared" si="37"/>
        <v>Payne</v>
      </c>
      <c r="E826" t="str">
        <f t="shared" si="38"/>
        <v>is J.</v>
      </c>
    </row>
    <row r="827" spans="1:5" ht="15.75" customHeight="1">
      <c r="A827" s="9" t="s">
        <v>1655</v>
      </c>
      <c r="B827" s="9" t="s">
        <v>1656</v>
      </c>
      <c r="C827" t="str">
        <f t="shared" si="36"/>
        <v>Ms</v>
      </c>
      <c r="D827" t="str">
        <f t="shared" si="37"/>
        <v>Hails</v>
      </c>
      <c r="E827" t="str">
        <f t="shared" si="38"/>
        <v>te A.</v>
      </c>
    </row>
    <row r="828" spans="1:5" ht="15.75" customHeight="1">
      <c r="A828" s="9" t="s">
        <v>1657</v>
      </c>
      <c r="B828" s="9" t="s">
        <v>1658</v>
      </c>
      <c r="C828" t="str">
        <f t="shared" si="36"/>
        <v>r,</v>
      </c>
      <c r="D828" t="str">
        <f t="shared" si="37"/>
        <v>Proct</v>
      </c>
      <c r="E828" t="str">
        <f t="shared" si="38"/>
        <v>Kelli</v>
      </c>
    </row>
    <row r="829" spans="1:5" ht="15.75" customHeight="1">
      <c r="A829" s="9" t="s">
        <v>1659</v>
      </c>
      <c r="B829" s="9" t="s">
        <v>1660</v>
      </c>
      <c r="C829" t="str">
        <f t="shared" si="36"/>
        <v>Mrs</v>
      </c>
      <c r="D829" t="str">
        <f t="shared" si="37"/>
        <v>Ryan,</v>
      </c>
      <c r="E829" t="str">
        <f t="shared" si="38"/>
        <v>gie M</v>
      </c>
    </row>
    <row r="830" spans="1:5" ht="15.75" customHeight="1">
      <c r="A830" s="9" t="s">
        <v>1661</v>
      </c>
      <c r="B830" s="9" t="s">
        <v>1662</v>
      </c>
      <c r="C830" t="str">
        <f t="shared" si="36"/>
        <v>, M</v>
      </c>
      <c r="D830" t="str">
        <f t="shared" si="37"/>
        <v>Watso</v>
      </c>
      <c r="E830" t="str">
        <f t="shared" si="38"/>
        <v>le L.</v>
      </c>
    </row>
    <row r="831" spans="1:5" ht="15.75" customHeight="1">
      <c r="A831" s="9" t="s">
        <v>1663</v>
      </c>
      <c r="B831" s="9" t="s">
        <v>1664</v>
      </c>
      <c r="C831" t="str">
        <f t="shared" si="36"/>
        <v>Mr</v>
      </c>
      <c r="D831" t="str">
        <f t="shared" si="37"/>
        <v>Gresh</v>
      </c>
      <c r="E831" t="str">
        <f t="shared" si="38"/>
        <v>ley K</v>
      </c>
    </row>
    <row r="832" spans="1:5" ht="15.75" customHeight="1">
      <c r="A832" s="9" t="s">
        <v>1665</v>
      </c>
      <c r="B832" s="9" t="s">
        <v>1666</v>
      </c>
      <c r="C832" t="str">
        <f t="shared" si="36"/>
        <v>Mr.</v>
      </c>
      <c r="D832" t="str">
        <f t="shared" si="37"/>
        <v>Anis,</v>
      </c>
      <c r="E832" t="str">
        <f t="shared" si="38"/>
        <v>chael</v>
      </c>
    </row>
    <row r="833" spans="1:5" ht="15.75" customHeight="1">
      <c r="A833" s="9" t="s">
        <v>1667</v>
      </c>
      <c r="B833" s="9" t="s">
        <v>1668</v>
      </c>
      <c r="C833" t="str">
        <f t="shared" si="36"/>
        <v>, M</v>
      </c>
      <c r="D833" t="str">
        <f t="shared" si="37"/>
        <v>Swart</v>
      </c>
      <c r="E833" t="str">
        <f t="shared" si="38"/>
        <v>an K.</v>
      </c>
    </row>
    <row r="834" spans="1:5" ht="15.75" customHeight="1">
      <c r="A834" s="9" t="s">
        <v>1669</v>
      </c>
      <c r="B834" s="9" t="s">
        <v>1670</v>
      </c>
      <c r="C834" t="str">
        <f t="shared" si="36"/>
        <v>eke</v>
      </c>
      <c r="D834" t="str">
        <f t="shared" si="37"/>
        <v>Schlu</v>
      </c>
      <c r="E834" t="str">
        <f t="shared" si="38"/>
        <v>hew J</v>
      </c>
    </row>
    <row r="835" spans="1:5" ht="15.75" customHeight="1">
      <c r="A835" s="9" t="s">
        <v>1671</v>
      </c>
      <c r="B835" s="9" t="s">
        <v>1672</v>
      </c>
      <c r="C835" t="str">
        <f t="shared" ref="C835:C898" si="39">MID(B835,7,3)</f>
        <v>are</v>
      </c>
      <c r="D835" t="str">
        <f t="shared" ref="D835:D898" si="40">LEFT(B835,5)</f>
        <v>Belle</v>
      </c>
      <c r="E835" t="str">
        <f t="shared" ref="E835:E898" si="41">RIGHT(B835,5)</f>
        <v>arine</v>
      </c>
    </row>
    <row r="836" spans="1:5" ht="15.75" customHeight="1">
      <c r="A836" s="9" t="s">
        <v>1673</v>
      </c>
      <c r="B836" s="9" t="s">
        <v>1674</v>
      </c>
      <c r="C836" t="str">
        <f t="shared" si="39"/>
        <v>, M</v>
      </c>
      <c r="D836" t="str">
        <f t="shared" si="40"/>
        <v>Vital</v>
      </c>
      <c r="E836" t="str">
        <f t="shared" si="41"/>
        <v>nia G</v>
      </c>
    </row>
    <row r="837" spans="1:5" ht="15.75" customHeight="1">
      <c r="A837" s="9" t="s">
        <v>1675</v>
      </c>
      <c r="B837" s="9" t="s">
        <v>1676</v>
      </c>
      <c r="C837" t="str">
        <f t="shared" si="39"/>
        <v>on,</v>
      </c>
      <c r="D837" t="str">
        <f t="shared" si="40"/>
        <v>Hamil</v>
      </c>
      <c r="E837" t="str">
        <f t="shared" si="41"/>
        <v>dra L</v>
      </c>
    </row>
    <row r="838" spans="1:5" ht="15.75" customHeight="1">
      <c r="A838" s="9" t="s">
        <v>1677</v>
      </c>
      <c r="B838" s="9" t="s">
        <v>1678</v>
      </c>
      <c r="C838" t="str">
        <f t="shared" si="39"/>
        <v>ll,</v>
      </c>
      <c r="D838" t="str">
        <f t="shared" si="40"/>
        <v>Marsh</v>
      </c>
      <c r="E838" t="str">
        <f t="shared" si="41"/>
        <v>Wendy</v>
      </c>
    </row>
    <row r="839" spans="1:5" ht="15.75" customHeight="1">
      <c r="A839" s="9" t="s">
        <v>1679</v>
      </c>
      <c r="B839" s="9" t="s">
        <v>1680</v>
      </c>
      <c r="C839" t="str">
        <f t="shared" si="39"/>
        <v>Mr.</v>
      </c>
      <c r="D839" t="str">
        <f t="shared" si="40"/>
        <v>Cale,</v>
      </c>
      <c r="E839" t="str">
        <f t="shared" si="41"/>
        <v>ric D</v>
      </c>
    </row>
    <row r="840" spans="1:5" ht="15.75" customHeight="1">
      <c r="A840" s="9" t="s">
        <v>1681</v>
      </c>
      <c r="B840" s="9" t="s">
        <v>1682</v>
      </c>
      <c r="C840" t="str">
        <f t="shared" si="39"/>
        <v>ay,</v>
      </c>
      <c r="D840" t="str">
        <f t="shared" si="40"/>
        <v>Pitta</v>
      </c>
      <c r="E840" t="str">
        <f t="shared" si="41"/>
        <v>abeth</v>
      </c>
    </row>
    <row r="841" spans="1:5" ht="15.75" customHeight="1">
      <c r="A841" s="9" t="s">
        <v>1683</v>
      </c>
      <c r="B841" s="9" t="s">
        <v>1684</v>
      </c>
      <c r="C841" t="str">
        <f t="shared" si="39"/>
        <v>Ms.</v>
      </c>
      <c r="D841" t="str">
        <f t="shared" si="40"/>
        <v>Bill,</v>
      </c>
      <c r="E841" t="str">
        <f t="shared" si="41"/>
        <v>ura F</v>
      </c>
    </row>
    <row r="842" spans="1:5" ht="15.75" customHeight="1">
      <c r="A842" s="9" t="s">
        <v>1685</v>
      </c>
      <c r="B842" s="9" t="s">
        <v>1686</v>
      </c>
      <c r="C842" t="str">
        <f t="shared" si="39"/>
        <v>, M</v>
      </c>
      <c r="D842" t="str">
        <f t="shared" si="40"/>
        <v>Antri</v>
      </c>
      <c r="E842" t="str">
        <f t="shared" si="41"/>
        <v>ia F.</v>
      </c>
    </row>
    <row r="843" spans="1:5" ht="15.75" customHeight="1">
      <c r="A843" s="9" t="s">
        <v>1687</v>
      </c>
      <c r="B843" s="9" t="s">
        <v>1688</v>
      </c>
      <c r="C843" t="str">
        <f t="shared" si="39"/>
        <v>tle</v>
      </c>
      <c r="D843" t="str">
        <f t="shared" si="40"/>
        <v>Dooli</v>
      </c>
      <c r="E843" t="str">
        <f t="shared" si="41"/>
        <v>my L.</v>
      </c>
    </row>
    <row r="844" spans="1:5" ht="15.75" customHeight="1">
      <c r="A844" s="9" t="s">
        <v>1689</v>
      </c>
      <c r="B844" s="9" t="s">
        <v>1690</v>
      </c>
      <c r="C844" t="str">
        <f t="shared" si="39"/>
        <v>n,</v>
      </c>
      <c r="D844" t="str">
        <f t="shared" si="40"/>
        <v>Ruhlm</v>
      </c>
      <c r="E844" t="str">
        <f t="shared" si="41"/>
        <v>tie J</v>
      </c>
    </row>
    <row r="845" spans="1:5" ht="15.75" customHeight="1">
      <c r="A845" s="9" t="s">
        <v>1691</v>
      </c>
      <c r="B845" s="9" t="s">
        <v>1692</v>
      </c>
      <c r="C845" t="str">
        <f t="shared" si="39"/>
        <v>on,</v>
      </c>
      <c r="D845" t="str">
        <f t="shared" si="40"/>
        <v>Ander</v>
      </c>
      <c r="E845" t="str">
        <f t="shared" si="41"/>
        <v>ra E.</v>
      </c>
    </row>
    <row r="846" spans="1:5" ht="15.75" customHeight="1">
      <c r="A846" s="9" t="s">
        <v>1693</v>
      </c>
      <c r="B846" s="9" t="s">
        <v>1694</v>
      </c>
      <c r="C846" t="str">
        <f t="shared" si="39"/>
        <v>ma,</v>
      </c>
      <c r="D846" t="str">
        <f t="shared" si="40"/>
        <v>Uchiy</v>
      </c>
      <c r="E846" t="str">
        <f t="shared" si="41"/>
        <v>ayumi</v>
      </c>
    </row>
    <row r="847" spans="1:5" ht="15.75" customHeight="1">
      <c r="A847" s="9" t="s">
        <v>1695</v>
      </c>
      <c r="B847" s="9" t="s">
        <v>1696</v>
      </c>
      <c r="C847" t="str">
        <f t="shared" si="39"/>
        <v>, M</v>
      </c>
      <c r="D847" t="str">
        <f t="shared" si="40"/>
        <v>Desot</v>
      </c>
      <c r="E847" t="str">
        <f t="shared" si="41"/>
        <v>nessa</v>
      </c>
    </row>
    <row r="848" spans="1:5" ht="15.75" customHeight="1">
      <c r="A848" s="9" t="s">
        <v>1697</v>
      </c>
      <c r="B848" s="9" t="s">
        <v>1698</v>
      </c>
      <c r="C848" t="str">
        <f t="shared" si="39"/>
        <v>s,</v>
      </c>
      <c r="D848" t="str">
        <f t="shared" si="40"/>
        <v>Edmon</v>
      </c>
      <c r="E848" t="str">
        <f t="shared" si="41"/>
        <v>ali N</v>
      </c>
    </row>
    <row r="849" spans="1:5" ht="15.75" customHeight="1">
      <c r="A849" s="9" t="s">
        <v>1699</v>
      </c>
      <c r="B849" s="9" t="s">
        <v>1700</v>
      </c>
      <c r="C849" t="str">
        <f t="shared" si="39"/>
        <v>Ms.</v>
      </c>
      <c r="D849" t="str">
        <f t="shared" si="40"/>
        <v>Otto,</v>
      </c>
      <c r="E849" t="str">
        <f t="shared" si="41"/>
        <v>Beth</v>
      </c>
    </row>
    <row r="850" spans="1:5" ht="15.75" customHeight="1">
      <c r="A850" s="9" t="s">
        <v>1701</v>
      </c>
      <c r="B850" s="9" t="s">
        <v>1702</v>
      </c>
      <c r="C850" t="str">
        <f t="shared" si="39"/>
        <v>Mr.</v>
      </c>
      <c r="D850" t="str">
        <f t="shared" si="40"/>
        <v>Kurt,</v>
      </c>
      <c r="E850" t="str">
        <f t="shared" si="41"/>
        <v>Alex</v>
      </c>
    </row>
    <row r="851" spans="1:5" ht="15.75" customHeight="1">
      <c r="A851" s="9" t="s">
        <v>1703</v>
      </c>
      <c r="B851" s="9" t="s">
        <v>1704</v>
      </c>
      <c r="C851" t="str">
        <f t="shared" si="39"/>
        <v>e,</v>
      </c>
      <c r="D851" t="str">
        <f t="shared" si="40"/>
        <v>Duhai</v>
      </c>
      <c r="E851" t="str">
        <f t="shared" si="41"/>
        <v>encer</v>
      </c>
    </row>
    <row r="852" spans="1:5" ht="15.75" customHeight="1">
      <c r="A852" s="9" t="s">
        <v>1705</v>
      </c>
      <c r="B852" s="9" t="s">
        <v>1706</v>
      </c>
      <c r="C852" t="str">
        <f t="shared" si="39"/>
        <v>Ms</v>
      </c>
      <c r="D852" t="str">
        <f t="shared" si="40"/>
        <v>Swann</v>
      </c>
      <c r="E852" t="str">
        <f t="shared" si="41"/>
        <v>ee W.</v>
      </c>
    </row>
    <row r="853" spans="1:5" ht="15.75" customHeight="1">
      <c r="A853" s="9" t="s">
        <v>1707</v>
      </c>
      <c r="B853" s="9" t="s">
        <v>1708</v>
      </c>
      <c r="C853" t="str">
        <f t="shared" si="39"/>
        <v>, M</v>
      </c>
      <c r="D853" t="str">
        <f t="shared" si="40"/>
        <v>Burto</v>
      </c>
      <c r="E853" t="str">
        <f t="shared" si="41"/>
        <v>Amy</v>
      </c>
    </row>
    <row r="854" spans="1:5" ht="15.75" customHeight="1">
      <c r="A854" s="9" t="s">
        <v>1709</v>
      </c>
      <c r="B854" s="9" t="s">
        <v>1710</v>
      </c>
      <c r="C854" t="str">
        <f t="shared" si="39"/>
        <v>i,</v>
      </c>
      <c r="D854" t="str">
        <f t="shared" si="40"/>
        <v>Ricar</v>
      </c>
      <c r="E854" t="str">
        <f t="shared" si="41"/>
        <v>oshua</v>
      </c>
    </row>
    <row r="855" spans="1:5" ht="15.75" customHeight="1">
      <c r="A855" s="9" t="s">
        <v>1711</v>
      </c>
      <c r="B855" s="9" t="s">
        <v>1712</v>
      </c>
      <c r="C855" t="str">
        <f t="shared" si="39"/>
        <v>, M</v>
      </c>
      <c r="D855" t="str">
        <f t="shared" si="40"/>
        <v>Josly</v>
      </c>
      <c r="E855" t="str">
        <f t="shared" si="41"/>
        <v>Fred</v>
      </c>
    </row>
    <row r="856" spans="1:5" ht="15.75" customHeight="1">
      <c r="A856" s="9" t="s">
        <v>1713</v>
      </c>
      <c r="B856" s="9" t="s">
        <v>1714</v>
      </c>
      <c r="C856" t="str">
        <f t="shared" si="39"/>
        <v>, M</v>
      </c>
      <c r="D856" t="str">
        <f t="shared" si="40"/>
        <v>Benni</v>
      </c>
      <c r="E856" t="str">
        <f t="shared" si="41"/>
        <v>eremy</v>
      </c>
    </row>
    <row r="857" spans="1:5" ht="15.75" customHeight="1">
      <c r="A857" s="9" t="s">
        <v>1715</v>
      </c>
      <c r="B857" s="9" t="s">
        <v>1716</v>
      </c>
      <c r="C857" t="str">
        <f t="shared" si="39"/>
        <v>e,</v>
      </c>
      <c r="D857" t="str">
        <f t="shared" si="40"/>
        <v>Kanya</v>
      </c>
      <c r="E857" t="str">
        <f t="shared" si="41"/>
        <v>k Sr.</v>
      </c>
    </row>
    <row r="858" spans="1:5" ht="15.75" customHeight="1">
      <c r="A858" s="9" t="s">
        <v>1717</v>
      </c>
      <c r="B858" s="9" t="s">
        <v>1718</v>
      </c>
      <c r="C858" t="str">
        <f t="shared" si="39"/>
        <v>en,</v>
      </c>
      <c r="D858" t="str">
        <f t="shared" si="40"/>
        <v>McFad</v>
      </c>
      <c r="E858" t="str">
        <f t="shared" si="41"/>
        <v>ly M.</v>
      </c>
    </row>
    <row r="859" spans="1:5" ht="15.75" customHeight="1">
      <c r="A859" s="9" t="s">
        <v>1719</v>
      </c>
      <c r="B859" s="9" t="s">
        <v>1720</v>
      </c>
      <c r="C859" t="str">
        <f t="shared" si="39"/>
        <v>ly,</v>
      </c>
      <c r="D859" t="str">
        <f t="shared" si="40"/>
        <v>Conno</v>
      </c>
      <c r="E859" t="str">
        <f t="shared" si="41"/>
        <v>erine</v>
      </c>
    </row>
    <row r="860" spans="1:5" ht="15.75" customHeight="1">
      <c r="A860" s="9" t="s">
        <v>1721</v>
      </c>
      <c r="B860" s="9" t="s">
        <v>1722</v>
      </c>
      <c r="C860" t="str">
        <f t="shared" si="39"/>
        <v>, M</v>
      </c>
      <c r="D860" t="str">
        <f t="shared" si="40"/>
        <v>Merin</v>
      </c>
      <c r="E860" t="str">
        <f t="shared" si="41"/>
        <v>ila L</v>
      </c>
    </row>
    <row r="861" spans="1:5" ht="15.75" customHeight="1">
      <c r="A861" s="9" t="s">
        <v>1723</v>
      </c>
      <c r="B861" s="9" t="s">
        <v>1724</v>
      </c>
      <c r="C861" t="str">
        <f t="shared" si="39"/>
        <v>Ms</v>
      </c>
      <c r="D861" t="str">
        <f t="shared" si="40"/>
        <v>Baird</v>
      </c>
      <c r="E861" t="str">
        <f t="shared" si="41"/>
        <v>nae E</v>
      </c>
    </row>
    <row r="862" spans="1:5" ht="15.75" customHeight="1">
      <c r="A862" s="9" t="s">
        <v>1725</v>
      </c>
      <c r="B862" s="9" t="s">
        <v>1726</v>
      </c>
      <c r="C862" t="str">
        <f t="shared" si="39"/>
        <v>lli</v>
      </c>
      <c r="D862" t="str">
        <f t="shared" si="40"/>
        <v>Locat</v>
      </c>
      <c r="E862" t="str">
        <f t="shared" si="41"/>
        <v>Alex</v>
      </c>
    </row>
    <row r="863" spans="1:5" ht="15.75" customHeight="1">
      <c r="A863" s="9" t="s">
        <v>1727</v>
      </c>
      <c r="B863" s="9" t="s">
        <v>1728</v>
      </c>
      <c r="C863" t="str">
        <f t="shared" si="39"/>
        <v>Ms</v>
      </c>
      <c r="D863" t="str">
        <f t="shared" si="40"/>
        <v>Brake</v>
      </c>
      <c r="E863" t="str">
        <f t="shared" si="41"/>
        <v>thryn</v>
      </c>
    </row>
    <row r="864" spans="1:5" ht="15.75" customHeight="1">
      <c r="A864" s="9" t="s">
        <v>1729</v>
      </c>
      <c r="B864" s="9" t="s">
        <v>1730</v>
      </c>
      <c r="C864" t="str">
        <f t="shared" si="39"/>
        <v>, M</v>
      </c>
      <c r="D864" t="str">
        <f t="shared" si="40"/>
        <v>Jacob</v>
      </c>
      <c r="E864" t="str">
        <f t="shared" si="41"/>
        <v>on L.</v>
      </c>
    </row>
    <row r="865" spans="1:5" ht="15.75" customHeight="1">
      <c r="A865" s="9" t="s">
        <v>1731</v>
      </c>
      <c r="B865" s="9" t="s">
        <v>1732</v>
      </c>
      <c r="C865" t="str">
        <f t="shared" si="39"/>
        <v>, M</v>
      </c>
      <c r="D865" t="str">
        <f t="shared" si="40"/>
        <v>Vaugh</v>
      </c>
      <c r="E865" t="str">
        <f t="shared" si="41"/>
        <v>in J.</v>
      </c>
    </row>
    <row r="866" spans="1:5" ht="15.75" customHeight="1">
      <c r="A866" s="9" t="s">
        <v>1733</v>
      </c>
      <c r="B866" s="9" t="s">
        <v>1734</v>
      </c>
      <c r="C866" t="str">
        <f t="shared" si="39"/>
        <v>eon</v>
      </c>
      <c r="D866" t="str">
        <f t="shared" si="40"/>
        <v>Monte</v>
      </c>
      <c r="E866" t="str">
        <f t="shared" si="41"/>
        <v>en M.</v>
      </c>
    </row>
    <row r="867" spans="1:5" ht="15.75" customHeight="1">
      <c r="A867" s="9" t="s">
        <v>1735</v>
      </c>
      <c r="B867" s="9" t="s">
        <v>1736</v>
      </c>
      <c r="C867" t="str">
        <f t="shared" si="39"/>
        <v>o,</v>
      </c>
      <c r="D867" t="str">
        <f t="shared" si="40"/>
        <v>Verdu</v>
      </c>
      <c r="E867" t="str">
        <f t="shared" si="41"/>
        <v>Erika</v>
      </c>
    </row>
    <row r="868" spans="1:5" ht="15.75" customHeight="1">
      <c r="A868" s="9" t="s">
        <v>1737</v>
      </c>
      <c r="B868" s="9" t="s">
        <v>1738</v>
      </c>
      <c r="C868" t="str">
        <f t="shared" si="39"/>
        <v>s,</v>
      </c>
      <c r="D868" t="str">
        <f t="shared" si="40"/>
        <v>Selle</v>
      </c>
      <c r="E868" t="str">
        <f t="shared" si="41"/>
        <v>Chad</v>
      </c>
    </row>
    <row r="869" spans="1:5" ht="15.75" customHeight="1">
      <c r="A869" s="9" t="s">
        <v>1739</v>
      </c>
      <c r="B869" s="9" t="s">
        <v>1740</v>
      </c>
      <c r="C869" t="str">
        <f t="shared" si="39"/>
        <v>, M</v>
      </c>
      <c r="D869" t="str">
        <f t="shared" si="40"/>
        <v>Bowma</v>
      </c>
      <c r="E869" t="str">
        <f t="shared" si="41"/>
        <v>Mark</v>
      </c>
    </row>
    <row r="870" spans="1:5" ht="15.75" customHeight="1">
      <c r="A870" s="9" t="s">
        <v>1741</v>
      </c>
      <c r="B870" s="9" t="s">
        <v>1742</v>
      </c>
      <c r="C870" t="str">
        <f t="shared" si="39"/>
        <v>, M</v>
      </c>
      <c r="D870" t="str">
        <f t="shared" si="40"/>
        <v>Marle</v>
      </c>
      <c r="E870" t="str">
        <f t="shared" si="41"/>
        <v>David</v>
      </c>
    </row>
    <row r="871" spans="1:5" ht="15.75" customHeight="1">
      <c r="A871" s="9" t="s">
        <v>1743</v>
      </c>
      <c r="B871" s="9" t="s">
        <v>1744</v>
      </c>
      <c r="C871" t="str">
        <f t="shared" si="39"/>
        <v>Mr.</v>
      </c>
      <c r="D871" t="str">
        <f t="shared" si="40"/>
        <v>Grey,</v>
      </c>
      <c r="E871" t="str">
        <f t="shared" si="41"/>
        <v>hew R</v>
      </c>
    </row>
    <row r="872" spans="1:5" ht="15.75" customHeight="1">
      <c r="A872" s="9" t="s">
        <v>1745</v>
      </c>
      <c r="B872" s="9" t="s">
        <v>1746</v>
      </c>
      <c r="C872" t="str">
        <f t="shared" si="39"/>
        <v>ke,</v>
      </c>
      <c r="D872" t="str">
        <f t="shared" si="40"/>
        <v>O'Rou</v>
      </c>
      <c r="E872" t="str">
        <f t="shared" si="41"/>
        <v>Orla</v>
      </c>
    </row>
    <row r="873" spans="1:5" ht="15.75" customHeight="1">
      <c r="A873" s="9" t="s">
        <v>1747</v>
      </c>
      <c r="B873" s="9" t="s">
        <v>1748</v>
      </c>
      <c r="C873" t="str">
        <f t="shared" si="39"/>
        <v>li,</v>
      </c>
      <c r="D873" t="str">
        <f t="shared" si="40"/>
        <v>Fateh</v>
      </c>
      <c r="E873" t="str">
        <f t="shared" si="41"/>
        <v>sta S</v>
      </c>
    </row>
    <row r="874" spans="1:5" ht="15.75" customHeight="1">
      <c r="A874" s="9" t="s">
        <v>1749</v>
      </c>
      <c r="B874" s="9" t="s">
        <v>1750</v>
      </c>
      <c r="C874" t="str">
        <f t="shared" si="39"/>
        <v>ayl</v>
      </c>
      <c r="D874" t="str">
        <f t="shared" si="40"/>
        <v>Piza-</v>
      </c>
      <c r="E874" t="str">
        <f t="shared" si="41"/>
        <v>Emily</v>
      </c>
    </row>
    <row r="875" spans="1:5" ht="15.75" customHeight="1">
      <c r="A875" s="9" t="s">
        <v>1751</v>
      </c>
      <c r="B875" s="9" t="s">
        <v>1752</v>
      </c>
      <c r="C875" t="str">
        <f t="shared" si="39"/>
        <v>ugh</v>
      </c>
      <c r="D875" t="str">
        <f t="shared" si="40"/>
        <v>Cavan</v>
      </c>
      <c r="E875" t="str">
        <f t="shared" si="41"/>
        <v>ie A.</v>
      </c>
    </row>
    <row r="876" spans="1:5" ht="15.75" customHeight="1">
      <c r="A876" s="9" t="s">
        <v>1753</v>
      </c>
      <c r="B876" s="9" t="s">
        <v>1754</v>
      </c>
      <c r="C876" t="str">
        <f t="shared" si="39"/>
        <v>Ms</v>
      </c>
      <c r="D876" t="str">
        <f t="shared" si="40"/>
        <v>Amako</v>
      </c>
      <c r="E876" t="str">
        <f t="shared" si="41"/>
        <v>egumi</v>
      </c>
    </row>
    <row r="877" spans="1:5" ht="15.75" customHeight="1">
      <c r="A877" s="9" t="s">
        <v>1755</v>
      </c>
      <c r="B877" s="9" t="s">
        <v>1756</v>
      </c>
      <c r="C877" t="str">
        <f t="shared" si="39"/>
        <v>Ms.</v>
      </c>
      <c r="D877" t="str">
        <f t="shared" si="40"/>
        <v>Musa,</v>
      </c>
      <c r="E877" t="str">
        <f t="shared" si="41"/>
        <v>kylar</v>
      </c>
    </row>
    <row r="878" spans="1:5" ht="15.75" customHeight="1">
      <c r="A878" s="9" t="s">
        <v>1757</v>
      </c>
      <c r="B878" s="9" t="s">
        <v>1758</v>
      </c>
      <c r="C878" t="str">
        <f t="shared" si="39"/>
        <v>ppi</v>
      </c>
      <c r="D878" t="str">
        <f t="shared" si="40"/>
        <v>Phill</v>
      </c>
      <c r="E878" t="str">
        <f t="shared" si="41"/>
        <v>toria</v>
      </c>
    </row>
    <row r="879" spans="1:5" ht="15.75" customHeight="1">
      <c r="A879" s="9" t="s">
        <v>1759</v>
      </c>
      <c r="B879" s="9" t="s">
        <v>1760</v>
      </c>
      <c r="C879" t="str">
        <f t="shared" si="39"/>
        <v>s,</v>
      </c>
      <c r="D879" t="str">
        <f t="shared" si="40"/>
        <v>Hoski</v>
      </c>
      <c r="E879" t="str">
        <f t="shared" si="41"/>
        <v>nda L</v>
      </c>
    </row>
    <row r="880" spans="1:5" ht="15.75" customHeight="1">
      <c r="A880" s="9" t="s">
        <v>1761</v>
      </c>
      <c r="B880" s="9" t="s">
        <v>1762</v>
      </c>
      <c r="C880" t="str">
        <f t="shared" si="39"/>
        <v>ano</v>
      </c>
      <c r="D880" t="str">
        <f t="shared" si="40"/>
        <v>Imbal</v>
      </c>
      <c r="E880" t="str">
        <f t="shared" si="41"/>
        <v>Renee</v>
      </c>
    </row>
    <row r="881" spans="1:5" ht="15.75" customHeight="1">
      <c r="A881" s="9" t="s">
        <v>1763</v>
      </c>
      <c r="B881" s="9" t="s">
        <v>1764</v>
      </c>
      <c r="C881" t="str">
        <f t="shared" si="39"/>
        <v>an,</v>
      </c>
      <c r="D881" t="str">
        <f t="shared" si="40"/>
        <v>Tried</v>
      </c>
      <c r="E881" t="str">
        <f t="shared" si="41"/>
        <v>ie A.</v>
      </c>
    </row>
    <row r="882" spans="1:5" ht="15.75" customHeight="1">
      <c r="A882" s="9" t="s">
        <v>1765</v>
      </c>
      <c r="B882" s="9" t="s">
        <v>1766</v>
      </c>
      <c r="C882" t="str">
        <f t="shared" si="39"/>
        <v>o,</v>
      </c>
      <c r="D882" t="str">
        <f t="shared" si="40"/>
        <v>Lovuo</v>
      </c>
      <c r="E882" t="str">
        <f t="shared" si="41"/>
        <v>amara</v>
      </c>
    </row>
    <row r="883" spans="1:5" ht="15.75" customHeight="1">
      <c r="A883" s="9" t="s">
        <v>1767</v>
      </c>
      <c r="B883" s="9" t="s">
        <v>1768</v>
      </c>
      <c r="C883" t="str">
        <f t="shared" si="39"/>
        <v>Ms</v>
      </c>
      <c r="D883" t="str">
        <f t="shared" si="40"/>
        <v>Chung</v>
      </c>
      <c r="E883" t="str">
        <f t="shared" si="41"/>
        <v>Joan</v>
      </c>
    </row>
    <row r="884" spans="1:5" ht="15.75" customHeight="1">
      <c r="A884" s="9" t="s">
        <v>1769</v>
      </c>
      <c r="B884" s="9" t="s">
        <v>1770</v>
      </c>
      <c r="C884" t="str">
        <f t="shared" si="39"/>
        <v>, M</v>
      </c>
      <c r="D884" t="str">
        <f t="shared" si="40"/>
        <v>Newso</v>
      </c>
      <c r="E884" t="str">
        <f t="shared" si="41"/>
        <v>ee J.</v>
      </c>
    </row>
    <row r="885" spans="1:5" ht="15.75" customHeight="1">
      <c r="A885" s="9" t="s">
        <v>1771</v>
      </c>
      <c r="B885" s="9" t="s">
        <v>1772</v>
      </c>
      <c r="C885" t="str">
        <f t="shared" si="39"/>
        <v>gto</v>
      </c>
      <c r="D885" t="str">
        <f t="shared" si="40"/>
        <v>Harri</v>
      </c>
      <c r="E885" t="str">
        <f t="shared" si="41"/>
        <v>zanne</v>
      </c>
    </row>
    <row r="886" spans="1:5" ht="15.75" customHeight="1">
      <c r="A886" s="9" t="s">
        <v>1773</v>
      </c>
      <c r="B886" s="9" t="s">
        <v>1774</v>
      </c>
      <c r="C886" t="str">
        <f t="shared" si="39"/>
        <v>n,</v>
      </c>
      <c r="D886" t="str">
        <f t="shared" si="40"/>
        <v>Hoffm</v>
      </c>
      <c r="E886" t="str">
        <f t="shared" si="41"/>
        <v>in A.</v>
      </c>
    </row>
    <row r="887" spans="1:5" ht="15.75" customHeight="1">
      <c r="A887" s="9" t="s">
        <v>1775</v>
      </c>
      <c r="B887" s="9" t="s">
        <v>1776</v>
      </c>
      <c r="C887" t="str">
        <f t="shared" si="39"/>
        <v>gt,</v>
      </c>
      <c r="D887" t="str">
        <f t="shared" si="40"/>
        <v>Van V</v>
      </c>
      <c r="E887" t="str">
        <f t="shared" si="41"/>
        <v>onwyn</v>
      </c>
    </row>
    <row r="888" spans="1:5" ht="15.75" customHeight="1">
      <c r="A888" s="9" t="s">
        <v>1777</v>
      </c>
      <c r="B888" s="9" t="s">
        <v>1778</v>
      </c>
      <c r="C888" t="str">
        <f t="shared" si="39"/>
        <v>y,</v>
      </c>
      <c r="D888" t="str">
        <f t="shared" si="40"/>
        <v>Feehl</v>
      </c>
      <c r="E888" t="str">
        <f t="shared" si="41"/>
        <v>lor J</v>
      </c>
    </row>
    <row r="889" spans="1:5" ht="15.75" customHeight="1">
      <c r="A889" s="9" t="s">
        <v>1779</v>
      </c>
      <c r="B889" s="9" t="s">
        <v>1780</v>
      </c>
      <c r="C889" t="str">
        <f t="shared" si="39"/>
        <v>th,</v>
      </c>
      <c r="D889" t="str">
        <f t="shared" si="40"/>
        <v>Ashwo</v>
      </c>
      <c r="E889" t="str">
        <f t="shared" si="41"/>
        <v>ly M.</v>
      </c>
    </row>
    <row r="890" spans="1:5" ht="15.75" customHeight="1">
      <c r="A890" s="9" t="s">
        <v>1781</v>
      </c>
      <c r="B890" s="9" t="s">
        <v>1782</v>
      </c>
      <c r="C890" t="str">
        <f t="shared" si="39"/>
        <v>, M</v>
      </c>
      <c r="D890" t="str">
        <f t="shared" si="40"/>
        <v>Hanse</v>
      </c>
      <c r="E890" t="str">
        <f t="shared" si="41"/>
        <v>ua E.</v>
      </c>
    </row>
    <row r="891" spans="1:5" ht="15.75" customHeight="1">
      <c r="A891" s="9" t="s">
        <v>1783</v>
      </c>
      <c r="B891" s="9" t="s">
        <v>1784</v>
      </c>
      <c r="C891" t="str">
        <f t="shared" si="39"/>
        <v>Mr.</v>
      </c>
      <c r="D891" t="str">
        <f t="shared" si="40"/>
        <v>Czyz,</v>
      </c>
      <c r="E891" t="str">
        <f t="shared" si="41"/>
        <v>ffrey</v>
      </c>
    </row>
    <row r="892" spans="1:5" ht="15.75" customHeight="1">
      <c r="A892" s="9" t="s">
        <v>1785</v>
      </c>
      <c r="B892" s="9" t="s">
        <v>1786</v>
      </c>
      <c r="C892" t="str">
        <f t="shared" si="39"/>
        <v>, M</v>
      </c>
      <c r="D892" t="str">
        <f t="shared" si="40"/>
        <v>Baude</v>
      </c>
      <c r="E892" t="str">
        <f t="shared" si="41"/>
        <v>rew R</v>
      </c>
    </row>
    <row r="893" spans="1:5" ht="15.75" customHeight="1">
      <c r="A893" s="9" t="s">
        <v>1787</v>
      </c>
      <c r="B893" s="9" t="s">
        <v>1788</v>
      </c>
      <c r="C893" t="str">
        <f t="shared" si="39"/>
        <v>a,</v>
      </c>
      <c r="D893" t="str">
        <f t="shared" si="40"/>
        <v>Mendo</v>
      </c>
      <c r="E893" t="str">
        <f t="shared" si="41"/>
        <v>. Sr.</v>
      </c>
    </row>
    <row r="894" spans="1:5" ht="15.75" customHeight="1">
      <c r="A894" s="9" t="s">
        <v>1789</v>
      </c>
      <c r="B894" s="9" t="s">
        <v>1790</v>
      </c>
      <c r="C894" t="str">
        <f t="shared" si="39"/>
        <v>Mr</v>
      </c>
      <c r="D894" t="str">
        <f t="shared" si="40"/>
        <v>Glass</v>
      </c>
      <c r="E894" t="str">
        <f t="shared" si="41"/>
        <v>honda</v>
      </c>
    </row>
    <row r="895" spans="1:5" ht="15.75" customHeight="1">
      <c r="A895" s="9" t="s">
        <v>1791</v>
      </c>
      <c r="B895" s="9" t="s">
        <v>1792</v>
      </c>
      <c r="C895" t="str">
        <f t="shared" si="39"/>
        <v>r,</v>
      </c>
      <c r="D895" t="str">
        <f t="shared" si="40"/>
        <v>Butch</v>
      </c>
      <c r="E895" t="str">
        <f t="shared" si="41"/>
        <v>John</v>
      </c>
    </row>
    <row r="896" spans="1:5" ht="15.75" customHeight="1">
      <c r="A896" s="9" t="s">
        <v>1793</v>
      </c>
      <c r="B896" s="9" t="s">
        <v>1794</v>
      </c>
      <c r="C896" t="str">
        <f t="shared" si="39"/>
        <v>r,</v>
      </c>
      <c r="D896" t="str">
        <f t="shared" si="40"/>
        <v>Trais</v>
      </c>
      <c r="E896" t="str">
        <f t="shared" si="41"/>
        <v>es J.</v>
      </c>
    </row>
    <row r="897" spans="1:5" ht="15.75" customHeight="1">
      <c r="A897" s="9" t="s">
        <v>1795</v>
      </c>
      <c r="B897" s="9" t="s">
        <v>1796</v>
      </c>
      <c r="C897" t="str">
        <f t="shared" si="39"/>
        <v>ade</v>
      </c>
      <c r="D897" t="str">
        <f t="shared" si="40"/>
        <v>Mudy-</v>
      </c>
      <c r="E897" t="str">
        <f t="shared" si="41"/>
        <v>na I.</v>
      </c>
    </row>
    <row r="898" spans="1:5" ht="15.75" customHeight="1">
      <c r="A898" s="9" t="s">
        <v>1797</v>
      </c>
      <c r="B898" s="9" t="s">
        <v>1798</v>
      </c>
      <c r="C898" t="str">
        <f t="shared" si="39"/>
        <v>, M</v>
      </c>
      <c r="D898" t="str">
        <f t="shared" si="40"/>
        <v>Roger</v>
      </c>
      <c r="E898" t="str">
        <f t="shared" si="41"/>
        <v>cille</v>
      </c>
    </row>
    <row r="899" spans="1:5" ht="15.75" customHeight="1">
      <c r="A899" s="9" t="s">
        <v>1799</v>
      </c>
      <c r="B899" s="9" t="s">
        <v>1800</v>
      </c>
      <c r="C899" t="str">
        <f t="shared" ref="C899:C962" si="42">MID(B899,7,3)</f>
        <v>s.</v>
      </c>
      <c r="D899" t="str">
        <f t="shared" ref="D899:D962" si="43">LEFT(B899,5)</f>
        <v>Woo,</v>
      </c>
      <c r="E899" t="str">
        <f t="shared" ref="E899:E962" si="44">RIGHT(B899,5)</f>
        <v>April</v>
      </c>
    </row>
    <row r="900" spans="1:5" ht="15.75" customHeight="1">
      <c r="A900" s="9" t="s">
        <v>1801</v>
      </c>
      <c r="B900" s="9" t="s">
        <v>1802</v>
      </c>
      <c r="C900" t="str">
        <f t="shared" si="42"/>
        <v>Mr</v>
      </c>
      <c r="D900" t="str">
        <f t="shared" si="43"/>
        <v>Walsh</v>
      </c>
      <c r="E900" t="str">
        <f t="shared" si="44"/>
        <v>obert</v>
      </c>
    </row>
    <row r="901" spans="1:5" ht="15.75" customHeight="1">
      <c r="A901" s="9" t="s">
        <v>1803</v>
      </c>
      <c r="B901" s="9" t="s">
        <v>1804</v>
      </c>
      <c r="C901" t="str">
        <f t="shared" si="42"/>
        <v>Mr</v>
      </c>
      <c r="D901" t="str">
        <f t="shared" si="43"/>
        <v>White</v>
      </c>
      <c r="E901" t="str">
        <f t="shared" si="44"/>
        <v>lyssa</v>
      </c>
    </row>
    <row r="902" spans="1:5" ht="15.75" customHeight="1">
      <c r="A902" s="9" t="s">
        <v>1805</v>
      </c>
      <c r="B902" s="9" t="s">
        <v>1806</v>
      </c>
      <c r="C902" t="str">
        <f t="shared" si="42"/>
        <v>rd,</v>
      </c>
      <c r="D902" t="str">
        <f t="shared" si="43"/>
        <v>Shepp</v>
      </c>
      <c r="E902" t="str">
        <f t="shared" si="44"/>
        <v>ca E.</v>
      </c>
    </row>
    <row r="903" spans="1:5" ht="15.75" customHeight="1">
      <c r="A903" s="9" t="s">
        <v>1807</v>
      </c>
      <c r="B903" s="9" t="s">
        <v>1808</v>
      </c>
      <c r="C903" t="str">
        <f t="shared" si="42"/>
        <v>Mr</v>
      </c>
      <c r="D903" t="str">
        <f t="shared" si="43"/>
        <v>Doran</v>
      </c>
      <c r="E903" t="str">
        <f t="shared" si="44"/>
        <v>ck J.</v>
      </c>
    </row>
    <row r="904" spans="1:5" ht="15.75" customHeight="1">
      <c r="A904" s="9" t="s">
        <v>1809</v>
      </c>
      <c r="B904" s="9" t="s">
        <v>1810</v>
      </c>
      <c r="C904" t="str">
        <f t="shared" si="42"/>
        <v>se,</v>
      </c>
      <c r="D904" t="str">
        <f t="shared" si="43"/>
        <v>Labro</v>
      </c>
      <c r="E904" t="str">
        <f t="shared" si="44"/>
        <v>milie</v>
      </c>
    </row>
    <row r="905" spans="1:5" ht="15.75" customHeight="1">
      <c r="A905" s="9" t="s">
        <v>1811</v>
      </c>
      <c r="B905" s="9" t="s">
        <v>1812</v>
      </c>
      <c r="C905" t="str">
        <f t="shared" si="42"/>
        <v>, M</v>
      </c>
      <c r="D905" t="str">
        <f t="shared" si="43"/>
        <v>Thoma</v>
      </c>
      <c r="E905" t="str">
        <f t="shared" si="44"/>
        <v>in B.</v>
      </c>
    </row>
    <row r="906" spans="1:5" ht="15.75" customHeight="1">
      <c r="A906" s="9" t="s">
        <v>1813</v>
      </c>
      <c r="B906" s="9" t="s">
        <v>1814</v>
      </c>
      <c r="C906" t="str">
        <f t="shared" si="42"/>
        <v>k,</v>
      </c>
      <c r="D906" t="str">
        <f t="shared" si="43"/>
        <v>Lesni</v>
      </c>
      <c r="E906" t="str">
        <f t="shared" si="44"/>
        <v>eph W</v>
      </c>
    </row>
    <row r="907" spans="1:5" ht="15.75" customHeight="1">
      <c r="A907" s="9" t="s">
        <v>1815</v>
      </c>
      <c r="B907" s="9" t="s">
        <v>1816</v>
      </c>
      <c r="C907" t="str">
        <f t="shared" si="42"/>
        <v>, M</v>
      </c>
      <c r="D907" t="str">
        <f t="shared" si="43"/>
        <v>Prows</v>
      </c>
      <c r="E907" t="str">
        <f t="shared" si="44"/>
        <v>Wendy</v>
      </c>
    </row>
    <row r="908" spans="1:5" ht="15.75" customHeight="1">
      <c r="A908" s="9" t="s">
        <v>1817</v>
      </c>
      <c r="B908" s="9" t="s">
        <v>1818</v>
      </c>
      <c r="C908" t="str">
        <f t="shared" si="42"/>
        <v>, M</v>
      </c>
      <c r="D908" t="str">
        <f t="shared" si="43"/>
        <v>Seige</v>
      </c>
      <c r="E908" t="str">
        <f t="shared" si="44"/>
        <v>ah L.</v>
      </c>
    </row>
    <row r="909" spans="1:5" ht="15.75" customHeight="1">
      <c r="A909" s="9" t="s">
        <v>1819</v>
      </c>
      <c r="B909" s="9" t="s">
        <v>1820</v>
      </c>
      <c r="C909" t="str">
        <f t="shared" si="42"/>
        <v>Mr.</v>
      </c>
      <c r="D909" t="str">
        <f t="shared" si="43"/>
        <v>Blas,</v>
      </c>
      <c r="E909" t="str">
        <f t="shared" si="44"/>
        <v>ne L.</v>
      </c>
    </row>
    <row r="910" spans="1:5" ht="15.75" customHeight="1">
      <c r="A910" s="9" t="s">
        <v>1821</v>
      </c>
      <c r="B910" s="9" t="s">
        <v>1822</v>
      </c>
      <c r="C910" t="str">
        <f t="shared" si="42"/>
        <v>n,</v>
      </c>
      <c r="D910" t="str">
        <f t="shared" si="43"/>
        <v>Simps</v>
      </c>
      <c r="E910" t="str">
        <f t="shared" si="44"/>
        <v>on M.</v>
      </c>
    </row>
    <row r="911" spans="1:5" ht="15.75" customHeight="1">
      <c r="A911" s="9" t="s">
        <v>1823</v>
      </c>
      <c r="B911" s="9" t="s">
        <v>1824</v>
      </c>
      <c r="C911" t="str">
        <f t="shared" si="42"/>
        <v>n,</v>
      </c>
      <c r="D911" t="str">
        <f t="shared" si="43"/>
        <v>Gierm</v>
      </c>
      <c r="E911" t="str">
        <f t="shared" si="44"/>
        <v>loris</v>
      </c>
    </row>
    <row r="912" spans="1:5" ht="15.75" customHeight="1">
      <c r="A912" s="9" t="s">
        <v>1825</v>
      </c>
      <c r="B912" s="9" t="s">
        <v>1826</v>
      </c>
      <c r="C912" t="str">
        <f t="shared" si="42"/>
        <v>d,</v>
      </c>
      <c r="D912" t="str">
        <f t="shared" si="43"/>
        <v>Jeula</v>
      </c>
      <c r="E912" t="str">
        <f t="shared" si="44"/>
        <v>Marc</v>
      </c>
    </row>
    <row r="913" spans="1:5" ht="15.75" customHeight="1">
      <c r="A913" s="9" t="s">
        <v>1827</v>
      </c>
      <c r="B913" s="9" t="s">
        <v>1828</v>
      </c>
      <c r="C913" t="str">
        <f t="shared" si="42"/>
        <v>y,</v>
      </c>
      <c r="D913" t="str">
        <f t="shared" si="43"/>
        <v>Chorn</v>
      </c>
      <c r="E913" t="str">
        <f t="shared" si="44"/>
        <v>opher</v>
      </c>
    </row>
    <row r="914" spans="1:5" ht="15.75" customHeight="1">
      <c r="A914" s="9" t="s">
        <v>1829</v>
      </c>
      <c r="B914" s="9" t="s">
        <v>1830</v>
      </c>
      <c r="C914" t="str">
        <f t="shared" si="42"/>
        <v>Mr.</v>
      </c>
      <c r="D914" t="str">
        <f t="shared" si="43"/>
        <v>Rook,</v>
      </c>
      <c r="E914" t="str">
        <f t="shared" si="44"/>
        <v>Kevin</v>
      </c>
    </row>
    <row r="915" spans="1:5" ht="15.75" customHeight="1">
      <c r="A915" s="9" t="s">
        <v>1831</v>
      </c>
      <c r="B915" s="9" t="s">
        <v>1832</v>
      </c>
      <c r="C915" t="str">
        <f t="shared" si="42"/>
        <v>, M</v>
      </c>
      <c r="D915" t="str">
        <f t="shared" si="43"/>
        <v>Wrigh</v>
      </c>
      <c r="E915" t="str">
        <f t="shared" si="44"/>
        <v>ron N</v>
      </c>
    </row>
    <row r="916" spans="1:5" ht="15.75" customHeight="1">
      <c r="A916" s="9" t="s">
        <v>1833</v>
      </c>
      <c r="B916" s="9" t="s">
        <v>1834</v>
      </c>
      <c r="C916" t="str">
        <f t="shared" si="42"/>
        <v>Mr.</v>
      </c>
      <c r="D916" t="str">
        <f t="shared" si="43"/>
        <v>Chin,</v>
      </c>
      <c r="E916" t="str">
        <f t="shared" si="44"/>
        <v>ce D.</v>
      </c>
    </row>
    <row r="917" spans="1:5" ht="15.75" customHeight="1">
      <c r="A917" s="9" t="s">
        <v>1835</v>
      </c>
      <c r="B917" s="9" t="s">
        <v>1836</v>
      </c>
      <c r="C917" t="str">
        <f t="shared" si="42"/>
        <v>Mr</v>
      </c>
      <c r="D917" t="str">
        <f t="shared" si="43"/>
        <v>White</v>
      </c>
      <c r="E917" t="str">
        <f t="shared" si="44"/>
        <v>lcolm</v>
      </c>
    </row>
    <row r="918" spans="1:5" ht="15.75" customHeight="1">
      <c r="A918" s="9" t="s">
        <v>1837</v>
      </c>
      <c r="B918" s="9" t="s">
        <v>1838</v>
      </c>
      <c r="C918" t="str">
        <f t="shared" si="42"/>
        <v>, M</v>
      </c>
      <c r="D918" t="str">
        <f t="shared" si="43"/>
        <v>Savag</v>
      </c>
      <c r="E918" t="str">
        <f t="shared" si="44"/>
        <v>na E.</v>
      </c>
    </row>
    <row r="919" spans="1:5" ht="15.75" customHeight="1">
      <c r="A919" s="9" t="s">
        <v>1839</v>
      </c>
      <c r="B919" s="9" t="s">
        <v>1840</v>
      </c>
      <c r="C919" t="str">
        <f t="shared" si="42"/>
        <v>ngs</v>
      </c>
      <c r="D919" t="str">
        <f t="shared" si="43"/>
        <v>Hitch</v>
      </c>
      <c r="E919" t="str">
        <f t="shared" si="44"/>
        <v>Jenny</v>
      </c>
    </row>
    <row r="920" spans="1:5" ht="15.75" customHeight="1">
      <c r="A920" s="9" t="s">
        <v>1841</v>
      </c>
      <c r="B920" s="9" t="s">
        <v>1842</v>
      </c>
      <c r="C920" t="str">
        <f t="shared" si="42"/>
        <v>, M</v>
      </c>
      <c r="D920" t="str">
        <f t="shared" si="43"/>
        <v>Truit</v>
      </c>
      <c r="E920" t="str">
        <f t="shared" si="44"/>
        <v>ssa L</v>
      </c>
    </row>
    <row r="921" spans="1:5" ht="15.75" customHeight="1">
      <c r="A921" s="9" t="s">
        <v>1843</v>
      </c>
      <c r="B921" s="9" t="s">
        <v>1844</v>
      </c>
      <c r="C921" t="str">
        <f t="shared" si="42"/>
        <v>Ms</v>
      </c>
      <c r="D921" t="str">
        <f t="shared" si="43"/>
        <v>Chang</v>
      </c>
      <c r="E921" t="str">
        <f t="shared" si="44"/>
        <v>ia J.</v>
      </c>
    </row>
    <row r="922" spans="1:5" ht="15.75" customHeight="1">
      <c r="A922" s="9" t="s">
        <v>1845</v>
      </c>
      <c r="B922" s="9" t="s">
        <v>1846</v>
      </c>
      <c r="C922" t="str">
        <f t="shared" si="42"/>
        <v>Ms.</v>
      </c>
      <c r="D922" t="str">
        <f t="shared" si="43"/>
        <v>Frey,</v>
      </c>
      <c r="E922" t="str">
        <f t="shared" si="44"/>
        <v>ura A</v>
      </c>
    </row>
    <row r="923" spans="1:5" ht="15.75" customHeight="1">
      <c r="A923" s="9" t="s">
        <v>1847</v>
      </c>
      <c r="B923" s="9" t="s">
        <v>1848</v>
      </c>
      <c r="C923" t="str">
        <f t="shared" si="42"/>
        <v>a,</v>
      </c>
      <c r="D923" t="str">
        <f t="shared" si="43"/>
        <v>Krish</v>
      </c>
      <c r="E923" t="str">
        <f t="shared" si="44"/>
        <v>Aditi</v>
      </c>
    </row>
    <row r="924" spans="1:5" ht="15.75" customHeight="1">
      <c r="A924" s="9" t="s">
        <v>1849</v>
      </c>
      <c r="B924" s="9" t="s">
        <v>1850</v>
      </c>
      <c r="C924" t="str">
        <f t="shared" si="42"/>
        <v>Ms</v>
      </c>
      <c r="D924" t="str">
        <f t="shared" si="43"/>
        <v>Maher</v>
      </c>
      <c r="E924" t="str">
        <f t="shared" si="44"/>
        <v>ah A.</v>
      </c>
    </row>
    <row r="925" spans="1:5" ht="15.75" customHeight="1">
      <c r="A925" s="9" t="s">
        <v>1851</v>
      </c>
      <c r="B925" s="9" t="s">
        <v>1852</v>
      </c>
      <c r="C925" t="str">
        <f t="shared" si="42"/>
        <v>, M</v>
      </c>
      <c r="D925" t="str">
        <f t="shared" si="43"/>
        <v>Boivi</v>
      </c>
      <c r="E925" t="str">
        <f t="shared" si="44"/>
        <v>ianne</v>
      </c>
    </row>
    <row r="926" spans="1:5" ht="15.75" customHeight="1">
      <c r="A926" s="9" t="s">
        <v>1853</v>
      </c>
      <c r="B926" s="9" t="s">
        <v>1854</v>
      </c>
      <c r="C926" t="str">
        <f t="shared" si="42"/>
        <v>ter</v>
      </c>
      <c r="D926" t="str">
        <f t="shared" si="43"/>
        <v>McAli</v>
      </c>
      <c r="E926" t="str">
        <f t="shared" si="44"/>
        <v>Carla</v>
      </c>
    </row>
    <row r="927" spans="1:5" ht="15.75" customHeight="1">
      <c r="A927" s="9" t="s">
        <v>1855</v>
      </c>
      <c r="B927" s="9" t="s">
        <v>1856</v>
      </c>
      <c r="C927" t="str">
        <f t="shared" si="42"/>
        <v>ova</v>
      </c>
      <c r="D927" t="str">
        <f t="shared" si="43"/>
        <v>Akhme</v>
      </c>
      <c r="E927" t="str">
        <f t="shared" si="44"/>
        <v>ksana</v>
      </c>
    </row>
    <row r="928" spans="1:5" ht="15.75" customHeight="1">
      <c r="A928" s="9" t="s">
        <v>1857</v>
      </c>
      <c r="B928" s="9" t="s">
        <v>1858</v>
      </c>
      <c r="C928" t="str">
        <f t="shared" si="42"/>
        <v>, M</v>
      </c>
      <c r="D928" t="str">
        <f t="shared" si="43"/>
        <v>Tucke</v>
      </c>
      <c r="E928" t="str">
        <f t="shared" si="44"/>
        <v>ca B.</v>
      </c>
    </row>
    <row r="929" spans="1:5" ht="15.75" customHeight="1">
      <c r="A929" s="9" t="s">
        <v>1859</v>
      </c>
      <c r="B929" s="9" t="s">
        <v>1860</v>
      </c>
      <c r="C929" t="str">
        <f t="shared" si="42"/>
        <v>spa</v>
      </c>
      <c r="D929" t="str">
        <f t="shared" si="43"/>
        <v>Grame</v>
      </c>
      <c r="E929" t="str">
        <f t="shared" si="44"/>
        <v>ia A.</v>
      </c>
    </row>
    <row r="930" spans="1:5" ht="15.75" customHeight="1">
      <c r="A930" s="9" t="s">
        <v>1861</v>
      </c>
      <c r="B930" s="9" t="s">
        <v>1862</v>
      </c>
      <c r="C930" t="str">
        <f t="shared" si="42"/>
        <v>ith</v>
      </c>
      <c r="D930" t="str">
        <f t="shared" si="43"/>
        <v>Golds</v>
      </c>
      <c r="E930" t="str">
        <f t="shared" si="44"/>
        <v>isa M</v>
      </c>
    </row>
    <row r="931" spans="1:5" ht="15.75" customHeight="1">
      <c r="A931" s="9" t="s">
        <v>1863</v>
      </c>
      <c r="B931" s="9" t="s">
        <v>1864</v>
      </c>
      <c r="C931" t="str">
        <f t="shared" si="42"/>
        <v>r,</v>
      </c>
      <c r="D931" t="str">
        <f t="shared" si="43"/>
        <v>Trant</v>
      </c>
      <c r="E931" t="str">
        <f t="shared" si="44"/>
        <v>e Jr.</v>
      </c>
    </row>
    <row r="932" spans="1:5" ht="15.75" customHeight="1">
      <c r="A932" s="9" t="s">
        <v>1865</v>
      </c>
      <c r="B932" s="9" t="s">
        <v>1866</v>
      </c>
      <c r="C932" t="str">
        <f t="shared" si="42"/>
        <v>s.</v>
      </c>
      <c r="D932" t="str">
        <f t="shared" si="43"/>
        <v>Tu, M</v>
      </c>
      <c r="E932" t="str">
        <f t="shared" si="44"/>
        <v>ffany</v>
      </c>
    </row>
    <row r="933" spans="1:5" ht="15.75" customHeight="1">
      <c r="A933" s="9" t="s">
        <v>1867</v>
      </c>
      <c r="B933" s="9" t="s">
        <v>1868</v>
      </c>
      <c r="C933" t="str">
        <f t="shared" si="42"/>
        <v>, M</v>
      </c>
      <c r="D933" t="str">
        <f t="shared" si="43"/>
        <v>Kaczk</v>
      </c>
      <c r="E933" t="str">
        <f t="shared" si="44"/>
        <v>Greg</v>
      </c>
    </row>
    <row r="934" spans="1:5" ht="15.75" customHeight="1">
      <c r="A934" s="9" t="s">
        <v>1869</v>
      </c>
      <c r="B934" s="9" t="s">
        <v>1870</v>
      </c>
      <c r="C934" t="str">
        <f t="shared" si="42"/>
        <v>, M</v>
      </c>
      <c r="D934" t="str">
        <f t="shared" si="43"/>
        <v>Hunte</v>
      </c>
      <c r="E934" t="str">
        <f t="shared" si="44"/>
        <v>Dale</v>
      </c>
    </row>
    <row r="935" spans="1:5" ht="15.75" customHeight="1">
      <c r="A935" s="9" t="s">
        <v>1871</v>
      </c>
      <c r="B935" s="9" t="s">
        <v>1872</v>
      </c>
      <c r="C935" t="str">
        <f t="shared" si="42"/>
        <v>Ms</v>
      </c>
      <c r="D935" t="str">
        <f t="shared" si="43"/>
        <v>Moran</v>
      </c>
      <c r="E935" t="str">
        <f t="shared" si="44"/>
        <v>ny A.</v>
      </c>
    </row>
    <row r="936" spans="1:5" ht="15.75" customHeight="1">
      <c r="A936" s="9" t="s">
        <v>1873</v>
      </c>
      <c r="B936" s="9" t="s">
        <v>1874</v>
      </c>
      <c r="C936" t="str">
        <f t="shared" si="42"/>
        <v>Mr</v>
      </c>
      <c r="D936" t="str">
        <f t="shared" si="43"/>
        <v>Ashby</v>
      </c>
      <c r="E936" t="str">
        <f t="shared" si="44"/>
        <v>ert S</v>
      </c>
    </row>
    <row r="937" spans="1:5" ht="15.75" customHeight="1">
      <c r="A937" s="9" t="s">
        <v>1875</v>
      </c>
      <c r="B937" s="9" t="s">
        <v>1876</v>
      </c>
      <c r="C937" t="str">
        <f t="shared" si="42"/>
        <v>Mr</v>
      </c>
      <c r="D937" t="str">
        <f t="shared" si="43"/>
        <v>Ausen</v>
      </c>
      <c r="E937" t="str">
        <f t="shared" si="44"/>
        <v>meron</v>
      </c>
    </row>
    <row r="938" spans="1:5" ht="15.75" customHeight="1">
      <c r="A938" s="9" t="s">
        <v>1877</v>
      </c>
      <c r="B938" s="9" t="s">
        <v>1878</v>
      </c>
      <c r="C938" t="str">
        <f t="shared" si="42"/>
        <v>, M</v>
      </c>
      <c r="D938" t="str">
        <f t="shared" si="43"/>
        <v>Savag</v>
      </c>
      <c r="E938" t="str">
        <f t="shared" si="44"/>
        <v>lrike</v>
      </c>
    </row>
    <row r="939" spans="1:5" ht="15.75" customHeight="1">
      <c r="A939" s="9" t="s">
        <v>1879</v>
      </c>
      <c r="B939" s="9" t="s">
        <v>1880</v>
      </c>
      <c r="C939" t="str">
        <f t="shared" si="42"/>
        <v>y,</v>
      </c>
      <c r="D939" t="str">
        <f t="shared" si="43"/>
        <v>O'Lea</v>
      </c>
      <c r="E939" t="str">
        <f t="shared" si="44"/>
        <v>yn A.</v>
      </c>
    </row>
    <row r="940" spans="1:5" ht="15.75" customHeight="1">
      <c r="A940" s="9" t="s">
        <v>1881</v>
      </c>
      <c r="B940" s="9" t="s">
        <v>1882</v>
      </c>
      <c r="C940" t="str">
        <f t="shared" si="42"/>
        <v>le,</v>
      </c>
      <c r="D940" t="str">
        <f t="shared" si="43"/>
        <v>Scovi</v>
      </c>
      <c r="E940" t="str">
        <f t="shared" si="44"/>
        <v>an B.</v>
      </c>
    </row>
    <row r="941" spans="1:5" ht="15.75" customHeight="1">
      <c r="A941" s="9" t="s">
        <v>1883</v>
      </c>
      <c r="B941" s="9" t="s">
        <v>1884</v>
      </c>
      <c r="C941" t="str">
        <f t="shared" si="42"/>
        <v>Mr.</v>
      </c>
      <c r="D941" t="str">
        <f t="shared" si="43"/>
        <v>Kaus,</v>
      </c>
      <c r="E941" t="str">
        <f t="shared" si="44"/>
        <v>Peter</v>
      </c>
    </row>
    <row r="942" spans="1:5" ht="15.75" customHeight="1">
      <c r="A942" s="9" t="s">
        <v>1885</v>
      </c>
      <c r="B942" s="9" t="s">
        <v>1886</v>
      </c>
      <c r="C942" t="str">
        <f t="shared" si="42"/>
        <v>, M</v>
      </c>
      <c r="D942" t="str">
        <f t="shared" si="43"/>
        <v>Raine</v>
      </c>
      <c r="E942" t="str">
        <f t="shared" si="44"/>
        <v>ndler</v>
      </c>
    </row>
    <row r="943" spans="1:5" ht="15.75" customHeight="1">
      <c r="A943" s="9" t="s">
        <v>1887</v>
      </c>
      <c r="B943" s="9" t="s">
        <v>1888</v>
      </c>
      <c r="C943" t="str">
        <f t="shared" si="42"/>
        <v>Ms</v>
      </c>
      <c r="D943" t="str">
        <f t="shared" si="43"/>
        <v>Rasch</v>
      </c>
      <c r="E943" t="str">
        <f t="shared" si="44"/>
        <v>na M.</v>
      </c>
    </row>
    <row r="944" spans="1:5" ht="15.75" customHeight="1">
      <c r="A944" s="9" t="s">
        <v>1889</v>
      </c>
      <c r="B944" s="9" t="s">
        <v>1890</v>
      </c>
      <c r="C944" t="str">
        <f t="shared" si="42"/>
        <v>tt,</v>
      </c>
      <c r="D944" t="str">
        <f t="shared" si="43"/>
        <v>Plunk</v>
      </c>
      <c r="E944" t="str">
        <f t="shared" si="44"/>
        <v>Natty</v>
      </c>
    </row>
    <row r="945" spans="1:5" ht="15.75" customHeight="1">
      <c r="A945" s="9" t="s">
        <v>1891</v>
      </c>
      <c r="B945" s="9" t="s">
        <v>1892</v>
      </c>
      <c r="C945" t="str">
        <f t="shared" si="42"/>
        <v>, M</v>
      </c>
      <c r="D945" t="str">
        <f t="shared" si="43"/>
        <v>Murph</v>
      </c>
      <c r="E945" t="str">
        <f t="shared" si="44"/>
        <v>las T</v>
      </c>
    </row>
    <row r="946" spans="1:5" ht="15.75" customHeight="1">
      <c r="A946" s="9" t="s">
        <v>1893</v>
      </c>
      <c r="B946" s="9" t="s">
        <v>1894</v>
      </c>
      <c r="C946" t="str">
        <f t="shared" si="42"/>
        <v>, M</v>
      </c>
      <c r="D946" t="str">
        <f t="shared" si="43"/>
        <v>Gusme</v>
      </c>
      <c r="E946" t="str">
        <f t="shared" si="44"/>
        <v>becca</v>
      </c>
    </row>
    <row r="947" spans="1:5" ht="15.75" customHeight="1">
      <c r="A947" s="9" t="s">
        <v>1895</v>
      </c>
      <c r="B947" s="9" t="s">
        <v>1896</v>
      </c>
      <c r="C947" t="str">
        <f t="shared" si="42"/>
        <v>, M</v>
      </c>
      <c r="D947" t="str">
        <f t="shared" si="43"/>
        <v>Loftu</v>
      </c>
      <c r="E947" t="str">
        <f t="shared" si="44"/>
        <v>John</v>
      </c>
    </row>
    <row r="948" spans="1:5" ht="15.75" customHeight="1">
      <c r="A948" s="9" t="s">
        <v>1897</v>
      </c>
      <c r="B948" s="9" t="s">
        <v>1898</v>
      </c>
      <c r="C948" t="str">
        <f t="shared" si="42"/>
        <v>Mr</v>
      </c>
      <c r="D948" t="str">
        <f t="shared" si="43"/>
        <v>Scott</v>
      </c>
      <c r="E948" t="str">
        <f t="shared" si="44"/>
        <v>ony G</v>
      </c>
    </row>
    <row r="949" spans="1:5" ht="15.75" customHeight="1">
      <c r="A949" s="9" t="s">
        <v>1899</v>
      </c>
      <c r="B949" s="9" t="s">
        <v>1900</v>
      </c>
      <c r="C949" t="str">
        <f t="shared" si="42"/>
        <v>z,</v>
      </c>
      <c r="D949" t="str">
        <f t="shared" si="43"/>
        <v>Alvar</v>
      </c>
      <c r="E949" t="str">
        <f t="shared" si="44"/>
        <v>Eric</v>
      </c>
    </row>
    <row r="950" spans="1:5" ht="15.75" customHeight="1">
      <c r="A950" s="9" t="s">
        <v>1901</v>
      </c>
      <c r="B950" s="9" t="s">
        <v>1902</v>
      </c>
      <c r="C950" t="str">
        <f t="shared" si="42"/>
        <v>son</v>
      </c>
      <c r="D950" t="str">
        <f t="shared" si="43"/>
        <v>Peter</v>
      </c>
      <c r="E950" t="str">
        <f t="shared" si="44"/>
        <v>Erik</v>
      </c>
    </row>
    <row r="951" spans="1:5" ht="15.75" customHeight="1">
      <c r="A951" s="9" t="s">
        <v>1903</v>
      </c>
      <c r="B951" s="9" t="s">
        <v>1904</v>
      </c>
      <c r="C951" t="str">
        <f t="shared" si="42"/>
        <v>Mr.</v>
      </c>
      <c r="D951" t="str">
        <f t="shared" si="43"/>
        <v>Liaw,</v>
      </c>
      <c r="E951" t="str">
        <f t="shared" si="44"/>
        <v>hew T</v>
      </c>
    </row>
    <row r="952" spans="1:5" ht="15.75" customHeight="1">
      <c r="A952" s="9" t="s">
        <v>1905</v>
      </c>
      <c r="B952" s="9" t="s">
        <v>1906</v>
      </c>
      <c r="C952" t="str">
        <f t="shared" si="42"/>
        <v>di,</v>
      </c>
      <c r="D952" t="str">
        <f t="shared" si="43"/>
        <v>Tripa</v>
      </c>
      <c r="E952" t="str">
        <f t="shared" si="44"/>
        <v>andra</v>
      </c>
    </row>
    <row r="953" spans="1:5" ht="15.75" customHeight="1">
      <c r="A953" s="9" t="s">
        <v>1907</v>
      </c>
      <c r="B953" s="9" t="s">
        <v>1908</v>
      </c>
      <c r="C953" t="str">
        <f t="shared" si="42"/>
        <v>, M</v>
      </c>
      <c r="D953" t="str">
        <f t="shared" si="43"/>
        <v>Kelle</v>
      </c>
      <c r="E953" t="str">
        <f t="shared" si="44"/>
        <v>ary C</v>
      </c>
    </row>
    <row r="954" spans="1:5" ht="15.75" customHeight="1">
      <c r="A954" s="9" t="s">
        <v>1909</v>
      </c>
      <c r="B954" s="9" t="s">
        <v>1910</v>
      </c>
      <c r="C954" t="str">
        <f t="shared" si="42"/>
        <v>, M</v>
      </c>
      <c r="D954" t="str">
        <f t="shared" si="43"/>
        <v>Endar</v>
      </c>
      <c r="E954" t="str">
        <f t="shared" si="44"/>
        <v>ie A.</v>
      </c>
    </row>
    <row r="955" spans="1:5" ht="15.75" customHeight="1">
      <c r="A955" s="9" t="s">
        <v>1911</v>
      </c>
      <c r="B955" s="9" t="s">
        <v>1912</v>
      </c>
      <c r="C955" t="str">
        <f t="shared" si="42"/>
        <v>Mr</v>
      </c>
      <c r="D955" t="str">
        <f t="shared" si="43"/>
        <v>Valle</v>
      </c>
      <c r="E955" t="str">
        <f t="shared" si="44"/>
        <v>o Sr.</v>
      </c>
    </row>
    <row r="956" spans="1:5" ht="15.75" customHeight="1">
      <c r="A956" s="9" t="s">
        <v>1913</v>
      </c>
      <c r="B956" s="9" t="s">
        <v>1914</v>
      </c>
      <c r="C956" t="str">
        <f t="shared" si="42"/>
        <v>n,</v>
      </c>
      <c r="D956" t="str">
        <f t="shared" si="43"/>
        <v>Germa</v>
      </c>
      <c r="E956" t="str">
        <f t="shared" si="44"/>
        <v>ew R.</v>
      </c>
    </row>
    <row r="957" spans="1:5" ht="15.75" customHeight="1">
      <c r="A957" s="9" t="s">
        <v>1915</v>
      </c>
      <c r="B957" s="9" t="s">
        <v>1916</v>
      </c>
      <c r="C957" t="str">
        <f t="shared" si="42"/>
        <v>y,</v>
      </c>
      <c r="D957" t="str">
        <f t="shared" si="43"/>
        <v>Finec</v>
      </c>
      <c r="E957" t="str">
        <f t="shared" si="44"/>
        <v>han E</v>
      </c>
    </row>
    <row r="958" spans="1:5" ht="15.75" customHeight="1">
      <c r="A958" s="9" t="s">
        <v>1917</v>
      </c>
      <c r="B958" s="9" t="s">
        <v>1918</v>
      </c>
      <c r="C958" t="str">
        <f t="shared" si="42"/>
        <v>a,</v>
      </c>
      <c r="D958" t="str">
        <f t="shared" si="43"/>
        <v>Mendo</v>
      </c>
      <c r="E958" t="str">
        <f t="shared" si="44"/>
        <v>Eric</v>
      </c>
    </row>
    <row r="959" spans="1:5" ht="15.75" customHeight="1">
      <c r="A959" s="9" t="s">
        <v>1919</v>
      </c>
      <c r="B959" s="9" t="s">
        <v>1920</v>
      </c>
      <c r="C959" t="str">
        <f t="shared" si="42"/>
        <v>s.</v>
      </c>
      <c r="D959" t="str">
        <f t="shared" si="43"/>
        <v>Roe,</v>
      </c>
      <c r="E959" t="str">
        <f t="shared" si="44"/>
        <v>isa B</v>
      </c>
    </row>
    <row r="960" spans="1:5" ht="15.75" customHeight="1">
      <c r="A960" s="9" t="s">
        <v>1921</v>
      </c>
      <c r="B960" s="9" t="s">
        <v>1922</v>
      </c>
      <c r="C960" t="str">
        <f t="shared" si="42"/>
        <v>Mrs</v>
      </c>
      <c r="D960" t="str">
        <f t="shared" si="43"/>
        <v>Webb,</v>
      </c>
      <c r="E960" t="str">
        <f t="shared" si="44"/>
        <v>ne R.</v>
      </c>
    </row>
    <row r="961" spans="1:5" ht="15.75" customHeight="1">
      <c r="A961" s="9" t="s">
        <v>1923</v>
      </c>
      <c r="B961" s="9" t="s">
        <v>1924</v>
      </c>
      <c r="C961" t="str">
        <f t="shared" si="42"/>
        <v>r,</v>
      </c>
      <c r="D961" t="str">
        <f t="shared" si="43"/>
        <v>Stock</v>
      </c>
      <c r="E961" t="str">
        <f t="shared" si="44"/>
        <v>son M</v>
      </c>
    </row>
    <row r="962" spans="1:5" ht="15.75" customHeight="1">
      <c r="A962" s="9" t="s">
        <v>1925</v>
      </c>
      <c r="B962" s="9" t="s">
        <v>1926</v>
      </c>
      <c r="C962" t="str">
        <f t="shared" si="42"/>
        <v>on,</v>
      </c>
      <c r="D962" t="str">
        <f t="shared" si="43"/>
        <v>Jacob</v>
      </c>
      <c r="E962" t="str">
        <f t="shared" si="44"/>
        <v>ah E.</v>
      </c>
    </row>
    <row r="963" spans="1:5" ht="15.75" customHeight="1">
      <c r="A963" s="9" t="s">
        <v>1927</v>
      </c>
      <c r="B963" s="9" t="s">
        <v>1928</v>
      </c>
      <c r="C963" t="str">
        <f t="shared" ref="C963:C1026" si="45">MID(B963,7,3)</f>
        <v>Mr.</v>
      </c>
      <c r="D963" t="str">
        <f t="shared" ref="D963:D1026" si="46">LEFT(B963,5)</f>
        <v>Shaw,</v>
      </c>
      <c r="E963" t="str">
        <f t="shared" ref="E963:E1026" si="47">RIGHT(B963,5)</f>
        <v>lip J</v>
      </c>
    </row>
    <row r="964" spans="1:5" ht="15.75" customHeight="1">
      <c r="A964" s="9" t="s">
        <v>1929</v>
      </c>
      <c r="B964" s="9" t="s">
        <v>1930</v>
      </c>
      <c r="C964" t="str">
        <f t="shared" si="45"/>
        <v>n,</v>
      </c>
      <c r="D964" t="str">
        <f t="shared" si="46"/>
        <v>Goodw</v>
      </c>
      <c r="E964" t="str">
        <f t="shared" si="47"/>
        <v>an A.</v>
      </c>
    </row>
    <row r="965" spans="1:5" ht="15.75" customHeight="1">
      <c r="A965" s="9" t="s">
        <v>1931</v>
      </c>
      <c r="B965" s="9" t="s">
        <v>1932</v>
      </c>
      <c r="C965" t="str">
        <f t="shared" si="45"/>
        <v>Mr</v>
      </c>
      <c r="D965" t="str">
        <f t="shared" si="46"/>
        <v>Brock</v>
      </c>
      <c r="E965" t="str">
        <f t="shared" si="47"/>
        <v>ura D</v>
      </c>
    </row>
    <row r="966" spans="1:5" ht="15.75" customHeight="1">
      <c r="A966" s="9" t="s">
        <v>1933</v>
      </c>
      <c r="B966" s="9" t="s">
        <v>1934</v>
      </c>
      <c r="C966" t="str">
        <f t="shared" si="45"/>
        <v>Ms.</v>
      </c>
      <c r="D966" t="str">
        <f t="shared" si="46"/>
        <v>Papp,</v>
      </c>
      <c r="E966" t="str">
        <f t="shared" si="47"/>
        <v>an E.</v>
      </c>
    </row>
    <row r="967" spans="1:5" ht="15.75" customHeight="1">
      <c r="A967" s="9" t="s">
        <v>1935</v>
      </c>
      <c r="B967" s="9" t="s">
        <v>1936</v>
      </c>
      <c r="C967" t="str">
        <f t="shared" si="45"/>
        <v>sa,</v>
      </c>
      <c r="D967" t="str">
        <f t="shared" si="46"/>
        <v>Sirag</v>
      </c>
      <c r="E967" t="str">
        <f t="shared" si="47"/>
        <v>on J.</v>
      </c>
    </row>
    <row r="968" spans="1:5" ht="15.75" customHeight="1">
      <c r="A968" s="9" t="s">
        <v>1937</v>
      </c>
      <c r="B968" s="9" t="s">
        <v>1938</v>
      </c>
      <c r="C968" t="str">
        <f t="shared" si="45"/>
        <v>o,</v>
      </c>
      <c r="D968" t="str">
        <f t="shared" si="46"/>
        <v>Pizar</v>
      </c>
      <c r="E968" t="str">
        <f t="shared" si="47"/>
        <v>lle M</v>
      </c>
    </row>
    <row r="969" spans="1:5" ht="15.75" customHeight="1">
      <c r="A969" s="9" t="s">
        <v>1939</v>
      </c>
      <c r="B969" s="9" t="s">
        <v>1940</v>
      </c>
      <c r="C969" t="str">
        <f t="shared" si="45"/>
        <v>e,</v>
      </c>
      <c r="D969" t="str">
        <f t="shared" si="46"/>
        <v>Stran</v>
      </c>
      <c r="E969" t="str">
        <f t="shared" si="47"/>
        <v>Casey</v>
      </c>
    </row>
    <row r="970" spans="1:5" ht="15.75" customHeight="1">
      <c r="A970" s="9" t="s">
        <v>1941</v>
      </c>
      <c r="B970" s="9" t="s">
        <v>1942</v>
      </c>
      <c r="C970" t="str">
        <f t="shared" si="45"/>
        <v>er,</v>
      </c>
      <c r="D970" t="str">
        <f t="shared" si="46"/>
        <v>Eidin</v>
      </c>
      <c r="E970" t="str">
        <f t="shared" si="47"/>
        <v>ica L</v>
      </c>
    </row>
    <row r="971" spans="1:5" ht="15.75" customHeight="1">
      <c r="A971" s="9" t="s">
        <v>1943</v>
      </c>
      <c r="B971" s="9" t="s">
        <v>1944</v>
      </c>
      <c r="C971" t="str">
        <f t="shared" si="45"/>
        <v>rg,</v>
      </c>
      <c r="D971" t="str">
        <f t="shared" si="46"/>
        <v>Ginsb</v>
      </c>
      <c r="E971" t="str">
        <f t="shared" si="47"/>
        <v>don F</v>
      </c>
    </row>
    <row r="972" spans="1:5" ht="15.75" customHeight="1">
      <c r="A972" s="9" t="s">
        <v>1945</v>
      </c>
      <c r="B972" s="9" t="s">
        <v>1946</v>
      </c>
      <c r="C972" t="str">
        <f t="shared" si="45"/>
        <v>Ms</v>
      </c>
      <c r="D972" t="str">
        <f t="shared" si="46"/>
        <v>Truex</v>
      </c>
      <c r="E972" t="str">
        <f t="shared" si="47"/>
        <v>lissa</v>
      </c>
    </row>
    <row r="973" spans="1:5" ht="15.75" customHeight="1">
      <c r="A973" s="9" t="s">
        <v>1947</v>
      </c>
      <c r="B973" s="9" t="s">
        <v>1948</v>
      </c>
      <c r="C973" t="str">
        <f t="shared" si="45"/>
        <v>s,</v>
      </c>
      <c r="D973" t="str">
        <f t="shared" si="46"/>
        <v>Higgi</v>
      </c>
      <c r="E973" t="str">
        <f t="shared" si="47"/>
        <v>lle N</v>
      </c>
    </row>
    <row r="974" spans="1:5" ht="15.75" customHeight="1">
      <c r="A974" s="9" t="s">
        <v>1949</v>
      </c>
      <c r="B974" s="9" t="s">
        <v>1950</v>
      </c>
      <c r="C974" t="str">
        <f t="shared" si="45"/>
        <v>y,</v>
      </c>
      <c r="D974" t="str">
        <f t="shared" si="46"/>
        <v>McCur</v>
      </c>
      <c r="E974" t="str">
        <f t="shared" si="47"/>
        <v>tthew</v>
      </c>
    </row>
    <row r="975" spans="1:5" ht="15.75" customHeight="1">
      <c r="A975" s="9" t="s">
        <v>1951</v>
      </c>
      <c r="B975" s="9" t="s">
        <v>1952</v>
      </c>
      <c r="C975" t="str">
        <f t="shared" si="45"/>
        <v>, M</v>
      </c>
      <c r="D975" t="str">
        <f t="shared" si="46"/>
        <v>Hughe</v>
      </c>
      <c r="E975" t="str">
        <f t="shared" si="47"/>
        <v>ttina</v>
      </c>
    </row>
    <row r="976" spans="1:5" ht="15.75" customHeight="1">
      <c r="A976" s="9" t="s">
        <v>1953</v>
      </c>
      <c r="B976" s="9" t="s">
        <v>1954</v>
      </c>
      <c r="C976" t="str">
        <f t="shared" si="45"/>
        <v>, M</v>
      </c>
      <c r="D976" t="str">
        <f t="shared" si="46"/>
        <v>Varne</v>
      </c>
      <c r="E976" t="str">
        <f t="shared" si="47"/>
        <v>ander</v>
      </c>
    </row>
    <row r="977" spans="1:5" ht="15.75" customHeight="1">
      <c r="A977" s="9" t="s">
        <v>1955</v>
      </c>
      <c r="B977" s="9" t="s">
        <v>1956</v>
      </c>
      <c r="C977" t="str">
        <f t="shared" si="45"/>
        <v>, M</v>
      </c>
      <c r="D977" t="str">
        <f t="shared" si="46"/>
        <v>Dahme</v>
      </c>
      <c r="E977" t="str">
        <f t="shared" si="47"/>
        <v>Holli</v>
      </c>
    </row>
    <row r="978" spans="1:5" ht="15.75" customHeight="1">
      <c r="A978" s="9" t="s">
        <v>1957</v>
      </c>
      <c r="B978" s="9" t="s">
        <v>1958</v>
      </c>
      <c r="C978" t="str">
        <f t="shared" si="45"/>
        <v>Mr</v>
      </c>
      <c r="D978" t="str">
        <f t="shared" si="46"/>
        <v>Young</v>
      </c>
      <c r="E978" t="str">
        <f t="shared" si="47"/>
        <v>her C</v>
      </c>
    </row>
    <row r="979" spans="1:5" ht="15.75" customHeight="1">
      <c r="A979" s="9" t="s">
        <v>1959</v>
      </c>
      <c r="B979" s="9" t="s">
        <v>1960</v>
      </c>
      <c r="C979" t="str">
        <f t="shared" si="45"/>
        <v>, M</v>
      </c>
      <c r="D979" t="str">
        <f t="shared" si="46"/>
        <v>Frase</v>
      </c>
      <c r="E979" t="str">
        <f t="shared" si="47"/>
        <v>Kyle</v>
      </c>
    </row>
    <row r="980" spans="1:5" ht="15.75" customHeight="1">
      <c r="A980" s="9" t="s">
        <v>1961</v>
      </c>
      <c r="B980" s="9" t="s">
        <v>1962</v>
      </c>
      <c r="C980" t="str">
        <f t="shared" si="45"/>
        <v>Mr.</v>
      </c>
      <c r="D980" t="str">
        <f t="shared" si="46"/>
        <v>Deeg,</v>
      </c>
      <c r="E980" t="str">
        <f t="shared" si="47"/>
        <v>mas J</v>
      </c>
    </row>
    <row r="981" spans="1:5" ht="15.75" customHeight="1">
      <c r="A981" s="9" t="s">
        <v>1963</v>
      </c>
      <c r="B981" s="9" t="s">
        <v>1964</v>
      </c>
      <c r="C981" t="str">
        <f t="shared" si="45"/>
        <v>son</v>
      </c>
      <c r="D981" t="str">
        <f t="shared" si="46"/>
        <v>Rober</v>
      </c>
      <c r="E981" t="str">
        <f t="shared" si="47"/>
        <v>Chris</v>
      </c>
    </row>
    <row r="982" spans="1:5" ht="15.75" customHeight="1">
      <c r="A982" s="9" t="s">
        <v>1965</v>
      </c>
      <c r="B982" s="9" t="s">
        <v>1966</v>
      </c>
      <c r="C982" t="str">
        <f t="shared" si="45"/>
        <v>Mr.</v>
      </c>
      <c r="D982" t="str">
        <f t="shared" si="46"/>
        <v>Peck,</v>
      </c>
      <c r="E982" t="str">
        <f t="shared" si="47"/>
        <v>raham</v>
      </c>
    </row>
    <row r="983" spans="1:5" ht="15.75" customHeight="1">
      <c r="A983" s="9" t="s">
        <v>1967</v>
      </c>
      <c r="B983" s="9" t="s">
        <v>1968</v>
      </c>
      <c r="C983" t="str">
        <f t="shared" si="45"/>
        <v>, M</v>
      </c>
      <c r="D983" t="str">
        <f t="shared" si="46"/>
        <v>Burge</v>
      </c>
      <c r="E983" t="str">
        <f t="shared" si="47"/>
        <v>rrett</v>
      </c>
    </row>
    <row r="984" spans="1:5" ht="15.75" customHeight="1">
      <c r="A984" s="9" t="s">
        <v>1969</v>
      </c>
      <c r="B984" s="9" t="s">
        <v>1970</v>
      </c>
      <c r="C984" t="str">
        <f t="shared" si="45"/>
        <v>Mr</v>
      </c>
      <c r="D984" t="str">
        <f t="shared" si="46"/>
        <v>Blain</v>
      </c>
      <c r="E984" t="str">
        <f t="shared" si="47"/>
        <v>ndrew</v>
      </c>
    </row>
    <row r="985" spans="1:5" ht="15.75" customHeight="1">
      <c r="A985" s="9" t="s">
        <v>1971</v>
      </c>
      <c r="B985" s="9" t="s">
        <v>1972</v>
      </c>
      <c r="C985" t="str">
        <f t="shared" si="45"/>
        <v>s,</v>
      </c>
      <c r="D985" t="str">
        <f t="shared" si="46"/>
        <v>Winte</v>
      </c>
      <c r="E985" t="str">
        <f t="shared" si="47"/>
        <v>lle M</v>
      </c>
    </row>
    <row r="986" spans="1:5" ht="15.75" customHeight="1">
      <c r="A986" s="9" t="s">
        <v>1973</v>
      </c>
      <c r="B986" s="9" t="s">
        <v>1974</v>
      </c>
      <c r="C986" t="str">
        <f t="shared" si="45"/>
        <v>Mr</v>
      </c>
      <c r="D986" t="str">
        <f t="shared" si="46"/>
        <v>McCue</v>
      </c>
      <c r="E986" t="str">
        <f t="shared" si="47"/>
        <v>el T.</v>
      </c>
    </row>
    <row r="987" spans="1:5" ht="15.75" customHeight="1">
      <c r="A987" s="9" t="s">
        <v>1975</v>
      </c>
      <c r="B987" s="9" t="s">
        <v>1976</v>
      </c>
      <c r="C987" t="str">
        <f t="shared" si="45"/>
        <v>r,</v>
      </c>
      <c r="D987" t="str">
        <f t="shared" si="46"/>
        <v>Webst</v>
      </c>
      <c r="E987" t="str">
        <f t="shared" si="47"/>
        <v>eanne</v>
      </c>
    </row>
    <row r="988" spans="1:5" ht="15.75" customHeight="1">
      <c r="A988" s="9" t="s">
        <v>1977</v>
      </c>
      <c r="B988" s="9" t="s">
        <v>1978</v>
      </c>
      <c r="C988" t="str">
        <f t="shared" si="45"/>
        <v>on,</v>
      </c>
      <c r="D988" t="str">
        <f t="shared" si="46"/>
        <v>Ander</v>
      </c>
      <c r="E988" t="str">
        <f t="shared" si="47"/>
        <v>arrie</v>
      </c>
    </row>
    <row r="989" spans="1:5" ht="15.75" customHeight="1">
      <c r="A989" s="9" t="s">
        <v>1979</v>
      </c>
      <c r="B989" s="9" t="s">
        <v>1980</v>
      </c>
      <c r="C989" t="str">
        <f t="shared" si="45"/>
        <v>one</v>
      </c>
      <c r="D989" t="str">
        <f t="shared" si="46"/>
        <v>Chiap</v>
      </c>
      <c r="E989" t="str">
        <f t="shared" si="47"/>
        <v>zanne</v>
      </c>
    </row>
    <row r="990" spans="1:5" ht="15.75" customHeight="1">
      <c r="A990" s="9" t="s">
        <v>1981</v>
      </c>
      <c r="B990" s="9" t="s">
        <v>1982</v>
      </c>
      <c r="C990" t="str">
        <f t="shared" si="45"/>
        <v>Ms.</v>
      </c>
      <c r="D990" t="str">
        <f t="shared" si="46"/>
        <v>Opie,</v>
      </c>
      <c r="E990" t="str">
        <f t="shared" si="47"/>
        <v>ne P.</v>
      </c>
    </row>
    <row r="991" spans="1:5" ht="15.75" customHeight="1">
      <c r="A991" s="9" t="s">
        <v>1983</v>
      </c>
      <c r="B991" s="9" t="s">
        <v>1984</v>
      </c>
      <c r="C991" t="str">
        <f t="shared" si="45"/>
        <v>ly,</v>
      </c>
      <c r="D991" t="str">
        <f t="shared" si="46"/>
        <v>Donne</v>
      </c>
      <c r="E991" t="str">
        <f t="shared" si="47"/>
        <v>nifer</v>
      </c>
    </row>
    <row r="992" spans="1:5" ht="15.75" customHeight="1">
      <c r="A992" s="9" t="s">
        <v>1985</v>
      </c>
      <c r="B992" s="9" t="s">
        <v>1986</v>
      </c>
      <c r="C992" t="str">
        <f t="shared" si="45"/>
        <v>Ms.</v>
      </c>
      <c r="D992" t="str">
        <f t="shared" si="46"/>
        <v>Rall,</v>
      </c>
      <c r="E992" t="str">
        <f t="shared" si="47"/>
        <v>racie</v>
      </c>
    </row>
    <row r="993" spans="1:5" ht="15.75" customHeight="1">
      <c r="A993" s="9" t="s">
        <v>1987</v>
      </c>
      <c r="B993" s="9" t="s">
        <v>1988</v>
      </c>
      <c r="C993" t="str">
        <f t="shared" si="45"/>
        <v>ll,</v>
      </c>
      <c r="D993" t="str">
        <f t="shared" si="46"/>
        <v>Mitch</v>
      </c>
      <c r="E993" t="str">
        <f t="shared" si="47"/>
        <v>an D.</v>
      </c>
    </row>
    <row r="994" spans="1:5" ht="15.75" customHeight="1">
      <c r="A994" s="9" t="s">
        <v>1989</v>
      </c>
      <c r="B994" s="9" t="s">
        <v>1990</v>
      </c>
      <c r="C994" t="str">
        <f t="shared" si="45"/>
        <v>Mr.</v>
      </c>
      <c r="D994" t="str">
        <f t="shared" si="46"/>
        <v>Chen,</v>
      </c>
      <c r="E994" t="str">
        <f t="shared" si="47"/>
        <v>iweng</v>
      </c>
    </row>
    <row r="995" spans="1:5" ht="15.75" customHeight="1">
      <c r="A995" s="9" t="s">
        <v>1991</v>
      </c>
      <c r="B995" s="9" t="s">
        <v>1992</v>
      </c>
      <c r="C995" t="str">
        <f t="shared" si="45"/>
        <v>, M</v>
      </c>
      <c r="D995" t="str">
        <f t="shared" si="46"/>
        <v>Tufar</v>
      </c>
      <c r="E995" t="str">
        <f t="shared" si="47"/>
        <v>sa M.</v>
      </c>
    </row>
    <row r="996" spans="1:5" ht="15.75" customHeight="1">
      <c r="A996" s="9" t="s">
        <v>1993</v>
      </c>
      <c r="B996" s="9" t="s">
        <v>1994</v>
      </c>
      <c r="C996" t="str">
        <f t="shared" si="45"/>
        <v>, M</v>
      </c>
      <c r="D996" t="str">
        <f t="shared" si="46"/>
        <v>Peter</v>
      </c>
      <c r="E996" t="str">
        <f t="shared" si="47"/>
        <v>iel J</v>
      </c>
    </row>
    <row r="997" spans="1:5" ht="15.75" customHeight="1">
      <c r="A997" s="9" t="s">
        <v>1995</v>
      </c>
      <c r="B997" s="9" t="s">
        <v>1996</v>
      </c>
      <c r="C997" t="str">
        <f t="shared" si="45"/>
        <v>k,</v>
      </c>
      <c r="D997" t="str">
        <f t="shared" si="46"/>
        <v>Sused</v>
      </c>
      <c r="E997" t="str">
        <f t="shared" si="47"/>
        <v>ey M.</v>
      </c>
    </row>
    <row r="998" spans="1:5" ht="15.75" customHeight="1">
      <c r="A998" s="9" t="s">
        <v>1997</v>
      </c>
      <c r="B998" s="9" t="s">
        <v>1998</v>
      </c>
      <c r="C998" t="str">
        <f t="shared" si="45"/>
        <v>, M</v>
      </c>
      <c r="D998" t="str">
        <f t="shared" si="46"/>
        <v>Garci</v>
      </c>
      <c r="E998" t="str">
        <f t="shared" si="47"/>
        <v>se A.</v>
      </c>
    </row>
    <row r="999" spans="1:5" ht="15.75" customHeight="1">
      <c r="A999" s="9" t="s">
        <v>1999</v>
      </c>
      <c r="B999" s="9" t="s">
        <v>2000</v>
      </c>
      <c r="C999" t="str">
        <f t="shared" si="45"/>
        <v>Mr</v>
      </c>
      <c r="D999" t="str">
        <f t="shared" si="46"/>
        <v>Deady</v>
      </c>
      <c r="E999" t="str">
        <f t="shared" si="47"/>
        <v>auren</v>
      </c>
    </row>
    <row r="1000" spans="1:5" ht="15.75" customHeight="1">
      <c r="A1000" s="9" t="s">
        <v>2001</v>
      </c>
      <c r="B1000" s="9" t="s">
        <v>2002</v>
      </c>
      <c r="C1000" t="str">
        <f t="shared" si="45"/>
        <v>ll,</v>
      </c>
      <c r="D1000" t="str">
        <f t="shared" si="46"/>
        <v>Campb</v>
      </c>
      <c r="E1000" t="str">
        <f t="shared" si="47"/>
        <v>on M.</v>
      </c>
    </row>
    <row r="1001" spans="1:5" ht="15.75" customHeight="1">
      <c r="A1001" s="9" t="s">
        <v>2003</v>
      </c>
      <c r="B1001" s="9" t="s">
        <v>2004</v>
      </c>
      <c r="C1001" t="str">
        <f t="shared" si="45"/>
        <v>er,</v>
      </c>
      <c r="D1001" t="str">
        <f t="shared" si="46"/>
        <v>Schae</v>
      </c>
      <c r="E1001" t="str">
        <f t="shared" si="47"/>
        <v>nie A</v>
      </c>
    </row>
    <row r="1002" spans="1:5" ht="15.75" customHeight="1">
      <c r="A1002" s="9" t="s">
        <v>2005</v>
      </c>
      <c r="B1002" s="9" t="s">
        <v>2006</v>
      </c>
      <c r="C1002" t="str">
        <f t="shared" si="45"/>
        <v>san</v>
      </c>
      <c r="D1002" t="str">
        <f t="shared" si="46"/>
        <v>D'Ale</v>
      </c>
      <c r="E1002" t="str">
        <f t="shared" si="47"/>
        <v>trick</v>
      </c>
    </row>
    <row r="1003" spans="1:5" ht="15.75" customHeight="1">
      <c r="A1003" s="9" t="s">
        <v>2007</v>
      </c>
      <c r="B1003" s="9" t="s">
        <v>2008</v>
      </c>
      <c r="C1003" t="str">
        <f t="shared" si="45"/>
        <v>Mrs</v>
      </c>
      <c r="D1003" t="str">
        <f t="shared" si="46"/>
        <v>Wyss,</v>
      </c>
      <c r="E1003" t="str">
        <f t="shared" si="47"/>
        <v>rista</v>
      </c>
    </row>
    <row r="1004" spans="1:5" ht="15.75" customHeight="1">
      <c r="A1004" s="9" t="s">
        <v>2009</v>
      </c>
      <c r="B1004" s="9" t="s">
        <v>2010</v>
      </c>
      <c r="C1004" t="str">
        <f t="shared" si="45"/>
        <v>Ms.</v>
      </c>
      <c r="D1004" t="str">
        <f t="shared" si="46"/>
        <v>Rose,</v>
      </c>
      <c r="E1004" t="str">
        <f t="shared" si="47"/>
        <v>nessa</v>
      </c>
    </row>
    <row r="1005" spans="1:5" ht="15.75" customHeight="1">
      <c r="A1005" s="9" t="s">
        <v>2011</v>
      </c>
      <c r="B1005" s="9" t="s">
        <v>2012</v>
      </c>
      <c r="C1005" t="str">
        <f t="shared" si="45"/>
        <v>, M</v>
      </c>
      <c r="D1005" t="str">
        <f t="shared" si="46"/>
        <v>Hoppe</v>
      </c>
      <c r="E1005" t="str">
        <f t="shared" si="47"/>
        <v>an M.</v>
      </c>
    </row>
    <row r="1006" spans="1:5" ht="15.75" customHeight="1">
      <c r="A1006" s="9" t="s">
        <v>2013</v>
      </c>
      <c r="B1006" s="9" t="s">
        <v>2014</v>
      </c>
      <c r="C1006" t="str">
        <f t="shared" si="45"/>
        <v>an,</v>
      </c>
      <c r="D1006" t="str">
        <f t="shared" si="46"/>
        <v>Finne</v>
      </c>
      <c r="E1006" t="str">
        <f t="shared" si="47"/>
        <v>homas</v>
      </c>
    </row>
    <row r="1007" spans="1:5" ht="15.75" customHeight="1">
      <c r="A1007" s="9" t="s">
        <v>2015</v>
      </c>
      <c r="B1007" s="9" t="s">
        <v>2016</v>
      </c>
      <c r="C1007" t="str">
        <f t="shared" si="45"/>
        <v>, M</v>
      </c>
      <c r="D1007" t="str">
        <f t="shared" si="46"/>
        <v>Basha</v>
      </c>
      <c r="E1007" t="str">
        <f t="shared" si="47"/>
        <v>da N.</v>
      </c>
    </row>
    <row r="1008" spans="1:5" ht="15.75" customHeight="1">
      <c r="A1008" s="9" t="s">
        <v>2017</v>
      </c>
      <c r="B1008" s="9" t="s">
        <v>2018</v>
      </c>
      <c r="C1008" t="str">
        <f t="shared" si="45"/>
        <v>Ms</v>
      </c>
      <c r="D1008" t="str">
        <f t="shared" si="46"/>
        <v>Inman</v>
      </c>
      <c r="E1008" t="str">
        <f t="shared" si="47"/>
        <v>sa P.</v>
      </c>
    </row>
    <row r="1009" spans="1:5" ht="15.75" customHeight="1">
      <c r="A1009" s="9" t="s">
        <v>2019</v>
      </c>
      <c r="B1009" s="9" t="s">
        <v>2020</v>
      </c>
      <c r="C1009" t="str">
        <f t="shared" si="45"/>
        <v>Mr</v>
      </c>
      <c r="D1009" t="str">
        <f t="shared" si="46"/>
        <v>Oscal</v>
      </c>
      <c r="E1009" t="str">
        <f t="shared" si="47"/>
        <v>orian</v>
      </c>
    </row>
    <row r="1010" spans="1:5" ht="15.75" customHeight="1">
      <c r="A1010" s="9" t="s">
        <v>2021</v>
      </c>
      <c r="B1010" s="9" t="s">
        <v>2022</v>
      </c>
      <c r="C1010" t="str">
        <f t="shared" si="45"/>
        <v>Ms</v>
      </c>
      <c r="D1010" t="str">
        <f t="shared" si="46"/>
        <v>Craft</v>
      </c>
      <c r="E1010" t="str">
        <f t="shared" si="47"/>
        <v>Amy</v>
      </c>
    </row>
    <row r="1011" spans="1:5" ht="15.75" customHeight="1">
      <c r="A1011" s="9" t="s">
        <v>2023</v>
      </c>
      <c r="B1011" s="9" t="s">
        <v>2024</v>
      </c>
      <c r="C1011" t="str">
        <f t="shared" si="45"/>
        <v>, M</v>
      </c>
      <c r="D1011" t="str">
        <f t="shared" si="46"/>
        <v>Kebed</v>
      </c>
      <c r="E1011" t="str">
        <f t="shared" si="47"/>
        <v>Aberu</v>
      </c>
    </row>
    <row r="1012" spans="1:5" ht="15.75" customHeight="1">
      <c r="A1012" s="9" t="s">
        <v>2025</v>
      </c>
      <c r="B1012" s="9" t="s">
        <v>2026</v>
      </c>
      <c r="C1012" t="str">
        <f t="shared" si="45"/>
        <v>l,</v>
      </c>
      <c r="D1012" t="str">
        <f t="shared" si="46"/>
        <v>Strob</v>
      </c>
      <c r="E1012" t="str">
        <f t="shared" si="47"/>
        <v>shley</v>
      </c>
    </row>
    <row r="1013" spans="1:5" ht="15.75" customHeight="1">
      <c r="A1013" s="9" t="s">
        <v>2027</v>
      </c>
      <c r="B1013" s="9" t="s">
        <v>2028</v>
      </c>
      <c r="C1013" t="str">
        <f t="shared" si="45"/>
        <v>, M</v>
      </c>
      <c r="D1013" t="str">
        <f t="shared" si="46"/>
        <v>Dalto</v>
      </c>
      <c r="E1013" t="str">
        <f t="shared" si="47"/>
        <v>nna E</v>
      </c>
    </row>
    <row r="1014" spans="1:5" ht="15.75" customHeight="1">
      <c r="A1014" s="9" t="s">
        <v>2029</v>
      </c>
      <c r="B1014" s="9" t="s">
        <v>2030</v>
      </c>
      <c r="C1014" t="str">
        <f t="shared" si="45"/>
        <v>to,</v>
      </c>
      <c r="D1014" t="str">
        <f t="shared" si="46"/>
        <v>Morim</v>
      </c>
      <c r="E1014" t="str">
        <f t="shared" si="47"/>
        <v>ia K.</v>
      </c>
    </row>
    <row r="1015" spans="1:5" ht="15.75" customHeight="1">
      <c r="A1015" s="9" t="s">
        <v>2031</v>
      </c>
      <c r="B1015" s="9" t="s">
        <v>2032</v>
      </c>
      <c r="C1015" t="str">
        <f t="shared" si="45"/>
        <v>e,</v>
      </c>
      <c r="D1015" t="str">
        <f t="shared" si="46"/>
        <v>Manlo</v>
      </c>
      <c r="E1015" t="str">
        <f t="shared" si="47"/>
        <v>ley E</v>
      </c>
    </row>
    <row r="1016" spans="1:5" ht="15.75" customHeight="1">
      <c r="A1016" s="9" t="s">
        <v>2033</v>
      </c>
      <c r="B1016" s="9" t="s">
        <v>2034</v>
      </c>
      <c r="C1016" t="str">
        <f t="shared" si="45"/>
        <v>, M</v>
      </c>
      <c r="D1016" t="str">
        <f t="shared" si="46"/>
        <v>Madzi</v>
      </c>
      <c r="E1016" t="str">
        <f t="shared" si="47"/>
        <v>andra</v>
      </c>
    </row>
    <row r="1017" spans="1:5" ht="15.75" customHeight="1">
      <c r="A1017" s="9" t="s">
        <v>2035</v>
      </c>
      <c r="B1017" s="9" t="s">
        <v>2036</v>
      </c>
      <c r="C1017" t="str">
        <f t="shared" si="45"/>
        <v>, M</v>
      </c>
      <c r="D1017" t="str">
        <f t="shared" si="46"/>
        <v>Hobso</v>
      </c>
      <c r="E1017" t="str">
        <f t="shared" si="47"/>
        <v>ery L</v>
      </c>
    </row>
    <row r="1018" spans="1:5" ht="15.75" customHeight="1">
      <c r="A1018" s="9" t="s">
        <v>2037</v>
      </c>
      <c r="B1018" s="9" t="s">
        <v>2038</v>
      </c>
      <c r="C1018" t="str">
        <f t="shared" si="45"/>
        <v>Mr</v>
      </c>
      <c r="D1018" t="str">
        <f t="shared" si="46"/>
        <v>Reyes</v>
      </c>
      <c r="E1018" t="str">
        <f t="shared" si="47"/>
        <v>na G.</v>
      </c>
    </row>
    <row r="1019" spans="1:5" ht="15.75" customHeight="1">
      <c r="A1019" s="9" t="s">
        <v>2039</v>
      </c>
      <c r="B1019" s="9" t="s">
        <v>2040</v>
      </c>
      <c r="C1019" t="str">
        <f t="shared" si="45"/>
        <v>y,</v>
      </c>
      <c r="D1019" t="str">
        <f t="shared" si="46"/>
        <v>Tiern</v>
      </c>
      <c r="E1019" t="str">
        <f t="shared" si="47"/>
        <v>ie F.</v>
      </c>
    </row>
    <row r="1020" spans="1:5" ht="15.75" customHeight="1">
      <c r="A1020" s="9" t="s">
        <v>2041</v>
      </c>
      <c r="B1020" s="9" t="s">
        <v>2042</v>
      </c>
      <c r="C1020" t="str">
        <f t="shared" si="45"/>
        <v>, M</v>
      </c>
      <c r="D1020" t="str">
        <f t="shared" si="46"/>
        <v>Gabri</v>
      </c>
      <c r="E1020" t="str">
        <f t="shared" si="47"/>
        <v>ephen</v>
      </c>
    </row>
    <row r="1021" spans="1:5" ht="15.75" customHeight="1">
      <c r="A1021" s="9" t="s">
        <v>2043</v>
      </c>
      <c r="B1021" s="9" t="s">
        <v>2044</v>
      </c>
      <c r="C1021" t="str">
        <f t="shared" si="45"/>
        <v>, M</v>
      </c>
      <c r="D1021" t="str">
        <f t="shared" si="46"/>
        <v>Howar</v>
      </c>
      <c r="E1021" t="str">
        <f t="shared" si="47"/>
        <v>za J.</v>
      </c>
    </row>
    <row r="1022" spans="1:5" ht="15.75" customHeight="1">
      <c r="A1022" s="9" t="s">
        <v>2045</v>
      </c>
      <c r="B1022" s="9" t="s">
        <v>2046</v>
      </c>
      <c r="C1022" t="str">
        <f t="shared" si="45"/>
        <v>, M</v>
      </c>
      <c r="D1022" t="str">
        <f t="shared" si="46"/>
        <v>Kalla</v>
      </c>
      <c r="E1022" t="str">
        <f t="shared" si="47"/>
        <v>an M.</v>
      </c>
    </row>
    <row r="1023" spans="1:5" ht="15.75" customHeight="1">
      <c r="A1023" s="9" t="s">
        <v>2047</v>
      </c>
      <c r="B1023" s="9" t="s">
        <v>2048</v>
      </c>
      <c r="C1023" t="str">
        <f t="shared" si="45"/>
        <v>amo</v>
      </c>
      <c r="D1023" t="str">
        <f t="shared" si="46"/>
        <v>Legui</v>
      </c>
      <c r="E1023" t="str">
        <f t="shared" si="47"/>
        <v>ia L.</v>
      </c>
    </row>
    <row r="1024" spans="1:5" ht="15.75" customHeight="1">
      <c r="A1024" s="9" t="s">
        <v>2049</v>
      </c>
      <c r="B1024" s="9" t="s">
        <v>2050</v>
      </c>
      <c r="C1024" t="str">
        <f t="shared" si="45"/>
        <v>in,</v>
      </c>
      <c r="D1024" t="str">
        <f t="shared" si="46"/>
        <v>Escar</v>
      </c>
      <c r="E1024" t="str">
        <f t="shared" si="47"/>
        <v>ica M</v>
      </c>
    </row>
    <row r="1025" spans="1:5" ht="15.75" customHeight="1">
      <c r="A1025" s="9" t="s">
        <v>2051</v>
      </c>
      <c r="B1025" s="9" t="s">
        <v>2052</v>
      </c>
      <c r="C1025" t="str">
        <f t="shared" si="45"/>
        <v>, M</v>
      </c>
      <c r="D1025" t="str">
        <f t="shared" si="46"/>
        <v>Chore</v>
      </c>
      <c r="E1025" t="str">
        <f t="shared" si="47"/>
        <v>y Jr.</v>
      </c>
    </row>
    <row r="1026" spans="1:5" ht="15.75" customHeight="1">
      <c r="A1026" s="9" t="s">
        <v>2053</v>
      </c>
      <c r="B1026" s="9" t="s">
        <v>2054</v>
      </c>
      <c r="C1026" t="str">
        <f t="shared" si="45"/>
        <v>Mr</v>
      </c>
      <c r="D1026" t="str">
        <f t="shared" si="46"/>
        <v>McVay</v>
      </c>
      <c r="E1026" t="str">
        <f t="shared" si="47"/>
        <v>David</v>
      </c>
    </row>
    <row r="1027" spans="1:5" ht="15.75" customHeight="1">
      <c r="A1027" s="9" t="s">
        <v>2055</v>
      </c>
      <c r="B1027" s="9" t="s">
        <v>2056</v>
      </c>
      <c r="C1027" t="str">
        <f t="shared" ref="C1027:C1090" si="48">MID(B1027,7,3)</f>
        <v>, M</v>
      </c>
      <c r="D1027" t="str">
        <f t="shared" ref="D1027:D1090" si="49">LEFT(B1027,5)</f>
        <v>Vinso</v>
      </c>
      <c r="E1027" t="str">
        <f t="shared" ref="E1027:E1090" si="50">RIGHT(B1027,5)</f>
        <v>Tim</v>
      </c>
    </row>
    <row r="1028" spans="1:5" ht="15.75" customHeight="1">
      <c r="A1028" s="9" t="s">
        <v>2057</v>
      </c>
      <c r="B1028" s="9" t="s">
        <v>2058</v>
      </c>
      <c r="C1028" t="str">
        <f t="shared" si="48"/>
        <v>e-D</v>
      </c>
      <c r="D1028" t="str">
        <f t="shared" si="49"/>
        <v>Astri</v>
      </c>
      <c r="E1028" t="str">
        <f t="shared" si="50"/>
        <v>mma M</v>
      </c>
    </row>
    <row r="1029" spans="1:5" ht="15.75" customHeight="1">
      <c r="A1029" s="9" t="s">
        <v>2059</v>
      </c>
      <c r="B1029" s="9" t="s">
        <v>2060</v>
      </c>
      <c r="C1029" t="str">
        <f t="shared" si="48"/>
        <v>, M</v>
      </c>
      <c r="D1029" t="str">
        <f t="shared" si="49"/>
        <v>Harde</v>
      </c>
      <c r="E1029" t="str">
        <f t="shared" si="50"/>
        <v>Tim</v>
      </c>
    </row>
    <row r="1030" spans="1:5" ht="15.75" customHeight="1">
      <c r="A1030" s="9" t="s">
        <v>2061</v>
      </c>
      <c r="B1030" s="9" t="s">
        <v>2062</v>
      </c>
      <c r="C1030" t="str">
        <f t="shared" si="48"/>
        <v>Mr.</v>
      </c>
      <c r="D1030" t="str">
        <f t="shared" si="49"/>
        <v>Bell,</v>
      </c>
      <c r="E1030" t="str">
        <f t="shared" si="50"/>
        <v>trick</v>
      </c>
    </row>
    <row r="1031" spans="1:5" ht="15.75" customHeight="1">
      <c r="A1031" s="9" t="s">
        <v>2063</v>
      </c>
      <c r="B1031" s="9" t="s">
        <v>2064</v>
      </c>
      <c r="C1031" t="str">
        <f t="shared" si="48"/>
        <v>Ms</v>
      </c>
      <c r="D1031" t="str">
        <f t="shared" si="49"/>
        <v>Dawes</v>
      </c>
      <c r="E1031" t="str">
        <f t="shared" si="50"/>
        <v>et K.</v>
      </c>
    </row>
    <row r="1032" spans="1:5" ht="15.75" customHeight="1">
      <c r="A1032" s="9" t="s">
        <v>2065</v>
      </c>
      <c r="B1032" s="9" t="s">
        <v>2066</v>
      </c>
      <c r="C1032" t="str">
        <f t="shared" si="48"/>
        <v>, M</v>
      </c>
      <c r="D1032" t="str">
        <f t="shared" si="49"/>
        <v>Lario</v>
      </c>
      <c r="E1032" t="str">
        <f t="shared" si="50"/>
        <v>briel</v>
      </c>
    </row>
    <row r="1033" spans="1:5" ht="15.75" customHeight="1">
      <c r="A1033" s="9" t="s">
        <v>2067</v>
      </c>
      <c r="B1033" s="9" t="s">
        <v>2068</v>
      </c>
      <c r="C1033" t="str">
        <f t="shared" si="48"/>
        <v>zuk</v>
      </c>
      <c r="D1033" t="str">
        <f t="shared" si="49"/>
        <v>Yarem</v>
      </c>
      <c r="E1033" t="str">
        <f t="shared" si="50"/>
        <v>tasha</v>
      </c>
    </row>
    <row r="1034" spans="1:5" ht="15.75" customHeight="1">
      <c r="A1034" s="9" t="s">
        <v>2069</v>
      </c>
      <c r="B1034" s="9" t="s">
        <v>2070</v>
      </c>
      <c r="C1034" t="str">
        <f t="shared" si="48"/>
        <v>, M</v>
      </c>
      <c r="D1034" t="str">
        <f t="shared" si="49"/>
        <v>Knigh</v>
      </c>
      <c r="E1034" t="str">
        <f t="shared" si="50"/>
        <v>by A.</v>
      </c>
    </row>
    <row r="1035" spans="1:5" ht="15.75" customHeight="1">
      <c r="A1035" s="9" t="s">
        <v>2071</v>
      </c>
      <c r="B1035" s="9" t="s">
        <v>2072</v>
      </c>
      <c r="C1035" t="str">
        <f t="shared" si="48"/>
        <v>an,</v>
      </c>
      <c r="D1035" t="str">
        <f t="shared" si="49"/>
        <v>Evers</v>
      </c>
      <c r="E1035" t="str">
        <f t="shared" si="50"/>
        <v>helle</v>
      </c>
    </row>
    <row r="1036" spans="1:5" ht="15.75" customHeight="1">
      <c r="A1036" s="9" t="s">
        <v>2073</v>
      </c>
      <c r="B1036" s="9" t="s">
        <v>2074</v>
      </c>
      <c r="C1036" t="str">
        <f t="shared" si="48"/>
        <v>y,</v>
      </c>
      <c r="D1036" t="str">
        <f t="shared" si="49"/>
        <v>Hicko</v>
      </c>
      <c r="E1036" t="str">
        <f t="shared" si="50"/>
        <v>ndree</v>
      </c>
    </row>
    <row r="1037" spans="1:5" ht="15.75" customHeight="1">
      <c r="A1037" s="9" t="s">
        <v>2075</v>
      </c>
      <c r="B1037" s="9" t="s">
        <v>2076</v>
      </c>
      <c r="C1037" t="str">
        <f t="shared" si="48"/>
        <v>, M</v>
      </c>
      <c r="D1037" t="str">
        <f t="shared" si="49"/>
        <v>Moone</v>
      </c>
      <c r="E1037" t="str">
        <f t="shared" si="50"/>
        <v>Tara</v>
      </c>
    </row>
    <row r="1038" spans="1:5" ht="15.75" customHeight="1">
      <c r="A1038" s="9" t="s">
        <v>2077</v>
      </c>
      <c r="B1038" s="9" t="s">
        <v>2078</v>
      </c>
      <c r="C1038" t="str">
        <f t="shared" si="48"/>
        <v>ead</v>
      </c>
      <c r="D1038" t="str">
        <f t="shared" si="49"/>
        <v>Craig</v>
      </c>
      <c r="E1038" t="str">
        <f t="shared" si="50"/>
        <v>aniel</v>
      </c>
    </row>
    <row r="1039" spans="1:5" ht="15.75" customHeight="1">
      <c r="A1039" s="9" t="s">
        <v>2079</v>
      </c>
      <c r="B1039" s="9" t="s">
        <v>2080</v>
      </c>
      <c r="C1039" t="str">
        <f t="shared" si="48"/>
        <v>r,</v>
      </c>
      <c r="D1039" t="str">
        <f t="shared" si="49"/>
        <v>Gardn</v>
      </c>
      <c r="E1039" t="str">
        <f t="shared" si="50"/>
        <v>hua P</v>
      </c>
    </row>
    <row r="1040" spans="1:5" ht="15.75" customHeight="1">
      <c r="A1040" s="9" t="s">
        <v>2081</v>
      </c>
      <c r="B1040" s="9" t="s">
        <v>2082</v>
      </c>
      <c r="C1040" t="str">
        <f t="shared" si="48"/>
        <v>z,</v>
      </c>
      <c r="D1040" t="str">
        <f t="shared" si="49"/>
        <v>Lohre</v>
      </c>
      <c r="E1040" t="str">
        <f t="shared" si="50"/>
        <v>rin C</v>
      </c>
    </row>
    <row r="1041" spans="1:5" ht="15.75" customHeight="1">
      <c r="A1041" s="9" t="s">
        <v>2083</v>
      </c>
      <c r="B1041" s="9" t="s">
        <v>2084</v>
      </c>
      <c r="C1041" t="str">
        <f t="shared" si="48"/>
        <v>, M</v>
      </c>
      <c r="D1041" t="str">
        <f t="shared" si="49"/>
        <v>Demis</v>
      </c>
      <c r="E1041" t="str">
        <f t="shared" si="50"/>
        <v>Shure</v>
      </c>
    </row>
    <row r="1042" spans="1:5" ht="15.75" customHeight="1">
      <c r="A1042" s="9" t="s">
        <v>2085</v>
      </c>
      <c r="B1042" s="9" t="s">
        <v>2086</v>
      </c>
      <c r="C1042" t="str">
        <f t="shared" si="48"/>
        <v>, M</v>
      </c>
      <c r="D1042" t="str">
        <f t="shared" si="49"/>
        <v>Nelso</v>
      </c>
      <c r="E1042" t="str">
        <f t="shared" si="50"/>
        <v>chard</v>
      </c>
    </row>
    <row r="1043" spans="1:5" ht="15.75" customHeight="1">
      <c r="A1043" s="9" t="s">
        <v>2087</v>
      </c>
      <c r="B1043" s="9" t="s">
        <v>2088</v>
      </c>
      <c r="C1043" t="str">
        <f t="shared" si="48"/>
        <v>d,</v>
      </c>
      <c r="D1043" t="str">
        <f t="shared" si="49"/>
        <v>Guita</v>
      </c>
      <c r="E1043" t="str">
        <f t="shared" si="50"/>
        <v>renda</v>
      </c>
    </row>
    <row r="1044" spans="1:5" ht="15.75" customHeight="1">
      <c r="A1044" s="9" t="s">
        <v>2089</v>
      </c>
      <c r="B1044" s="9" t="s">
        <v>2090</v>
      </c>
      <c r="C1044" t="str">
        <f t="shared" si="48"/>
        <v>Mr</v>
      </c>
      <c r="D1044" t="str">
        <f t="shared" si="49"/>
        <v>Navas</v>
      </c>
      <c r="E1044" t="str">
        <f t="shared" si="50"/>
        <v>eph M</v>
      </c>
    </row>
    <row r="1045" spans="1:5" ht="15.75" customHeight="1">
      <c r="A1045" s="9" t="s">
        <v>2091</v>
      </c>
      <c r="B1045" s="9" t="s">
        <v>2092</v>
      </c>
      <c r="C1045" t="str">
        <f t="shared" si="48"/>
        <v>, M</v>
      </c>
      <c r="D1045" t="str">
        <f t="shared" si="49"/>
        <v>Ptuch</v>
      </c>
      <c r="E1045" t="str">
        <f t="shared" si="50"/>
        <v>en J.</v>
      </c>
    </row>
    <row r="1046" spans="1:5" ht="15.75" customHeight="1">
      <c r="A1046" s="9" t="s">
        <v>2093</v>
      </c>
      <c r="B1046" s="9" t="s">
        <v>2094</v>
      </c>
      <c r="C1046" t="str">
        <f t="shared" si="48"/>
        <v>c,</v>
      </c>
      <c r="D1046" t="str">
        <f t="shared" si="49"/>
        <v>Kirou</v>
      </c>
      <c r="E1046" t="str">
        <f t="shared" si="50"/>
        <v>athya</v>
      </c>
    </row>
    <row r="1047" spans="1:5" ht="15.75" customHeight="1">
      <c r="A1047" s="9" t="s">
        <v>2095</v>
      </c>
      <c r="B1047" s="9" t="s">
        <v>2096</v>
      </c>
      <c r="C1047" t="str">
        <f t="shared" si="48"/>
        <v>Mr</v>
      </c>
      <c r="D1047" t="str">
        <f t="shared" si="49"/>
        <v>Toews</v>
      </c>
      <c r="E1047" t="str">
        <f t="shared" si="50"/>
        <v>esley</v>
      </c>
    </row>
    <row r="1048" spans="1:5" ht="15.75" customHeight="1">
      <c r="A1048" s="9" t="s">
        <v>2097</v>
      </c>
      <c r="B1048" s="9" t="s">
        <v>2098</v>
      </c>
      <c r="C1048" t="str">
        <f t="shared" si="48"/>
        <v>Mr</v>
      </c>
      <c r="D1048" t="str">
        <f t="shared" si="49"/>
        <v>Perry</v>
      </c>
      <c r="E1048" t="str">
        <f t="shared" si="50"/>
        <v>Tim</v>
      </c>
    </row>
    <row r="1049" spans="1:5" ht="15.75" customHeight="1">
      <c r="A1049" s="9" t="s">
        <v>2099</v>
      </c>
      <c r="B1049" s="9" t="s">
        <v>2100</v>
      </c>
      <c r="C1049" t="str">
        <f t="shared" si="48"/>
        <v>Ms</v>
      </c>
      <c r="D1049" t="str">
        <f t="shared" si="49"/>
        <v>Kretz</v>
      </c>
      <c r="E1049" t="str">
        <f t="shared" si="50"/>
        <v>ie L.</v>
      </c>
    </row>
    <row r="1050" spans="1:5" ht="15.75" customHeight="1">
      <c r="A1050" s="9" t="s">
        <v>2101</v>
      </c>
      <c r="B1050" s="9" t="s">
        <v>2102</v>
      </c>
      <c r="C1050" t="str">
        <f t="shared" si="48"/>
        <v>, M</v>
      </c>
      <c r="D1050" t="str">
        <f t="shared" si="49"/>
        <v>Hempe</v>
      </c>
      <c r="E1050" t="str">
        <f t="shared" si="50"/>
        <v>andra</v>
      </c>
    </row>
    <row r="1051" spans="1:5" ht="15.75" customHeight="1">
      <c r="A1051" s="9" t="s">
        <v>2103</v>
      </c>
      <c r="B1051" s="9" t="s">
        <v>2104</v>
      </c>
      <c r="C1051" t="str">
        <f t="shared" si="48"/>
        <v>m,</v>
      </c>
      <c r="D1051" t="str">
        <f t="shared" si="49"/>
        <v>McBro</v>
      </c>
      <c r="E1051" t="str">
        <f t="shared" si="50"/>
        <v>ffany</v>
      </c>
    </row>
    <row r="1052" spans="1:5" ht="15.75" customHeight="1">
      <c r="A1052" s="9" t="s">
        <v>2105</v>
      </c>
      <c r="B1052" s="9" t="s">
        <v>2106</v>
      </c>
      <c r="C1052" t="str">
        <f t="shared" si="48"/>
        <v>rs.</v>
      </c>
      <c r="D1052" t="str">
        <f t="shared" si="49"/>
        <v>Yoo,</v>
      </c>
      <c r="E1052" t="str">
        <f t="shared" si="50"/>
        <v>cca J</v>
      </c>
    </row>
    <row r="1053" spans="1:5" ht="15.75" customHeight="1">
      <c r="A1053" s="9" t="s">
        <v>2107</v>
      </c>
      <c r="B1053" s="9" t="s">
        <v>2108</v>
      </c>
      <c r="C1053" t="str">
        <f t="shared" si="48"/>
        <v>Mr.</v>
      </c>
      <c r="D1053" t="str">
        <f t="shared" si="49"/>
        <v>Rand,</v>
      </c>
      <c r="E1053" t="str">
        <f t="shared" si="50"/>
        <v>in T.</v>
      </c>
    </row>
    <row r="1054" spans="1:5" ht="15.75" customHeight="1">
      <c r="A1054" s="9" t="s">
        <v>2109</v>
      </c>
      <c r="B1054" s="9" t="s">
        <v>2110</v>
      </c>
      <c r="C1054" t="str">
        <f t="shared" si="48"/>
        <v>Ms</v>
      </c>
      <c r="D1054" t="str">
        <f t="shared" si="49"/>
        <v>Wolfe</v>
      </c>
      <c r="E1054" t="str">
        <f t="shared" si="50"/>
        <v>mie T</v>
      </c>
    </row>
    <row r="1055" spans="1:5" ht="15.75" customHeight="1">
      <c r="A1055" s="9" t="s">
        <v>2111</v>
      </c>
      <c r="B1055" s="9" t="s">
        <v>2112</v>
      </c>
      <c r="C1055" t="str">
        <f t="shared" si="48"/>
        <v>Mr</v>
      </c>
      <c r="D1055" t="str">
        <f t="shared" si="49"/>
        <v>Vance</v>
      </c>
      <c r="E1055" t="str">
        <f t="shared" si="50"/>
        <v>ew T.</v>
      </c>
    </row>
    <row r="1056" spans="1:5" ht="15.75" customHeight="1">
      <c r="A1056" s="9" t="s">
        <v>2113</v>
      </c>
      <c r="B1056" s="9" t="s">
        <v>2114</v>
      </c>
      <c r="C1056" t="str">
        <f t="shared" si="48"/>
        <v>t,</v>
      </c>
      <c r="D1056" t="str">
        <f t="shared" si="49"/>
        <v>Burne</v>
      </c>
      <c r="E1056" t="str">
        <f t="shared" si="50"/>
        <v>Emily</v>
      </c>
    </row>
    <row r="1057" spans="1:5" ht="15.75" customHeight="1">
      <c r="A1057" s="9" t="s">
        <v>2115</v>
      </c>
      <c r="B1057" s="9" t="s">
        <v>2116</v>
      </c>
      <c r="C1057" t="str">
        <f t="shared" si="48"/>
        <v>, M</v>
      </c>
      <c r="D1057" t="str">
        <f t="shared" si="49"/>
        <v>Claso</v>
      </c>
      <c r="E1057" t="str">
        <f t="shared" si="50"/>
        <v>llian</v>
      </c>
    </row>
    <row r="1058" spans="1:5" ht="15.75" customHeight="1">
      <c r="A1058" s="9" t="s">
        <v>2117</v>
      </c>
      <c r="B1058" s="9" t="s">
        <v>2118</v>
      </c>
      <c r="C1058" t="str">
        <f t="shared" si="48"/>
        <v>ly,</v>
      </c>
      <c r="D1058" t="str">
        <f t="shared" si="49"/>
        <v>Donne</v>
      </c>
      <c r="E1058" t="str">
        <f t="shared" si="50"/>
        <v>nn E.</v>
      </c>
    </row>
    <row r="1059" spans="1:5" ht="15.75" customHeight="1">
      <c r="A1059" s="9" t="s">
        <v>2119</v>
      </c>
      <c r="B1059" s="9" t="s">
        <v>2120</v>
      </c>
      <c r="C1059" t="str">
        <f t="shared" si="48"/>
        <v>Ms</v>
      </c>
      <c r="D1059" t="str">
        <f t="shared" si="49"/>
        <v>Pietz</v>
      </c>
      <c r="E1059" t="str">
        <f t="shared" si="50"/>
        <v>isa M</v>
      </c>
    </row>
    <row r="1060" spans="1:5" ht="15.75" customHeight="1">
      <c r="A1060" s="9" t="s">
        <v>2121</v>
      </c>
      <c r="B1060" s="9" t="s">
        <v>2122</v>
      </c>
      <c r="C1060" t="str">
        <f t="shared" si="48"/>
        <v>amp</v>
      </c>
      <c r="D1060" t="str">
        <f t="shared" si="49"/>
        <v>Tegen</v>
      </c>
      <c r="E1060" t="str">
        <f t="shared" si="50"/>
        <v>Matt</v>
      </c>
    </row>
    <row r="1061" spans="1:5" ht="15.75" customHeight="1">
      <c r="A1061" s="9" t="s">
        <v>2123</v>
      </c>
      <c r="B1061" s="9" t="s">
        <v>2124</v>
      </c>
      <c r="C1061" t="str">
        <f t="shared" si="48"/>
        <v>Mr</v>
      </c>
      <c r="D1061" t="str">
        <f t="shared" si="49"/>
        <v>Dover</v>
      </c>
      <c r="E1061" t="str">
        <f t="shared" si="50"/>
        <v>as A.</v>
      </c>
    </row>
    <row r="1062" spans="1:5" ht="15.75" customHeight="1">
      <c r="A1062" s="9" t="s">
        <v>2125</v>
      </c>
      <c r="B1062" s="9" t="s">
        <v>2126</v>
      </c>
      <c r="C1062" t="str">
        <f t="shared" si="48"/>
        <v>eye</v>
      </c>
      <c r="D1062" t="str">
        <f t="shared" si="49"/>
        <v>Docke</v>
      </c>
      <c r="E1062" t="str">
        <f t="shared" si="50"/>
        <v>vin J</v>
      </c>
    </row>
    <row r="1063" spans="1:5" ht="15.75" customHeight="1">
      <c r="A1063" s="9" t="s">
        <v>2127</v>
      </c>
      <c r="B1063" s="9" t="s">
        <v>2128</v>
      </c>
      <c r="C1063" t="str">
        <f t="shared" si="48"/>
        <v>, M</v>
      </c>
      <c r="D1063" t="str">
        <f t="shared" si="49"/>
        <v>Steel</v>
      </c>
      <c r="E1063" t="str">
        <f t="shared" si="50"/>
        <v>. III</v>
      </c>
    </row>
    <row r="1064" spans="1:5" ht="15.75" customHeight="1">
      <c r="A1064" s="9" t="s">
        <v>2129</v>
      </c>
      <c r="B1064" s="9" t="s">
        <v>2130</v>
      </c>
      <c r="C1064" t="str">
        <f t="shared" si="48"/>
        <v>Mr</v>
      </c>
      <c r="D1064" t="str">
        <f t="shared" si="49"/>
        <v>Harel</v>
      </c>
      <c r="E1064" t="str">
        <f t="shared" si="50"/>
        <v>Gal</v>
      </c>
    </row>
    <row r="1065" spans="1:5" ht="15.75" customHeight="1">
      <c r="A1065" s="9" t="s">
        <v>2131</v>
      </c>
      <c r="B1065" s="9" t="s">
        <v>2132</v>
      </c>
      <c r="C1065" t="str">
        <f t="shared" si="48"/>
        <v>, M</v>
      </c>
      <c r="D1065" t="str">
        <f t="shared" si="49"/>
        <v>Aguil</v>
      </c>
      <c r="E1065" t="str">
        <f t="shared" si="50"/>
        <v>Anton</v>
      </c>
    </row>
    <row r="1066" spans="1:5" ht="15.75" customHeight="1">
      <c r="A1066" s="9" t="s">
        <v>2133</v>
      </c>
      <c r="B1066" s="9" t="s">
        <v>2134</v>
      </c>
      <c r="C1066" t="str">
        <f t="shared" si="48"/>
        <v>o S</v>
      </c>
      <c r="D1066" t="str">
        <f t="shared" si="49"/>
        <v>Valle</v>
      </c>
      <c r="E1066" t="str">
        <f t="shared" si="50"/>
        <v>azmin</v>
      </c>
    </row>
    <row r="1067" spans="1:5" ht="15.75" customHeight="1">
      <c r="A1067" s="9" t="s">
        <v>2135</v>
      </c>
      <c r="B1067" s="9" t="s">
        <v>2136</v>
      </c>
      <c r="C1067" t="str">
        <f t="shared" si="48"/>
        <v>im,</v>
      </c>
      <c r="D1067" t="str">
        <f t="shared" si="49"/>
        <v>Beish</v>
      </c>
      <c r="E1067" t="str">
        <f t="shared" si="50"/>
        <v>orian</v>
      </c>
    </row>
    <row r="1068" spans="1:5" ht="15.75" customHeight="1">
      <c r="A1068" s="9" t="s">
        <v>2137</v>
      </c>
      <c r="B1068" s="9" t="s">
        <v>2138</v>
      </c>
      <c r="C1068" t="str">
        <f t="shared" si="48"/>
        <v>f,</v>
      </c>
      <c r="D1068" t="str">
        <f t="shared" si="49"/>
        <v>Lenho</v>
      </c>
      <c r="E1068" t="str">
        <f t="shared" si="50"/>
        <v>ren L</v>
      </c>
    </row>
    <row r="1069" spans="1:5" ht="15.75" customHeight="1">
      <c r="A1069" s="9" t="s">
        <v>2139</v>
      </c>
      <c r="B1069" s="9" t="s">
        <v>2140</v>
      </c>
      <c r="C1069" t="str">
        <f t="shared" si="48"/>
        <v>in,</v>
      </c>
      <c r="D1069" t="str">
        <f t="shared" si="49"/>
        <v>Wehrw</v>
      </c>
      <c r="E1069" t="str">
        <f t="shared" si="50"/>
        <v>Scott</v>
      </c>
    </row>
    <row r="1070" spans="1:5" ht="15.75" customHeight="1">
      <c r="A1070" s="9" t="s">
        <v>2141</v>
      </c>
      <c r="B1070" s="9" t="s">
        <v>2142</v>
      </c>
      <c r="C1070" t="str">
        <f t="shared" si="48"/>
        <v>e,</v>
      </c>
      <c r="D1070" t="str">
        <f t="shared" si="49"/>
        <v>Walla</v>
      </c>
      <c r="E1070" t="str">
        <f t="shared" si="50"/>
        <v>laire</v>
      </c>
    </row>
    <row r="1071" spans="1:5" ht="15.75" customHeight="1">
      <c r="A1071" s="9" t="s">
        <v>2143</v>
      </c>
      <c r="B1071" s="9" t="s">
        <v>2144</v>
      </c>
      <c r="C1071" t="str">
        <f t="shared" si="48"/>
        <v>itz</v>
      </c>
      <c r="D1071" t="str">
        <f t="shared" si="49"/>
        <v>Marko</v>
      </c>
      <c r="E1071" t="str">
        <f t="shared" si="50"/>
        <v>nn M.</v>
      </c>
    </row>
    <row r="1072" spans="1:5" ht="15.75" customHeight="1">
      <c r="A1072" s="9" t="s">
        <v>2145</v>
      </c>
      <c r="B1072" s="9" t="s">
        <v>2146</v>
      </c>
      <c r="C1072" t="str">
        <f t="shared" si="48"/>
        <v>s.</v>
      </c>
      <c r="D1072" t="str">
        <f t="shared" si="49"/>
        <v>Vos,</v>
      </c>
      <c r="E1072" t="str">
        <f t="shared" si="50"/>
        <v>haron</v>
      </c>
    </row>
    <row r="1073" spans="1:5" ht="15.75" customHeight="1">
      <c r="A1073" s="9" t="s">
        <v>2147</v>
      </c>
      <c r="B1073" s="9" t="s">
        <v>2148</v>
      </c>
      <c r="C1073" t="str">
        <f t="shared" si="48"/>
        <v>, M</v>
      </c>
      <c r="D1073" t="str">
        <f t="shared" si="49"/>
        <v>McLeo</v>
      </c>
      <c r="E1073" t="str">
        <f t="shared" si="50"/>
        <v>ndice</v>
      </c>
    </row>
    <row r="1074" spans="1:5" ht="15.75" customHeight="1">
      <c r="A1074" s="9" t="s">
        <v>2149</v>
      </c>
      <c r="B1074" s="9" t="s">
        <v>2150</v>
      </c>
      <c r="C1074" t="str">
        <f t="shared" si="48"/>
        <v>, M</v>
      </c>
      <c r="D1074" t="str">
        <f t="shared" si="49"/>
        <v>Balco</v>
      </c>
      <c r="E1074" t="str">
        <f t="shared" si="50"/>
        <v>fer D</v>
      </c>
    </row>
    <row r="1075" spans="1:5" ht="15.75" customHeight="1">
      <c r="A1075" s="9" t="s">
        <v>2151</v>
      </c>
      <c r="B1075" s="9" t="s">
        <v>2152</v>
      </c>
      <c r="C1075" t="str">
        <f t="shared" si="48"/>
        <v>Mr</v>
      </c>
      <c r="D1075" t="str">
        <f t="shared" si="49"/>
        <v>Dirth</v>
      </c>
      <c r="E1075" t="str">
        <f t="shared" si="50"/>
        <v>Eric</v>
      </c>
    </row>
    <row r="1076" spans="1:5" ht="15.75" customHeight="1">
      <c r="A1076" s="9" t="s">
        <v>2153</v>
      </c>
      <c r="B1076" s="9" t="s">
        <v>2154</v>
      </c>
      <c r="C1076" t="str">
        <f t="shared" si="48"/>
        <v>h,</v>
      </c>
      <c r="D1076" t="str">
        <f t="shared" si="49"/>
        <v>Ingli</v>
      </c>
      <c r="E1076" t="str">
        <f t="shared" si="50"/>
        <v>Bryan</v>
      </c>
    </row>
    <row r="1077" spans="1:5" ht="15.75" customHeight="1">
      <c r="A1077" s="9" t="s">
        <v>2155</v>
      </c>
      <c r="B1077" s="9" t="s">
        <v>2156</v>
      </c>
      <c r="C1077" t="str">
        <f t="shared" si="48"/>
        <v>ws,</v>
      </c>
      <c r="D1077" t="str">
        <f t="shared" si="49"/>
        <v>Matth</v>
      </c>
      <c r="E1077" t="str">
        <f t="shared" si="50"/>
        <v>on R.</v>
      </c>
    </row>
    <row r="1078" spans="1:5" ht="15.75" customHeight="1">
      <c r="A1078" s="9" t="s">
        <v>2157</v>
      </c>
      <c r="B1078" s="9" t="s">
        <v>2158</v>
      </c>
      <c r="C1078" t="str">
        <f t="shared" si="48"/>
        <v>Mus</v>
      </c>
      <c r="D1078" t="str">
        <f t="shared" si="49"/>
        <v>Massa</v>
      </c>
      <c r="E1078" t="str">
        <f t="shared" si="50"/>
        <v>Elena</v>
      </c>
    </row>
    <row r="1079" spans="1:5" ht="15.75" customHeight="1">
      <c r="A1079" s="9" t="s">
        <v>2159</v>
      </c>
      <c r="B1079" s="9" t="s">
        <v>2160</v>
      </c>
      <c r="C1079" t="str">
        <f t="shared" si="48"/>
        <v>, M</v>
      </c>
      <c r="D1079" t="str">
        <f t="shared" si="49"/>
        <v>Baile</v>
      </c>
      <c r="E1079" t="str">
        <f t="shared" si="50"/>
        <v>Chris</v>
      </c>
    </row>
    <row r="1080" spans="1:5" ht="15.75" customHeight="1">
      <c r="A1080" s="9" t="s">
        <v>2161</v>
      </c>
      <c r="B1080" s="9" t="s">
        <v>2162</v>
      </c>
      <c r="C1080" t="str">
        <f t="shared" si="48"/>
        <v>, M</v>
      </c>
      <c r="D1080" t="str">
        <f t="shared" si="49"/>
        <v>Jacob</v>
      </c>
      <c r="E1080" t="str">
        <f t="shared" si="50"/>
        <v>Bert</v>
      </c>
    </row>
    <row r="1081" spans="1:5" ht="15.75" customHeight="1">
      <c r="A1081" s="9" t="s">
        <v>2163</v>
      </c>
      <c r="B1081" s="9" t="s">
        <v>2164</v>
      </c>
      <c r="C1081" t="str">
        <f t="shared" si="48"/>
        <v>ngs</v>
      </c>
      <c r="D1081" t="str">
        <f t="shared" si="49"/>
        <v>Crimm</v>
      </c>
      <c r="E1081" t="str">
        <f t="shared" si="50"/>
        <v>hn P.</v>
      </c>
    </row>
    <row r="1082" spans="1:5" ht="15.75" customHeight="1">
      <c r="A1082" s="9" t="s">
        <v>2165</v>
      </c>
      <c r="B1082" s="9" t="s">
        <v>2166</v>
      </c>
      <c r="C1082" t="str">
        <f t="shared" si="48"/>
        <v>Mr</v>
      </c>
      <c r="D1082" t="str">
        <f t="shared" si="49"/>
        <v>Crane</v>
      </c>
      <c r="E1082" t="str">
        <f t="shared" si="50"/>
        <v>iel P</v>
      </c>
    </row>
    <row r="1083" spans="1:5" ht="15.75" customHeight="1">
      <c r="A1083" s="9" t="s">
        <v>2167</v>
      </c>
      <c r="B1083" s="9" t="s">
        <v>2168</v>
      </c>
      <c r="C1083" t="str">
        <f t="shared" si="48"/>
        <v>fag</v>
      </c>
      <c r="D1083" t="str">
        <f t="shared" si="49"/>
        <v>Swart</v>
      </c>
      <c r="E1083" t="str">
        <f t="shared" si="50"/>
        <v>sa K.</v>
      </c>
    </row>
    <row r="1084" spans="1:5" ht="15.75" customHeight="1">
      <c r="A1084" s="9" t="s">
        <v>2169</v>
      </c>
      <c r="B1084" s="9" t="s">
        <v>2170</v>
      </c>
      <c r="C1084" t="str">
        <f t="shared" si="48"/>
        <v>ger</v>
      </c>
      <c r="D1084" t="str">
        <f t="shared" si="49"/>
        <v>Cleve</v>
      </c>
      <c r="E1084" t="str">
        <f t="shared" si="50"/>
        <v>stine</v>
      </c>
    </row>
    <row r="1085" spans="1:5" ht="15.75" customHeight="1">
      <c r="A1085" s="9" t="s">
        <v>2171</v>
      </c>
      <c r="B1085" s="9" t="s">
        <v>2172</v>
      </c>
      <c r="C1085" t="str">
        <f t="shared" si="48"/>
        <v>rdt</v>
      </c>
      <c r="D1085" t="str">
        <f t="shared" si="49"/>
        <v>Reich</v>
      </c>
      <c r="E1085" t="str">
        <f t="shared" si="50"/>
        <v>aul A</v>
      </c>
    </row>
    <row r="1086" spans="1:5" ht="15.75" customHeight="1">
      <c r="A1086" s="9" t="s">
        <v>2173</v>
      </c>
      <c r="B1086" s="9" t="s">
        <v>2174</v>
      </c>
      <c r="C1086" t="str">
        <f t="shared" si="48"/>
        <v>, M</v>
      </c>
      <c r="D1086" t="str">
        <f t="shared" si="49"/>
        <v>Morto</v>
      </c>
      <c r="E1086" t="str">
        <f t="shared" si="50"/>
        <v>Bryan</v>
      </c>
    </row>
    <row r="1087" spans="1:5" ht="15.75" customHeight="1">
      <c r="A1087" s="9" t="s">
        <v>2175</v>
      </c>
      <c r="B1087" s="9" t="s">
        <v>2176</v>
      </c>
      <c r="C1087" t="str">
        <f t="shared" si="48"/>
        <v>um,</v>
      </c>
      <c r="D1087" t="str">
        <f t="shared" si="49"/>
        <v>Sunst</v>
      </c>
      <c r="E1087" t="str">
        <f t="shared" si="50"/>
        <v>Chris</v>
      </c>
    </row>
    <row r="1088" spans="1:5" ht="15.75" customHeight="1">
      <c r="A1088" s="9" t="s">
        <v>2177</v>
      </c>
      <c r="B1088" s="9" t="s">
        <v>2178</v>
      </c>
      <c r="C1088" t="str">
        <f t="shared" si="48"/>
        <v>elt</v>
      </c>
      <c r="D1088" t="str">
        <f t="shared" si="49"/>
        <v>Frown</v>
      </c>
      <c r="E1088" t="str">
        <f t="shared" si="50"/>
        <v>lah B</v>
      </c>
    </row>
    <row r="1089" spans="1:5" ht="15.75" customHeight="1">
      <c r="A1089" s="9" t="s">
        <v>2179</v>
      </c>
      <c r="B1089" s="9" t="s">
        <v>2180</v>
      </c>
      <c r="C1089" t="str">
        <f t="shared" si="48"/>
        <v>r,</v>
      </c>
      <c r="D1089" t="str">
        <f t="shared" si="49"/>
        <v>Richt</v>
      </c>
      <c r="E1089" t="str">
        <f t="shared" si="50"/>
        <v>te M.</v>
      </c>
    </row>
    <row r="1090" spans="1:5" ht="15.75" customHeight="1">
      <c r="A1090" s="9" t="s">
        <v>2181</v>
      </c>
      <c r="B1090" s="9" t="s">
        <v>2182</v>
      </c>
      <c r="C1090" t="str">
        <f t="shared" si="48"/>
        <v>d,</v>
      </c>
      <c r="D1090" t="str">
        <f t="shared" si="49"/>
        <v>Engla</v>
      </c>
      <c r="E1090" t="str">
        <f t="shared" si="50"/>
        <v>Yoko</v>
      </c>
    </row>
    <row r="1091" spans="1:5" ht="15.75" customHeight="1">
      <c r="A1091" s="9" t="s">
        <v>2183</v>
      </c>
      <c r="B1091" s="9" t="s">
        <v>2184</v>
      </c>
      <c r="C1091" t="str">
        <f t="shared" ref="C1091:C1154" si="51">MID(B1091,7,3)</f>
        <v>, M</v>
      </c>
      <c r="D1091" t="str">
        <f t="shared" ref="D1091:D1154" si="52">LEFT(B1091,5)</f>
        <v>McLea</v>
      </c>
      <c r="E1091" t="str">
        <f t="shared" ref="E1091:E1154" si="53">RIGHT(B1091,5)</f>
        <v>Laura</v>
      </c>
    </row>
    <row r="1092" spans="1:5" ht="15.75" customHeight="1">
      <c r="A1092" s="9" t="s">
        <v>2185</v>
      </c>
      <c r="B1092" s="9" t="s">
        <v>2186</v>
      </c>
      <c r="C1092" t="str">
        <f t="shared" si="51"/>
        <v>r,</v>
      </c>
      <c r="D1092" t="str">
        <f t="shared" si="52"/>
        <v>Gardn</v>
      </c>
      <c r="E1092" t="str">
        <f t="shared" si="53"/>
        <v>ss A.</v>
      </c>
    </row>
    <row r="1093" spans="1:5" ht="15.75" customHeight="1">
      <c r="A1093" s="9" t="s">
        <v>2187</v>
      </c>
      <c r="B1093" s="9" t="s">
        <v>2188</v>
      </c>
      <c r="C1093" t="str">
        <f t="shared" si="51"/>
        <v>Mr.</v>
      </c>
      <c r="D1093" t="str">
        <f t="shared" si="52"/>
        <v>Lane,</v>
      </c>
      <c r="E1093" t="str">
        <f t="shared" si="53"/>
        <v>am G.</v>
      </c>
    </row>
    <row r="1094" spans="1:5" ht="15.75" customHeight="1">
      <c r="A1094" s="9" t="s">
        <v>2189</v>
      </c>
      <c r="B1094" s="9" t="s">
        <v>2190</v>
      </c>
      <c r="C1094" t="str">
        <f t="shared" si="51"/>
        <v>en,</v>
      </c>
      <c r="D1094" t="str">
        <f t="shared" si="52"/>
        <v>Vonac</v>
      </c>
      <c r="E1094" t="str">
        <f t="shared" si="53"/>
        <v>Paige</v>
      </c>
    </row>
    <row r="1095" spans="1:5" ht="15.75" customHeight="1">
      <c r="A1095" s="9" t="s">
        <v>2191</v>
      </c>
      <c r="B1095" s="9" t="s">
        <v>2192</v>
      </c>
      <c r="C1095" t="str">
        <f t="shared" si="51"/>
        <v>Mr</v>
      </c>
      <c r="D1095" t="str">
        <f t="shared" si="52"/>
        <v>Smith</v>
      </c>
      <c r="E1095" t="str">
        <f t="shared" si="53"/>
        <v>hew J</v>
      </c>
    </row>
    <row r="1096" spans="1:5" ht="15.75" customHeight="1">
      <c r="A1096" s="9" t="s">
        <v>2193</v>
      </c>
      <c r="B1096" s="9" t="s">
        <v>2194</v>
      </c>
      <c r="C1096" t="str">
        <f t="shared" si="51"/>
        <v>l,</v>
      </c>
      <c r="D1096" t="str">
        <f t="shared" si="52"/>
        <v>Kidwe</v>
      </c>
      <c r="E1096" t="str">
        <f t="shared" si="53"/>
        <v>tthew</v>
      </c>
    </row>
    <row r="1097" spans="1:5" ht="15.75" customHeight="1">
      <c r="A1097" s="9" t="s">
        <v>2195</v>
      </c>
      <c r="B1097" s="9" t="s">
        <v>2196</v>
      </c>
      <c r="C1097" t="str">
        <f t="shared" si="51"/>
        <v>our</v>
      </c>
      <c r="D1097" t="str">
        <f t="shared" si="52"/>
        <v>Betan</v>
      </c>
      <c r="E1097" t="str">
        <f t="shared" si="53"/>
        <v>Maria</v>
      </c>
    </row>
    <row r="1098" spans="1:5" ht="15.75" customHeight="1">
      <c r="A1098" s="9" t="s">
        <v>2197</v>
      </c>
      <c r="B1098" s="9" t="s">
        <v>2198</v>
      </c>
      <c r="C1098" t="str">
        <f t="shared" si="51"/>
        <v>om,</v>
      </c>
      <c r="D1098" t="str">
        <f t="shared" si="52"/>
        <v>Henst</v>
      </c>
      <c r="E1098" t="str">
        <f t="shared" si="53"/>
        <v>nie D</v>
      </c>
    </row>
    <row r="1099" spans="1:5" ht="15.75" customHeight="1">
      <c r="A1099" s="9" t="s">
        <v>2199</v>
      </c>
      <c r="B1099" s="9" t="s">
        <v>2200</v>
      </c>
      <c r="C1099" t="str">
        <f t="shared" si="51"/>
        <v>a,</v>
      </c>
      <c r="D1099" t="str">
        <f t="shared" si="52"/>
        <v>Perei</v>
      </c>
      <c r="E1099" t="str">
        <f t="shared" si="53"/>
        <v>ffany</v>
      </c>
    </row>
    <row r="1100" spans="1:5" ht="15.75" customHeight="1">
      <c r="A1100" s="9" t="s">
        <v>2201</v>
      </c>
      <c r="B1100" s="9" t="s">
        <v>2202</v>
      </c>
      <c r="C1100" t="str">
        <f t="shared" si="51"/>
        <v>Ms</v>
      </c>
      <c r="D1100" t="str">
        <f t="shared" si="52"/>
        <v>Black</v>
      </c>
      <c r="E1100" t="str">
        <f t="shared" si="53"/>
        <v>ra M.</v>
      </c>
    </row>
    <row r="1101" spans="1:5" ht="15.75" customHeight="1">
      <c r="A1101" s="9" t="s">
        <v>2203</v>
      </c>
      <c r="B1101" s="9" t="s">
        <v>2204</v>
      </c>
      <c r="C1101" t="str">
        <f t="shared" si="51"/>
        <v>Mr</v>
      </c>
      <c r="D1101" t="str">
        <f t="shared" si="52"/>
        <v>Brown</v>
      </c>
      <c r="E1101" t="str">
        <f t="shared" si="53"/>
        <v>tt A.</v>
      </c>
    </row>
    <row r="1102" spans="1:5" ht="15.75" customHeight="1">
      <c r="A1102" s="9" t="s">
        <v>2205</v>
      </c>
      <c r="B1102" s="9" t="s">
        <v>2206</v>
      </c>
      <c r="C1102" t="str">
        <f t="shared" si="51"/>
        <v>er,</v>
      </c>
      <c r="D1102" t="str">
        <f t="shared" si="52"/>
        <v>Reaso</v>
      </c>
      <c r="E1102" t="str">
        <f t="shared" si="53"/>
        <v>auren</v>
      </c>
    </row>
    <row r="1103" spans="1:5" ht="15.75" customHeight="1">
      <c r="A1103" s="9" t="s">
        <v>2207</v>
      </c>
      <c r="B1103" s="9" t="s">
        <v>2208</v>
      </c>
      <c r="C1103" t="str">
        <f t="shared" si="51"/>
        <v>lak</v>
      </c>
      <c r="D1103" t="str">
        <f t="shared" si="52"/>
        <v>Wandz</v>
      </c>
      <c r="E1103" t="str">
        <f t="shared" si="53"/>
        <v>Scott</v>
      </c>
    </row>
    <row r="1104" spans="1:5" ht="15.75" customHeight="1">
      <c r="A1104" s="9" t="s">
        <v>2209</v>
      </c>
      <c r="B1104" s="9" t="s">
        <v>2210</v>
      </c>
      <c r="C1104" t="str">
        <f t="shared" si="51"/>
        <v>, M</v>
      </c>
      <c r="D1104" t="str">
        <f t="shared" si="52"/>
        <v>Carve</v>
      </c>
      <c r="E1104" t="str">
        <f t="shared" si="53"/>
        <v>an A.</v>
      </c>
    </row>
    <row r="1105" spans="1:5" ht="15.75" customHeight="1">
      <c r="A1105" s="9" t="s">
        <v>2211</v>
      </c>
      <c r="B1105" s="9" t="s">
        <v>2212</v>
      </c>
      <c r="C1105" t="str">
        <f t="shared" si="51"/>
        <v>, M</v>
      </c>
      <c r="D1105" t="str">
        <f t="shared" si="52"/>
        <v>Borro</v>
      </c>
      <c r="E1105" t="str">
        <f t="shared" si="53"/>
        <v>in R.</v>
      </c>
    </row>
    <row r="1106" spans="1:5" ht="15.75" customHeight="1">
      <c r="A1106" s="9" t="s">
        <v>2213</v>
      </c>
      <c r="B1106" s="9" t="s">
        <v>2214</v>
      </c>
      <c r="C1106" t="str">
        <f t="shared" si="51"/>
        <v>Mr.</v>
      </c>
      <c r="D1106" t="str">
        <f t="shared" si="52"/>
        <v>Saad,</v>
      </c>
      <c r="E1106" t="str">
        <f t="shared" si="53"/>
        <v>ammad</v>
      </c>
    </row>
    <row r="1107" spans="1:5" ht="15.75" customHeight="1">
      <c r="A1107" s="9" t="s">
        <v>2215</v>
      </c>
      <c r="B1107" s="9" t="s">
        <v>2216</v>
      </c>
      <c r="C1107" t="str">
        <f t="shared" si="51"/>
        <v>Mr.</v>
      </c>
      <c r="D1107" t="str">
        <f t="shared" si="52"/>
        <v>Paul,</v>
      </c>
      <c r="E1107" t="str">
        <f t="shared" si="53"/>
        <v>arlie</v>
      </c>
    </row>
    <row r="1108" spans="1:5" ht="15.75" customHeight="1">
      <c r="A1108" s="9" t="s">
        <v>2217</v>
      </c>
      <c r="B1108" s="9" t="s">
        <v>2218</v>
      </c>
      <c r="C1108" t="str">
        <f t="shared" si="51"/>
        <v>Mr</v>
      </c>
      <c r="D1108" t="str">
        <f t="shared" si="52"/>
        <v>Trail</v>
      </c>
      <c r="E1108" t="str">
        <f t="shared" si="53"/>
        <v>Brent</v>
      </c>
    </row>
    <row r="1109" spans="1:5" ht="15.75" customHeight="1">
      <c r="A1109" s="9" t="s">
        <v>2219</v>
      </c>
      <c r="B1109" s="9" t="s">
        <v>2220</v>
      </c>
      <c r="C1109" t="str">
        <f t="shared" si="51"/>
        <v>, M</v>
      </c>
      <c r="D1109" t="str">
        <f t="shared" si="52"/>
        <v>Bento</v>
      </c>
      <c r="E1109" t="str">
        <f t="shared" si="53"/>
        <v>lli M</v>
      </c>
    </row>
    <row r="1110" spans="1:5" ht="15.75" customHeight="1">
      <c r="A1110" s="9" t="s">
        <v>2221</v>
      </c>
      <c r="B1110" s="9" t="s">
        <v>2222</v>
      </c>
      <c r="C1110" t="str">
        <f t="shared" si="51"/>
        <v>, M</v>
      </c>
      <c r="D1110" t="str">
        <f t="shared" si="52"/>
        <v>Bauma</v>
      </c>
      <c r="E1110" t="str">
        <f t="shared" si="53"/>
        <v>dan H</v>
      </c>
    </row>
    <row r="1111" spans="1:5" ht="15.75" customHeight="1">
      <c r="A1111" s="9" t="s">
        <v>2223</v>
      </c>
      <c r="B1111" s="9" t="s">
        <v>2224</v>
      </c>
      <c r="C1111" t="str">
        <f t="shared" si="51"/>
        <v>, M</v>
      </c>
      <c r="D1111" t="str">
        <f t="shared" si="52"/>
        <v>Bakul</v>
      </c>
      <c r="E1111" t="str">
        <f t="shared" si="53"/>
        <v>ah M.</v>
      </c>
    </row>
    <row r="1112" spans="1:5" ht="15.75" customHeight="1">
      <c r="A1112" s="9" t="s">
        <v>2225</v>
      </c>
      <c r="B1112" s="9" t="s">
        <v>2226</v>
      </c>
      <c r="C1112" t="str">
        <f t="shared" si="51"/>
        <v>s,</v>
      </c>
      <c r="D1112" t="str">
        <f t="shared" si="52"/>
        <v>Edwar</v>
      </c>
      <c r="E1112" t="str">
        <f t="shared" si="53"/>
        <v>nifer</v>
      </c>
    </row>
    <row r="1113" spans="1:5" ht="15.75" customHeight="1">
      <c r="A1113" s="9" t="s">
        <v>2227</v>
      </c>
      <c r="B1113" s="9" t="s">
        <v>2228</v>
      </c>
      <c r="C1113" t="str">
        <f t="shared" si="51"/>
        <v>Mr</v>
      </c>
      <c r="D1113" t="str">
        <f t="shared" si="52"/>
        <v>Davis</v>
      </c>
      <c r="E1113" t="str">
        <f t="shared" si="53"/>
        <v>ura J</v>
      </c>
    </row>
    <row r="1114" spans="1:5" ht="15.75" customHeight="1">
      <c r="A1114" s="9" t="s">
        <v>2229</v>
      </c>
      <c r="B1114" s="9" t="s">
        <v>2230</v>
      </c>
      <c r="C1114" t="str">
        <f t="shared" si="51"/>
        <v>, M</v>
      </c>
      <c r="D1114" t="str">
        <f t="shared" si="52"/>
        <v>Weile</v>
      </c>
      <c r="E1114" t="str">
        <f t="shared" si="53"/>
        <v>homas</v>
      </c>
    </row>
    <row r="1115" spans="1:5" ht="15.75" customHeight="1">
      <c r="A1115" s="9" t="s">
        <v>2231</v>
      </c>
      <c r="B1115" s="9" t="s">
        <v>2232</v>
      </c>
      <c r="C1115" t="str">
        <f t="shared" si="51"/>
        <v>, M</v>
      </c>
      <c r="D1115" t="str">
        <f t="shared" si="52"/>
        <v>Schaa</v>
      </c>
      <c r="E1115" t="str">
        <f t="shared" si="53"/>
        <v>isele</v>
      </c>
    </row>
    <row r="1116" spans="1:5" ht="15.75" customHeight="1">
      <c r="A1116" s="9" t="s">
        <v>2233</v>
      </c>
      <c r="B1116" s="9" t="s">
        <v>2234</v>
      </c>
      <c r="C1116" t="str">
        <f t="shared" si="51"/>
        <v>Ms.</v>
      </c>
      <c r="D1116" t="str">
        <f t="shared" si="52"/>
        <v>Sack,</v>
      </c>
      <c r="E1116" t="str">
        <f t="shared" si="53"/>
        <v>yra L</v>
      </c>
    </row>
    <row r="1117" spans="1:5" ht="15.75" customHeight="1">
      <c r="A1117" s="9" t="s">
        <v>2235</v>
      </c>
      <c r="B1117" s="9" t="s">
        <v>2236</v>
      </c>
      <c r="C1117" t="str">
        <f t="shared" si="51"/>
        <v>d,</v>
      </c>
      <c r="D1117" t="str">
        <f t="shared" si="52"/>
        <v>Chena</v>
      </c>
      <c r="E1117" t="str">
        <f t="shared" si="53"/>
        <v>sa M.</v>
      </c>
    </row>
    <row r="1118" spans="1:5" ht="15.75" customHeight="1">
      <c r="A1118" s="9" t="s">
        <v>2237</v>
      </c>
      <c r="B1118" s="9" t="s">
        <v>2238</v>
      </c>
      <c r="C1118" t="str">
        <f t="shared" si="51"/>
        <v>mso</v>
      </c>
      <c r="D1118" t="str">
        <f t="shared" si="52"/>
        <v>Willi</v>
      </c>
      <c r="E1118" t="str">
        <f t="shared" si="53"/>
        <v>or F.</v>
      </c>
    </row>
    <row r="1119" spans="1:5" ht="15.75" customHeight="1">
      <c r="A1119" s="9" t="s">
        <v>2239</v>
      </c>
      <c r="B1119" s="9" t="s">
        <v>2240</v>
      </c>
      <c r="C1119" t="str">
        <f t="shared" si="51"/>
        <v>, M</v>
      </c>
      <c r="D1119" t="str">
        <f t="shared" si="52"/>
        <v>Dolla</v>
      </c>
      <c r="E1119" t="str">
        <f t="shared" si="53"/>
        <v>abeth</v>
      </c>
    </row>
    <row r="1120" spans="1:5" ht="15.75" customHeight="1">
      <c r="A1120" s="9" t="s">
        <v>2241</v>
      </c>
      <c r="B1120" s="9" t="s">
        <v>2242</v>
      </c>
      <c r="C1120" t="str">
        <f t="shared" si="51"/>
        <v>e,</v>
      </c>
      <c r="D1120" t="str">
        <f t="shared" si="52"/>
        <v>Sprag</v>
      </c>
      <c r="E1120" t="str">
        <f t="shared" si="53"/>
        <v>nneth</v>
      </c>
    </row>
    <row r="1121" spans="1:5" ht="15.75" customHeight="1">
      <c r="A1121" s="9" t="s">
        <v>2243</v>
      </c>
      <c r="B1121" s="9" t="s">
        <v>2244</v>
      </c>
      <c r="C1121" t="str">
        <f t="shared" si="51"/>
        <v>l,</v>
      </c>
      <c r="D1121" t="str">
        <f t="shared" si="52"/>
        <v>Miche</v>
      </c>
      <c r="E1121" t="str">
        <f t="shared" si="53"/>
        <v>rt G.</v>
      </c>
    </row>
    <row r="1122" spans="1:5" ht="15.75" customHeight="1">
      <c r="A1122" s="9" t="s">
        <v>2245</v>
      </c>
      <c r="B1122" s="9" t="s">
        <v>2246</v>
      </c>
      <c r="C1122" t="str">
        <f t="shared" si="51"/>
        <v>er,</v>
      </c>
      <c r="D1122" t="str">
        <f t="shared" si="52"/>
        <v>Datwy</v>
      </c>
      <c r="E1122" t="str">
        <f t="shared" si="53"/>
        <v>as C.</v>
      </c>
    </row>
    <row r="1123" spans="1:5" ht="15.75" customHeight="1">
      <c r="A1123" s="9" t="s">
        <v>2247</v>
      </c>
      <c r="B1123" s="9" t="s">
        <v>2248</v>
      </c>
      <c r="C1123" t="str">
        <f t="shared" si="51"/>
        <v>Mr.</v>
      </c>
      <c r="D1123" t="str">
        <f t="shared" si="52"/>
        <v>Mead,</v>
      </c>
      <c r="E1123" t="str">
        <f t="shared" si="53"/>
        <v>ew J.</v>
      </c>
    </row>
    <row r="1124" spans="1:5" ht="15.75" customHeight="1">
      <c r="A1124" s="9" t="s">
        <v>2249</v>
      </c>
      <c r="B1124" s="9" t="s">
        <v>2250</v>
      </c>
      <c r="C1124" t="str">
        <f t="shared" si="51"/>
        <v>y,</v>
      </c>
      <c r="D1124" t="str">
        <f t="shared" si="52"/>
        <v>Kenne</v>
      </c>
      <c r="E1124" t="str">
        <f t="shared" si="53"/>
        <v>ry D.</v>
      </c>
    </row>
    <row r="1125" spans="1:5" ht="15.75" customHeight="1">
      <c r="A1125" s="9" t="s">
        <v>2251</v>
      </c>
      <c r="B1125" s="9" t="s">
        <v>2252</v>
      </c>
      <c r="C1125" t="str">
        <f t="shared" si="51"/>
        <v>Mr</v>
      </c>
      <c r="D1125" t="str">
        <f t="shared" si="52"/>
        <v>Czech</v>
      </c>
      <c r="E1125" t="str">
        <f t="shared" si="53"/>
        <v>er D.</v>
      </c>
    </row>
    <row r="1126" spans="1:5" ht="15.75" customHeight="1">
      <c r="A1126" s="9" t="s">
        <v>2253</v>
      </c>
      <c r="B1126" s="9" t="s">
        <v>2254</v>
      </c>
      <c r="C1126" t="str">
        <f t="shared" si="51"/>
        <v>n,</v>
      </c>
      <c r="D1126" t="str">
        <f t="shared" si="52"/>
        <v>O'Bri</v>
      </c>
      <c r="E1126" t="str">
        <f t="shared" si="53"/>
        <v>Jamie</v>
      </c>
    </row>
    <row r="1127" spans="1:5" ht="15.75" customHeight="1">
      <c r="A1127" s="9" t="s">
        <v>2255</v>
      </c>
      <c r="B1127" s="9" t="s">
        <v>2256</v>
      </c>
      <c r="C1127" t="str">
        <f t="shared" si="51"/>
        <v>n,</v>
      </c>
      <c r="D1127" t="str">
        <f t="shared" si="52"/>
        <v>Bachm</v>
      </c>
      <c r="E1127" t="str">
        <f t="shared" si="53"/>
        <v>riell</v>
      </c>
    </row>
    <row r="1128" spans="1:5" ht="15.75" customHeight="1">
      <c r="A1128" s="9" t="s">
        <v>2257</v>
      </c>
      <c r="B1128" s="9" t="s">
        <v>2258</v>
      </c>
      <c r="C1128" t="str">
        <f t="shared" si="51"/>
        <v>, M</v>
      </c>
      <c r="D1128" t="str">
        <f t="shared" si="52"/>
        <v>Bedna</v>
      </c>
      <c r="E1128" t="str">
        <f t="shared" si="53"/>
        <v>opher</v>
      </c>
    </row>
    <row r="1129" spans="1:5" ht="15.75" customHeight="1">
      <c r="A1129" s="9" t="s">
        <v>2259</v>
      </c>
      <c r="B1129" s="9" t="s">
        <v>2260</v>
      </c>
      <c r="C1129" t="str">
        <f t="shared" si="51"/>
        <v>Mr.</v>
      </c>
      <c r="D1129" t="str">
        <f t="shared" si="52"/>
        <v>Daye,</v>
      </c>
      <c r="E1129" t="str">
        <f t="shared" si="53"/>
        <v>Ryan</v>
      </c>
    </row>
    <row r="1130" spans="1:5" ht="15.75" customHeight="1">
      <c r="A1130" s="9" t="s">
        <v>2261</v>
      </c>
      <c r="B1130" s="9" t="s">
        <v>2262</v>
      </c>
      <c r="C1130" t="str">
        <f t="shared" si="51"/>
        <v>, M</v>
      </c>
      <c r="D1130" t="str">
        <f t="shared" si="52"/>
        <v>Clark</v>
      </c>
      <c r="E1130" t="str">
        <f t="shared" si="53"/>
        <v>as B.</v>
      </c>
    </row>
    <row r="1131" spans="1:5" ht="15.75" customHeight="1">
      <c r="A1131" s="9" t="s">
        <v>2263</v>
      </c>
      <c r="B1131" s="9" t="s">
        <v>2264</v>
      </c>
      <c r="C1131" t="str">
        <f t="shared" si="51"/>
        <v>Ms</v>
      </c>
      <c r="D1131" t="str">
        <f t="shared" si="52"/>
        <v>Koren</v>
      </c>
      <c r="E1131" t="str">
        <f t="shared" si="53"/>
        <v>Katie</v>
      </c>
    </row>
    <row r="1132" spans="1:5" ht="15.75" customHeight="1">
      <c r="A1132" s="9" t="s">
        <v>2265</v>
      </c>
      <c r="B1132" s="9" t="s">
        <v>2266</v>
      </c>
      <c r="C1132" t="str">
        <f t="shared" si="51"/>
        <v>to,</v>
      </c>
      <c r="D1132" t="str">
        <f t="shared" si="52"/>
        <v>Kuram</v>
      </c>
      <c r="E1132" t="str">
        <f t="shared" si="53"/>
        <v>lle L</v>
      </c>
    </row>
    <row r="1133" spans="1:5" ht="15.75" customHeight="1">
      <c r="A1133" s="9" t="s">
        <v>2267</v>
      </c>
      <c r="B1133" s="9" t="s">
        <v>2268</v>
      </c>
      <c r="C1133" t="str">
        <f t="shared" si="51"/>
        <v>Ms.</v>
      </c>
      <c r="D1133" t="str">
        <f t="shared" si="52"/>
        <v>Lynn,</v>
      </c>
      <c r="E1133" t="str">
        <f t="shared" si="53"/>
        <v>lleen</v>
      </c>
    </row>
    <row r="1134" spans="1:5" ht="15.75" customHeight="1">
      <c r="A1134" s="9" t="s">
        <v>2269</v>
      </c>
      <c r="B1134" s="9" t="s">
        <v>2270</v>
      </c>
      <c r="C1134" t="str">
        <f t="shared" si="51"/>
        <v>en,</v>
      </c>
      <c r="D1134" t="str">
        <f t="shared" si="52"/>
        <v>Dierk</v>
      </c>
      <c r="E1134" t="str">
        <f t="shared" si="53"/>
        <v>ory A</v>
      </c>
    </row>
    <row r="1135" spans="1:5" ht="15.75" customHeight="1">
      <c r="A1135" s="9" t="s">
        <v>2271</v>
      </c>
      <c r="B1135" s="9" t="s">
        <v>2272</v>
      </c>
      <c r="C1135" t="str">
        <f t="shared" si="51"/>
        <v>r,</v>
      </c>
      <c r="D1135" t="str">
        <f t="shared" si="52"/>
        <v>Zoell</v>
      </c>
      <c r="E1135" t="str">
        <f t="shared" si="53"/>
        <v>Lara</v>
      </c>
    </row>
    <row r="1136" spans="1:5" ht="15.75" customHeight="1">
      <c r="A1136" s="9" t="s">
        <v>2273</v>
      </c>
      <c r="B1136" s="9" t="s">
        <v>2274</v>
      </c>
      <c r="C1136" t="str">
        <f t="shared" si="51"/>
        <v>, M</v>
      </c>
      <c r="D1136" t="str">
        <f t="shared" si="52"/>
        <v>Flesc</v>
      </c>
      <c r="E1136" t="str">
        <f t="shared" si="53"/>
        <v>Megan</v>
      </c>
    </row>
    <row r="1137" spans="1:5" ht="15.75" customHeight="1">
      <c r="A1137" s="9" t="s">
        <v>2275</v>
      </c>
      <c r="B1137" s="9" t="s">
        <v>2276</v>
      </c>
      <c r="C1137" t="str">
        <f t="shared" si="51"/>
        <v>, M</v>
      </c>
      <c r="D1137" t="str">
        <f t="shared" si="52"/>
        <v>Maltb</v>
      </c>
      <c r="E1137" t="str">
        <f t="shared" si="53"/>
        <v>Sara</v>
      </c>
    </row>
    <row r="1138" spans="1:5" ht="15.75" customHeight="1">
      <c r="A1138" s="9" t="s">
        <v>2277</v>
      </c>
      <c r="B1138" s="9" t="s">
        <v>2278</v>
      </c>
      <c r="C1138" t="str">
        <f t="shared" si="51"/>
        <v>ce,</v>
      </c>
      <c r="D1138" t="str">
        <f t="shared" si="52"/>
        <v>Custa</v>
      </c>
      <c r="E1138" t="str">
        <f t="shared" si="53"/>
        <v>ie J.</v>
      </c>
    </row>
    <row r="1139" spans="1:5" ht="15.75" customHeight="1">
      <c r="A1139" s="9" t="s">
        <v>2279</v>
      </c>
      <c r="B1139" s="9" t="s">
        <v>2280</v>
      </c>
      <c r="C1139" t="str">
        <f t="shared" si="51"/>
        <v>Ms.</v>
      </c>
      <c r="D1139" t="str">
        <f t="shared" si="52"/>
        <v>Choi,</v>
      </c>
      <c r="E1139" t="str">
        <f t="shared" si="53"/>
        <v>th S.</v>
      </c>
    </row>
    <row r="1140" spans="1:5" ht="15.75" customHeight="1">
      <c r="A1140" s="9" t="s">
        <v>2281</v>
      </c>
      <c r="B1140" s="9" t="s">
        <v>2282</v>
      </c>
      <c r="C1140" t="str">
        <f t="shared" si="51"/>
        <v>t,</v>
      </c>
      <c r="D1140" t="str">
        <f t="shared" si="52"/>
        <v>Barne</v>
      </c>
      <c r="E1140" t="str">
        <f t="shared" si="53"/>
        <v>rma S</v>
      </c>
    </row>
    <row r="1141" spans="1:5" ht="15.75" customHeight="1">
      <c r="A1141" s="9" t="s">
        <v>2283</v>
      </c>
      <c r="B1141" s="9" t="s">
        <v>2284</v>
      </c>
      <c r="C1141" t="str">
        <f t="shared" si="51"/>
        <v>, M</v>
      </c>
      <c r="D1141" t="str">
        <f t="shared" si="52"/>
        <v>Proul</v>
      </c>
      <c r="E1141" t="str">
        <f t="shared" si="53"/>
        <v>Ryan</v>
      </c>
    </row>
    <row r="1142" spans="1:5" ht="15.75" customHeight="1">
      <c r="A1142" s="9" t="s">
        <v>2285</v>
      </c>
      <c r="B1142" s="9" t="s">
        <v>2286</v>
      </c>
      <c r="C1142" t="str">
        <f t="shared" si="51"/>
        <v>on,</v>
      </c>
      <c r="D1142" t="str">
        <f t="shared" si="52"/>
        <v>Hamil</v>
      </c>
      <c r="E1142" t="str">
        <f t="shared" si="53"/>
        <v>aniel</v>
      </c>
    </row>
    <row r="1143" spans="1:5" ht="15.75" customHeight="1">
      <c r="A1143" s="9" t="s">
        <v>2287</v>
      </c>
      <c r="B1143" s="9" t="s">
        <v>2288</v>
      </c>
      <c r="C1143" t="str">
        <f t="shared" si="51"/>
        <v>e,</v>
      </c>
      <c r="D1143" t="str">
        <f t="shared" si="52"/>
        <v>Lundi</v>
      </c>
      <c r="E1143" t="str">
        <f t="shared" si="53"/>
        <v>Sarah</v>
      </c>
    </row>
    <row r="1144" spans="1:5" ht="15.75" customHeight="1">
      <c r="A1144" s="9" t="s">
        <v>2289</v>
      </c>
      <c r="B1144" s="9" t="s">
        <v>2290</v>
      </c>
      <c r="C1144" t="str">
        <f t="shared" si="51"/>
        <v>n,</v>
      </c>
      <c r="D1144" t="str">
        <f t="shared" si="52"/>
        <v>Paull</v>
      </c>
      <c r="E1144" t="str">
        <f t="shared" si="53"/>
        <v>hew J</v>
      </c>
    </row>
    <row r="1145" spans="1:5" ht="15.75" customHeight="1">
      <c r="A1145" s="9" t="s">
        <v>2291</v>
      </c>
      <c r="B1145" s="9" t="s">
        <v>2292</v>
      </c>
      <c r="C1145" t="str">
        <f t="shared" si="51"/>
        <v>a,</v>
      </c>
      <c r="D1145" t="str">
        <f t="shared" si="52"/>
        <v>Deluc</v>
      </c>
      <c r="E1145" t="str">
        <f t="shared" si="53"/>
        <v>cesca</v>
      </c>
    </row>
    <row r="1146" spans="1:5" ht="15.75" customHeight="1">
      <c r="A1146" s="9" t="s">
        <v>2293</v>
      </c>
      <c r="B1146" s="9" t="s">
        <v>2294</v>
      </c>
      <c r="C1146" t="str">
        <f t="shared" si="51"/>
        <v>ine</v>
      </c>
      <c r="D1146" t="str">
        <f t="shared" si="52"/>
        <v>Valen</v>
      </c>
      <c r="E1146" t="str">
        <f t="shared" si="53"/>
        <v>icole</v>
      </c>
    </row>
    <row r="1147" spans="1:5" ht="15.75" customHeight="1">
      <c r="A1147" s="9" t="s">
        <v>2295</v>
      </c>
      <c r="B1147" s="9" t="s">
        <v>2296</v>
      </c>
      <c r="C1147" t="str">
        <f t="shared" si="51"/>
        <v>, M</v>
      </c>
      <c r="D1147" t="str">
        <f t="shared" si="52"/>
        <v>Mohar</v>
      </c>
      <c r="E1147" t="str">
        <f t="shared" si="53"/>
        <v>iyuki</v>
      </c>
    </row>
    <row r="1148" spans="1:5" ht="15.75" customHeight="1">
      <c r="A1148" s="9" t="s">
        <v>2297</v>
      </c>
      <c r="B1148" s="9" t="s">
        <v>2298</v>
      </c>
      <c r="C1148" t="str">
        <f t="shared" si="51"/>
        <v>oth</v>
      </c>
      <c r="D1148" t="str">
        <f t="shared" si="52"/>
        <v>Fairb</v>
      </c>
      <c r="E1148" t="str">
        <f t="shared" si="53"/>
        <v>om L.</v>
      </c>
    </row>
    <row r="1149" spans="1:5" ht="15.75" customHeight="1">
      <c r="A1149" s="9" t="s">
        <v>2299</v>
      </c>
      <c r="B1149" s="9" t="s">
        <v>2300</v>
      </c>
      <c r="C1149" t="str">
        <f t="shared" si="51"/>
        <v>Mr</v>
      </c>
      <c r="D1149" t="str">
        <f t="shared" si="52"/>
        <v>Fagan</v>
      </c>
      <c r="E1149" t="str">
        <f t="shared" si="53"/>
        <v>Brian</v>
      </c>
    </row>
    <row r="1150" spans="1:5" ht="15.75" customHeight="1">
      <c r="A1150" s="9" t="s">
        <v>2301</v>
      </c>
      <c r="B1150" s="9" t="s">
        <v>2302</v>
      </c>
      <c r="C1150" t="str">
        <f t="shared" si="51"/>
        <v>Mr.</v>
      </c>
      <c r="D1150" t="str">
        <f t="shared" si="52"/>
        <v>Toth,</v>
      </c>
      <c r="E1150" t="str">
        <f t="shared" si="53"/>
        <v>tthew</v>
      </c>
    </row>
    <row r="1151" spans="1:5" ht="15.75" customHeight="1">
      <c r="A1151" s="9" t="s">
        <v>2303</v>
      </c>
      <c r="B1151" s="9" t="s">
        <v>2304</v>
      </c>
      <c r="C1151" t="str">
        <f t="shared" si="51"/>
        <v>Ms</v>
      </c>
      <c r="D1151" t="str">
        <f t="shared" si="52"/>
        <v>Guinn</v>
      </c>
      <c r="E1151" t="str">
        <f t="shared" si="53"/>
        <v>Julee</v>
      </c>
    </row>
    <row r="1152" spans="1:5" ht="15.75" customHeight="1">
      <c r="A1152" s="9" t="s">
        <v>2305</v>
      </c>
      <c r="B1152" s="9" t="s">
        <v>2306</v>
      </c>
      <c r="C1152" t="str">
        <f t="shared" si="51"/>
        <v>, M</v>
      </c>
      <c r="D1152" t="str">
        <f t="shared" si="52"/>
        <v>Roger</v>
      </c>
      <c r="E1152" t="str">
        <f t="shared" si="53"/>
        <v>er M.</v>
      </c>
    </row>
    <row r="1153" spans="1:5" ht="15.75" customHeight="1">
      <c r="A1153" s="9" t="s">
        <v>2307</v>
      </c>
      <c r="B1153" s="9" t="s">
        <v>2308</v>
      </c>
      <c r="C1153" t="str">
        <f t="shared" si="51"/>
        <v>y,</v>
      </c>
      <c r="D1153" t="str">
        <f t="shared" si="52"/>
        <v>Divin</v>
      </c>
      <c r="E1153" t="str">
        <f t="shared" si="53"/>
        <v>iaran</v>
      </c>
    </row>
    <row r="1154" spans="1:5" ht="15.75" customHeight="1">
      <c r="A1154" s="9" t="s">
        <v>2309</v>
      </c>
      <c r="B1154" s="9" t="s">
        <v>2310</v>
      </c>
      <c r="C1154" t="str">
        <f t="shared" si="51"/>
        <v>t,</v>
      </c>
      <c r="D1154" t="str">
        <f t="shared" si="52"/>
        <v>Marla</v>
      </c>
      <c r="E1154" t="str">
        <f t="shared" si="53"/>
        <v>Kara</v>
      </c>
    </row>
    <row r="1155" spans="1:5" ht="15.75" customHeight="1">
      <c r="A1155" s="9" t="s">
        <v>2311</v>
      </c>
      <c r="B1155" s="9" t="s">
        <v>2312</v>
      </c>
      <c r="C1155" t="str">
        <f t="shared" ref="C1155:C1218" si="54">MID(B1155,7,3)</f>
        <v>Ms</v>
      </c>
      <c r="D1155" t="str">
        <f t="shared" ref="D1155:D1218" si="55">LEFT(B1155,5)</f>
        <v>Ohler</v>
      </c>
      <c r="E1155" t="str">
        <f t="shared" ref="E1155:E1218" si="56">RIGHT(B1155,5)</f>
        <v>Makie</v>
      </c>
    </row>
    <row r="1156" spans="1:5" ht="15.75" customHeight="1">
      <c r="A1156" s="9" t="s">
        <v>2313</v>
      </c>
      <c r="B1156" s="9" t="s">
        <v>2314</v>
      </c>
      <c r="C1156" t="str">
        <f t="shared" si="54"/>
        <v>r,</v>
      </c>
      <c r="D1156" t="str">
        <f t="shared" si="55"/>
        <v>Mossl</v>
      </c>
      <c r="E1156" t="str">
        <f t="shared" si="56"/>
        <v>ily E</v>
      </c>
    </row>
    <row r="1157" spans="1:5" ht="15.75" customHeight="1">
      <c r="A1157" s="9" t="s">
        <v>2315</v>
      </c>
      <c r="B1157" s="9" t="s">
        <v>2316</v>
      </c>
      <c r="C1157" t="str">
        <f t="shared" si="54"/>
        <v>, M</v>
      </c>
      <c r="D1157" t="str">
        <f t="shared" si="55"/>
        <v>Segal</v>
      </c>
      <c r="E1157" t="str">
        <f t="shared" si="56"/>
        <v>Cary</v>
      </c>
    </row>
    <row r="1158" spans="1:5" ht="15.75" customHeight="1">
      <c r="A1158" s="9" t="s">
        <v>2317</v>
      </c>
      <c r="B1158" s="9" t="s">
        <v>2318</v>
      </c>
      <c r="C1158" t="str">
        <f t="shared" si="54"/>
        <v>er,</v>
      </c>
      <c r="D1158" t="str">
        <f t="shared" si="55"/>
        <v>Sprie</v>
      </c>
      <c r="E1158" t="str">
        <f t="shared" si="56"/>
        <v>teven</v>
      </c>
    </row>
    <row r="1159" spans="1:5" ht="15.75" customHeight="1">
      <c r="A1159" s="9" t="s">
        <v>2319</v>
      </c>
      <c r="B1159" s="9" t="s">
        <v>2320</v>
      </c>
      <c r="C1159" t="str">
        <f t="shared" si="54"/>
        <v>, M</v>
      </c>
      <c r="D1159" t="str">
        <f t="shared" si="55"/>
        <v>Blanc</v>
      </c>
      <c r="E1159" t="str">
        <f t="shared" si="56"/>
        <v>o Sr.</v>
      </c>
    </row>
    <row r="1160" spans="1:5" ht="15.75" customHeight="1">
      <c r="A1160" s="9" t="s">
        <v>2321</v>
      </c>
      <c r="B1160" s="9" t="s">
        <v>2322</v>
      </c>
      <c r="C1160" t="str">
        <f t="shared" si="54"/>
        <v>ck,</v>
      </c>
      <c r="D1160" t="str">
        <f t="shared" si="55"/>
        <v>Shept</v>
      </c>
      <c r="E1160" t="str">
        <f t="shared" si="56"/>
        <v>tiana</v>
      </c>
    </row>
    <row r="1161" spans="1:5" ht="15.75" customHeight="1">
      <c r="A1161" s="9" t="s">
        <v>2323</v>
      </c>
      <c r="B1161" s="9" t="s">
        <v>2324</v>
      </c>
      <c r="C1161" t="str">
        <f t="shared" si="54"/>
        <v>ak,</v>
      </c>
      <c r="D1161" t="str">
        <f t="shared" si="55"/>
        <v>Chrun</v>
      </c>
      <c r="E1161" t="str">
        <f t="shared" si="56"/>
        <v>an T.</v>
      </c>
    </row>
    <row r="1162" spans="1:5" ht="15.75" customHeight="1">
      <c r="A1162" s="9" t="s">
        <v>2325</v>
      </c>
      <c r="B1162" s="9" t="s">
        <v>2326</v>
      </c>
      <c r="C1162" t="str">
        <f t="shared" si="54"/>
        <v>, M</v>
      </c>
      <c r="D1162" t="str">
        <f t="shared" si="55"/>
        <v>Mille</v>
      </c>
      <c r="E1162" t="str">
        <f t="shared" si="56"/>
        <v>sa A.</v>
      </c>
    </row>
    <row r="1163" spans="1:5" ht="15.75" customHeight="1">
      <c r="A1163" s="9" t="s">
        <v>2327</v>
      </c>
      <c r="B1163" s="9" t="s">
        <v>2328</v>
      </c>
      <c r="C1163" t="str">
        <f t="shared" si="54"/>
        <v>Ms</v>
      </c>
      <c r="D1163" t="str">
        <f t="shared" si="55"/>
        <v>Theis</v>
      </c>
      <c r="E1163" t="str">
        <f t="shared" si="56"/>
        <v>yn E.</v>
      </c>
    </row>
    <row r="1164" spans="1:5" ht="15.75" customHeight="1">
      <c r="A1164" s="9" t="s">
        <v>2329</v>
      </c>
      <c r="B1164" s="9" t="s">
        <v>2330</v>
      </c>
      <c r="C1164" t="str">
        <f t="shared" si="54"/>
        <v>, M</v>
      </c>
      <c r="D1164" t="str">
        <f t="shared" si="55"/>
        <v>Sadle</v>
      </c>
      <c r="E1164" t="str">
        <f t="shared" si="56"/>
        <v>xwell</v>
      </c>
    </row>
    <row r="1165" spans="1:5" ht="15.75" customHeight="1">
      <c r="A1165" s="9" t="s">
        <v>2331</v>
      </c>
      <c r="B1165" s="9" t="s">
        <v>2332</v>
      </c>
      <c r="C1165" t="str">
        <f t="shared" si="54"/>
        <v>Ms</v>
      </c>
      <c r="D1165" t="str">
        <f t="shared" si="55"/>
        <v>Auger</v>
      </c>
      <c r="E1165" t="str">
        <f t="shared" si="56"/>
        <v>scale</v>
      </c>
    </row>
    <row r="1166" spans="1:5" ht="15.75" customHeight="1">
      <c r="A1166" s="9" t="s">
        <v>2333</v>
      </c>
      <c r="B1166" s="9" t="s">
        <v>2334</v>
      </c>
      <c r="C1166" t="str">
        <f t="shared" si="54"/>
        <v>an,</v>
      </c>
      <c r="D1166" t="str">
        <f t="shared" si="55"/>
        <v>Stead</v>
      </c>
      <c r="E1166" t="str">
        <f t="shared" si="56"/>
        <v>Becca</v>
      </c>
    </row>
    <row r="1167" spans="1:5" ht="15.75" customHeight="1">
      <c r="A1167" s="9" t="s">
        <v>2335</v>
      </c>
      <c r="B1167" s="9" t="s">
        <v>2336</v>
      </c>
      <c r="C1167" t="str">
        <f t="shared" si="54"/>
        <v>on,</v>
      </c>
      <c r="D1167" t="str">
        <f t="shared" si="55"/>
        <v>McCar</v>
      </c>
      <c r="E1167" t="str">
        <f t="shared" si="56"/>
        <v>Grace</v>
      </c>
    </row>
    <row r="1168" spans="1:5" ht="15.75" customHeight="1">
      <c r="A1168" s="9" t="s">
        <v>2337</v>
      </c>
      <c r="B1168" s="9" t="s">
        <v>2338</v>
      </c>
      <c r="C1168" t="str">
        <f t="shared" si="54"/>
        <v>r,</v>
      </c>
      <c r="D1168" t="str">
        <f t="shared" si="55"/>
        <v>Roeck</v>
      </c>
      <c r="E1168" t="str">
        <f t="shared" si="56"/>
        <v>antha</v>
      </c>
    </row>
    <row r="1169" spans="1:5" ht="15.75" customHeight="1">
      <c r="A1169" s="9" t="s">
        <v>2339</v>
      </c>
      <c r="B1169" s="9" t="s">
        <v>2340</v>
      </c>
      <c r="C1169" t="str">
        <f t="shared" si="54"/>
        <v>ra,</v>
      </c>
      <c r="D1169" t="str">
        <f t="shared" si="55"/>
        <v>Giuma</v>
      </c>
      <c r="E1169" t="str">
        <f t="shared" si="56"/>
        <v>le R.</v>
      </c>
    </row>
    <row r="1170" spans="1:5" ht="15.75" customHeight="1">
      <c r="A1170" s="9" t="s">
        <v>2341</v>
      </c>
      <c r="B1170" s="9" t="s">
        <v>2342</v>
      </c>
      <c r="C1170" t="str">
        <f t="shared" si="54"/>
        <v>, M</v>
      </c>
      <c r="D1170" t="str">
        <f t="shared" si="55"/>
        <v>Peter</v>
      </c>
      <c r="E1170" t="str">
        <f t="shared" si="56"/>
        <v>vid W</v>
      </c>
    </row>
    <row r="1171" spans="1:5" ht="15.75" customHeight="1">
      <c r="A1171" s="9" t="s">
        <v>2343</v>
      </c>
      <c r="B1171" s="9" t="s">
        <v>2344</v>
      </c>
      <c r="C1171" t="str">
        <f t="shared" si="54"/>
        <v>Mr</v>
      </c>
      <c r="D1171" t="str">
        <f t="shared" si="55"/>
        <v>Bower</v>
      </c>
      <c r="E1171" t="str">
        <f t="shared" si="56"/>
        <v>Grant</v>
      </c>
    </row>
    <row r="1172" spans="1:5" ht="15.75" customHeight="1">
      <c r="A1172" s="9" t="s">
        <v>2345</v>
      </c>
      <c r="B1172" s="9" t="s">
        <v>2346</v>
      </c>
      <c r="C1172" t="str">
        <f t="shared" si="54"/>
        <v>Mrs</v>
      </c>
      <c r="D1172" t="str">
        <f t="shared" si="55"/>
        <v>Chen,</v>
      </c>
      <c r="E1172" t="str">
        <f t="shared" si="56"/>
        <v>ophia</v>
      </c>
    </row>
    <row r="1173" spans="1:5" ht="15.75" customHeight="1">
      <c r="A1173" s="9" t="s">
        <v>2347</v>
      </c>
      <c r="B1173" s="9" t="s">
        <v>2348</v>
      </c>
      <c r="C1173" t="str">
        <f t="shared" si="54"/>
        <v>cio</v>
      </c>
      <c r="D1173" t="str">
        <f t="shared" si="55"/>
        <v>Capri</v>
      </c>
      <c r="E1173" t="str">
        <f t="shared" si="56"/>
        <v>stina</v>
      </c>
    </row>
    <row r="1174" spans="1:5" ht="15.75" customHeight="1">
      <c r="A1174" s="9" t="s">
        <v>2349</v>
      </c>
      <c r="B1174" s="9" t="s">
        <v>2350</v>
      </c>
      <c r="C1174" t="str">
        <f t="shared" si="54"/>
        <v>ck,</v>
      </c>
      <c r="D1174" t="str">
        <f t="shared" si="55"/>
        <v>Starb</v>
      </c>
      <c r="E1174" t="str">
        <f t="shared" si="56"/>
        <v>am L.</v>
      </c>
    </row>
    <row r="1175" spans="1:5" ht="15.75" customHeight="1">
      <c r="A1175" s="9" t="s">
        <v>2351</v>
      </c>
      <c r="B1175" s="9" t="s">
        <v>2352</v>
      </c>
      <c r="C1175" t="str">
        <f t="shared" si="54"/>
        <v>n,</v>
      </c>
      <c r="D1175" t="str">
        <f t="shared" si="55"/>
        <v>McMah</v>
      </c>
      <c r="E1175" t="str">
        <f t="shared" si="56"/>
        <v>ey R.</v>
      </c>
    </row>
    <row r="1176" spans="1:5" ht="15.75" customHeight="1">
      <c r="A1176" s="9" t="s">
        <v>2353</v>
      </c>
      <c r="B1176" s="9" t="s">
        <v>2354</v>
      </c>
      <c r="C1176" t="str">
        <f t="shared" si="54"/>
        <v>l,</v>
      </c>
      <c r="D1176" t="str">
        <f t="shared" si="55"/>
        <v>Risse</v>
      </c>
      <c r="E1176" t="str">
        <f t="shared" si="56"/>
        <v>Ethan</v>
      </c>
    </row>
    <row r="1177" spans="1:5" ht="15.75" customHeight="1">
      <c r="A1177" s="9" t="s">
        <v>2355</v>
      </c>
      <c r="B1177" s="9" t="s">
        <v>2356</v>
      </c>
      <c r="C1177" t="str">
        <f t="shared" si="54"/>
        <v>y,</v>
      </c>
      <c r="D1177" t="str">
        <f t="shared" si="55"/>
        <v>Kromr</v>
      </c>
      <c r="E1177" t="str">
        <f t="shared" si="56"/>
        <v>rew W</v>
      </c>
    </row>
    <row r="1178" spans="1:5" ht="15.75" customHeight="1">
      <c r="A1178" s="9" t="s">
        <v>2357</v>
      </c>
      <c r="B1178" s="9" t="s">
        <v>2358</v>
      </c>
      <c r="C1178" t="str">
        <f t="shared" si="54"/>
        <v>di,</v>
      </c>
      <c r="D1178" t="str">
        <f t="shared" si="55"/>
        <v>Manfr</v>
      </c>
      <c r="E1178" t="str">
        <f t="shared" si="56"/>
        <v>ark G</v>
      </c>
    </row>
    <row r="1179" spans="1:5" ht="15.75" customHeight="1">
      <c r="A1179" s="9" t="s">
        <v>2359</v>
      </c>
      <c r="B1179" s="9" t="s">
        <v>2360</v>
      </c>
      <c r="C1179" t="str">
        <f t="shared" si="54"/>
        <v>ing</v>
      </c>
      <c r="D1179" t="str">
        <f t="shared" si="55"/>
        <v>Manwa</v>
      </c>
      <c r="E1179" t="str">
        <f t="shared" si="56"/>
        <v>ey E.</v>
      </c>
    </row>
    <row r="1180" spans="1:5" ht="15.75" customHeight="1">
      <c r="A1180" s="9" t="s">
        <v>2361</v>
      </c>
      <c r="B1180" s="9" t="s">
        <v>2362</v>
      </c>
      <c r="C1180" t="str">
        <f t="shared" si="54"/>
        <v>ews</v>
      </c>
      <c r="D1180" t="str">
        <f t="shared" si="55"/>
        <v>Tomas</v>
      </c>
      <c r="E1180" t="str">
        <f t="shared" si="56"/>
        <v>Jeff</v>
      </c>
    </row>
    <row r="1181" spans="1:5" ht="15.75" customHeight="1">
      <c r="A1181" s="9" t="s">
        <v>2363</v>
      </c>
      <c r="B1181" s="9" t="s">
        <v>2364</v>
      </c>
      <c r="C1181" t="str">
        <f t="shared" si="54"/>
        <v>, M</v>
      </c>
      <c r="D1181" t="str">
        <f t="shared" si="55"/>
        <v>Ganno</v>
      </c>
      <c r="E1181" t="str">
        <f t="shared" si="56"/>
        <v>Amy</v>
      </c>
    </row>
    <row r="1182" spans="1:5" ht="15.75" customHeight="1">
      <c r="A1182" s="9" t="s">
        <v>2365</v>
      </c>
      <c r="B1182" s="9" t="s">
        <v>2366</v>
      </c>
      <c r="C1182" t="str">
        <f t="shared" si="54"/>
        <v>Mr.</v>
      </c>
      <c r="D1182" t="str">
        <f t="shared" si="55"/>
        <v>Frye,</v>
      </c>
      <c r="E1182" t="str">
        <f t="shared" si="56"/>
        <v>Adam</v>
      </c>
    </row>
    <row r="1183" spans="1:5" ht="15.75" customHeight="1">
      <c r="A1183" s="9" t="s">
        <v>2367</v>
      </c>
      <c r="B1183" s="9" t="s">
        <v>2368</v>
      </c>
      <c r="C1183" t="str">
        <f t="shared" si="54"/>
        <v>s,</v>
      </c>
      <c r="D1183" t="str">
        <f t="shared" si="55"/>
        <v>Jenki</v>
      </c>
      <c r="E1183" t="str">
        <f t="shared" si="56"/>
        <v>tin M</v>
      </c>
    </row>
    <row r="1184" spans="1:5" ht="15.75" customHeight="1">
      <c r="A1184" s="9" t="s">
        <v>2369</v>
      </c>
      <c r="B1184" s="9" t="s">
        <v>2370</v>
      </c>
      <c r="C1184" t="str">
        <f t="shared" si="54"/>
        <v>r,</v>
      </c>
      <c r="D1184" t="str">
        <f t="shared" si="55"/>
        <v>Curri</v>
      </c>
      <c r="E1184" t="str">
        <f t="shared" si="56"/>
        <v>nn B.</v>
      </c>
    </row>
    <row r="1185" spans="1:5" ht="15.75" customHeight="1">
      <c r="A1185" s="9" t="s">
        <v>2371</v>
      </c>
      <c r="B1185" s="9" t="s">
        <v>2372</v>
      </c>
      <c r="C1185" t="str">
        <f t="shared" si="54"/>
        <v>nda</v>
      </c>
      <c r="D1185" t="str">
        <f t="shared" si="55"/>
        <v>Whitt</v>
      </c>
      <c r="E1185" t="str">
        <f t="shared" si="56"/>
        <v>mie A</v>
      </c>
    </row>
    <row r="1186" spans="1:5" ht="15.75" customHeight="1">
      <c r="A1186" s="9" t="s">
        <v>2373</v>
      </c>
      <c r="B1186" s="9" t="s">
        <v>2374</v>
      </c>
      <c r="C1186" t="str">
        <f t="shared" si="54"/>
        <v>Mr.</v>
      </c>
      <c r="D1186" t="str">
        <f t="shared" si="55"/>
        <v>Rixe,</v>
      </c>
      <c r="E1186" t="str">
        <f t="shared" si="56"/>
        <v>ey A.</v>
      </c>
    </row>
    <row r="1187" spans="1:5" ht="15.75" customHeight="1">
      <c r="A1187" s="9" t="s">
        <v>2375</v>
      </c>
      <c r="B1187" s="9" t="s">
        <v>2376</v>
      </c>
      <c r="C1187" t="str">
        <f t="shared" si="54"/>
        <v>-La</v>
      </c>
      <c r="D1187" t="str">
        <f t="shared" si="55"/>
        <v>Ballo</v>
      </c>
      <c r="E1187" t="str">
        <f t="shared" si="56"/>
        <v>icole</v>
      </c>
    </row>
    <row r="1188" spans="1:5" ht="15.75" customHeight="1">
      <c r="A1188" s="9" t="s">
        <v>2377</v>
      </c>
      <c r="B1188" s="9" t="s">
        <v>2378</v>
      </c>
      <c r="C1188" t="str">
        <f t="shared" si="54"/>
        <v>s,</v>
      </c>
      <c r="D1188" t="str">
        <f t="shared" si="55"/>
        <v>Zafer</v>
      </c>
      <c r="E1188" t="str">
        <f t="shared" si="56"/>
        <v>udrey</v>
      </c>
    </row>
    <row r="1189" spans="1:5" ht="15.75" customHeight="1">
      <c r="A1189" s="9" t="s">
        <v>2379</v>
      </c>
      <c r="B1189" s="9" t="s">
        <v>2380</v>
      </c>
      <c r="C1189" t="str">
        <f t="shared" si="54"/>
        <v>n,</v>
      </c>
      <c r="D1189" t="str">
        <f t="shared" si="55"/>
        <v>Jacks</v>
      </c>
      <c r="E1189" t="str">
        <f t="shared" si="56"/>
        <v>Jacob</v>
      </c>
    </row>
    <row r="1190" spans="1:5" ht="15.75" customHeight="1">
      <c r="A1190" s="9" t="s">
        <v>2381</v>
      </c>
      <c r="B1190" s="9" t="s">
        <v>2382</v>
      </c>
      <c r="C1190" t="str">
        <f t="shared" si="54"/>
        <v>Mar</v>
      </c>
      <c r="D1190" t="str">
        <f t="shared" si="55"/>
        <v>Evans</v>
      </c>
      <c r="E1190" t="str">
        <f t="shared" si="56"/>
        <v>iel S</v>
      </c>
    </row>
    <row r="1191" spans="1:5" ht="15.75" customHeight="1">
      <c r="A1191" s="9" t="s">
        <v>2383</v>
      </c>
      <c r="B1191" s="9" t="s">
        <v>2384</v>
      </c>
      <c r="C1191" t="str">
        <f t="shared" si="54"/>
        <v>d,</v>
      </c>
      <c r="D1191" t="str">
        <f t="shared" si="55"/>
        <v>Samla</v>
      </c>
      <c r="E1191" t="str">
        <f t="shared" si="56"/>
        <v>rc C.</v>
      </c>
    </row>
    <row r="1192" spans="1:5" ht="15.75" customHeight="1">
      <c r="A1192" s="9" t="s">
        <v>2385</v>
      </c>
      <c r="B1192" s="9" t="s">
        <v>2386</v>
      </c>
      <c r="C1192" t="str">
        <f t="shared" si="54"/>
        <v>o,</v>
      </c>
      <c r="D1192" t="str">
        <f t="shared" si="55"/>
        <v>Shapi</v>
      </c>
      <c r="E1192" t="str">
        <f t="shared" si="56"/>
        <v>ark S</v>
      </c>
    </row>
    <row r="1193" spans="1:5" ht="15.75" customHeight="1">
      <c r="A1193" s="9" t="s">
        <v>2387</v>
      </c>
      <c r="B1193" s="9" t="s">
        <v>2388</v>
      </c>
      <c r="C1193" t="str">
        <f t="shared" si="54"/>
        <v>r,</v>
      </c>
      <c r="D1193" t="str">
        <f t="shared" si="55"/>
        <v>Snitz</v>
      </c>
      <c r="E1193" t="str">
        <f t="shared" si="56"/>
        <v>Dan</v>
      </c>
    </row>
    <row r="1194" spans="1:5" ht="15.75" customHeight="1">
      <c r="A1194" s="9" t="s">
        <v>2389</v>
      </c>
      <c r="B1194" s="9" t="s">
        <v>2390</v>
      </c>
      <c r="C1194" t="str">
        <f t="shared" si="54"/>
        <v>Arr</v>
      </c>
      <c r="D1194" t="str">
        <f t="shared" si="55"/>
        <v>Herra</v>
      </c>
      <c r="E1194" t="str">
        <f t="shared" si="56"/>
        <v>riela</v>
      </c>
    </row>
    <row r="1195" spans="1:5" ht="15.75" customHeight="1">
      <c r="A1195" s="9" t="s">
        <v>2391</v>
      </c>
      <c r="B1195" s="9" t="s">
        <v>2392</v>
      </c>
      <c r="C1195" t="str">
        <f t="shared" si="54"/>
        <v>s,</v>
      </c>
      <c r="D1195" t="str">
        <f t="shared" si="55"/>
        <v>Watte</v>
      </c>
      <c r="E1195" t="str">
        <f t="shared" si="56"/>
        <v>manda</v>
      </c>
    </row>
    <row r="1196" spans="1:5" ht="15.75" customHeight="1">
      <c r="A1196" s="9" t="s">
        <v>2393</v>
      </c>
      <c r="B1196" s="9" t="s">
        <v>2394</v>
      </c>
      <c r="C1196" t="str">
        <f t="shared" si="54"/>
        <v>-Be</v>
      </c>
      <c r="D1196" t="str">
        <f t="shared" si="55"/>
        <v>Steel</v>
      </c>
      <c r="E1196" t="str">
        <f t="shared" si="56"/>
        <v>Dara</v>
      </c>
    </row>
    <row r="1197" spans="1:5" ht="15.75" customHeight="1">
      <c r="A1197" s="9" t="s">
        <v>2395</v>
      </c>
      <c r="B1197" s="9" t="s">
        <v>2396</v>
      </c>
      <c r="C1197" t="str">
        <f t="shared" si="54"/>
        <v>ens</v>
      </c>
      <c r="D1197" t="str">
        <f t="shared" si="55"/>
        <v>Chris</v>
      </c>
      <c r="E1197" t="str">
        <f t="shared" si="56"/>
        <v>lle R</v>
      </c>
    </row>
    <row r="1198" spans="1:5" ht="15.75" customHeight="1">
      <c r="A1198" s="9" t="s">
        <v>2397</v>
      </c>
      <c r="B1198" s="9" t="s">
        <v>2398</v>
      </c>
      <c r="C1198" t="str">
        <f t="shared" si="54"/>
        <v>Ms</v>
      </c>
      <c r="D1198" t="str">
        <f t="shared" si="55"/>
        <v>Hodge</v>
      </c>
      <c r="E1198" t="str">
        <f t="shared" si="56"/>
        <v>nda J</v>
      </c>
    </row>
    <row r="1199" spans="1:5" ht="15.75" customHeight="1">
      <c r="A1199" s="9" t="s">
        <v>2399</v>
      </c>
      <c r="B1199" s="9" t="s">
        <v>2400</v>
      </c>
      <c r="C1199" t="str">
        <f t="shared" si="54"/>
        <v>hol</v>
      </c>
      <c r="D1199" t="str">
        <f t="shared" si="55"/>
        <v>Ruste</v>
      </c>
      <c r="E1199" t="str">
        <f t="shared" si="56"/>
        <v>Tim</v>
      </c>
    </row>
    <row r="1200" spans="1:5" ht="15.75" customHeight="1">
      <c r="A1200" s="9" t="s">
        <v>2401</v>
      </c>
      <c r="B1200" s="9" t="s">
        <v>2402</v>
      </c>
      <c r="C1200" t="str">
        <f t="shared" si="54"/>
        <v>ce,</v>
      </c>
      <c r="D1200" t="str">
        <f t="shared" si="55"/>
        <v>Lafra</v>
      </c>
      <c r="E1200" t="str">
        <f t="shared" si="56"/>
        <v>lvain</v>
      </c>
    </row>
    <row r="1201" spans="1:5" ht="15.75" customHeight="1">
      <c r="A1201" s="9" t="s">
        <v>2403</v>
      </c>
      <c r="B1201" s="9" t="s">
        <v>2404</v>
      </c>
      <c r="C1201" t="str">
        <f t="shared" si="54"/>
        <v>, M</v>
      </c>
      <c r="D1201" t="str">
        <f t="shared" si="55"/>
        <v>Halli</v>
      </c>
      <c r="E1201" t="str">
        <f t="shared" si="56"/>
        <v>isa M</v>
      </c>
    </row>
    <row r="1202" spans="1:5" ht="15.75" customHeight="1">
      <c r="A1202" s="9" t="s">
        <v>2405</v>
      </c>
      <c r="B1202" s="9" t="s">
        <v>2406</v>
      </c>
      <c r="C1202" t="str">
        <f t="shared" si="54"/>
        <v>ll,</v>
      </c>
      <c r="D1202" t="str">
        <f t="shared" si="55"/>
        <v>Marsh</v>
      </c>
      <c r="E1202" t="str">
        <f t="shared" si="56"/>
        <v>Ryan</v>
      </c>
    </row>
    <row r="1203" spans="1:5" ht="15.75" customHeight="1">
      <c r="A1203" s="9" t="s">
        <v>2407</v>
      </c>
      <c r="B1203" s="9" t="s">
        <v>2408</v>
      </c>
      <c r="C1203" t="str">
        <f t="shared" si="54"/>
        <v>tz,</v>
      </c>
      <c r="D1203" t="str">
        <f t="shared" si="55"/>
        <v>Salow</v>
      </c>
      <c r="E1203" t="str">
        <f t="shared" si="56"/>
        <v>lin M</v>
      </c>
    </row>
    <row r="1204" spans="1:5" ht="15.75" customHeight="1">
      <c r="A1204" s="9" t="s">
        <v>2409</v>
      </c>
      <c r="B1204" s="9" t="s">
        <v>2410</v>
      </c>
      <c r="C1204" t="str">
        <f t="shared" si="54"/>
        <v>Mr</v>
      </c>
      <c r="D1204" t="str">
        <f t="shared" si="55"/>
        <v>Blake</v>
      </c>
      <c r="E1204" t="str">
        <f t="shared" si="56"/>
        <v>am R.</v>
      </c>
    </row>
    <row r="1205" spans="1:5" ht="15.75" customHeight="1">
      <c r="A1205" s="9" t="s">
        <v>2411</v>
      </c>
      <c r="B1205" s="9" t="s">
        <v>2412</v>
      </c>
      <c r="C1205" t="str">
        <f t="shared" si="54"/>
        <v>ak,</v>
      </c>
      <c r="D1205" t="str">
        <f t="shared" si="55"/>
        <v>Lange</v>
      </c>
      <c r="E1205" t="str">
        <f t="shared" si="56"/>
        <v>Bruce</v>
      </c>
    </row>
    <row r="1206" spans="1:5" ht="15.75" customHeight="1">
      <c r="A1206" s="9" t="s">
        <v>2413</v>
      </c>
      <c r="B1206" s="9" t="s">
        <v>2414</v>
      </c>
      <c r="C1206" t="str">
        <f t="shared" si="54"/>
        <v>a,</v>
      </c>
      <c r="D1206" t="str">
        <f t="shared" si="55"/>
        <v>Bonil</v>
      </c>
      <c r="E1206" t="str">
        <f t="shared" si="56"/>
        <v>onica</v>
      </c>
    </row>
    <row r="1207" spans="1:5" ht="15.75" customHeight="1">
      <c r="A1207" s="9" t="s">
        <v>2415</v>
      </c>
      <c r="B1207" s="9" t="s">
        <v>2416</v>
      </c>
      <c r="C1207" t="str">
        <f t="shared" si="54"/>
        <v>ton</v>
      </c>
      <c r="D1207" t="str">
        <f t="shared" si="55"/>
        <v>Ciaba</v>
      </c>
      <c r="E1207" t="str">
        <f t="shared" si="56"/>
        <v>arren</v>
      </c>
    </row>
    <row r="1208" spans="1:5" ht="15.75" customHeight="1">
      <c r="A1208" s="9" t="s">
        <v>2417</v>
      </c>
      <c r="B1208" s="9" t="s">
        <v>2418</v>
      </c>
      <c r="C1208" t="str">
        <f t="shared" si="54"/>
        <v>ro</v>
      </c>
      <c r="D1208" t="str">
        <f t="shared" si="55"/>
        <v>Escan</v>
      </c>
      <c r="E1208" t="str">
        <f t="shared" si="56"/>
        <v>niela</v>
      </c>
    </row>
    <row r="1209" spans="1:5" ht="15.75" customHeight="1">
      <c r="A1209" s="9" t="s">
        <v>2419</v>
      </c>
      <c r="B1209" s="9" t="s">
        <v>2420</v>
      </c>
      <c r="C1209" t="str">
        <f t="shared" si="54"/>
        <v>Ms.</v>
      </c>
      <c r="D1209" t="str">
        <f t="shared" si="55"/>
        <v>Lowe,</v>
      </c>
      <c r="E1209" t="str">
        <f t="shared" si="56"/>
        <v>dre A</v>
      </c>
    </row>
    <row r="1210" spans="1:5" ht="15.75" customHeight="1">
      <c r="A1210" s="9" t="s">
        <v>2421</v>
      </c>
      <c r="B1210" s="9" t="s">
        <v>2422</v>
      </c>
      <c r="C1210" t="str">
        <f t="shared" si="54"/>
        <v>, M</v>
      </c>
      <c r="D1210" t="str">
        <f t="shared" si="55"/>
        <v>Osmar</v>
      </c>
      <c r="E1210" t="str">
        <f t="shared" si="56"/>
        <v>thias</v>
      </c>
    </row>
    <row r="1211" spans="1:5" ht="15.75" customHeight="1">
      <c r="A1211" s="9" t="s">
        <v>2423</v>
      </c>
      <c r="B1211" s="9" t="s">
        <v>2424</v>
      </c>
      <c r="C1211" t="str">
        <f t="shared" si="54"/>
        <v>, M</v>
      </c>
      <c r="D1211" t="str">
        <f t="shared" si="55"/>
        <v>Lawso</v>
      </c>
      <c r="E1211" t="str">
        <f t="shared" si="56"/>
        <v>tthew</v>
      </c>
    </row>
    <row r="1212" spans="1:5" ht="15.75" customHeight="1">
      <c r="A1212" s="9" t="s">
        <v>2425</v>
      </c>
      <c r="B1212" s="9" t="s">
        <v>2426</v>
      </c>
      <c r="C1212" t="str">
        <f t="shared" si="54"/>
        <v>k,</v>
      </c>
      <c r="D1212" t="str">
        <f t="shared" si="55"/>
        <v>Warwi</v>
      </c>
      <c r="E1212" t="str">
        <f t="shared" si="56"/>
        <v>Kurt</v>
      </c>
    </row>
    <row r="1213" spans="1:5" ht="15.75" customHeight="1">
      <c r="A1213" s="9" t="s">
        <v>2427</v>
      </c>
      <c r="B1213" s="9" t="s">
        <v>2428</v>
      </c>
      <c r="C1213" t="str">
        <f t="shared" si="54"/>
        <v>on,</v>
      </c>
      <c r="D1213" t="str">
        <f t="shared" si="55"/>
        <v>Magnu</v>
      </c>
      <c r="E1213" t="str">
        <f t="shared" si="56"/>
        <v>amuel</v>
      </c>
    </row>
    <row r="1214" spans="1:5" ht="15.75" customHeight="1">
      <c r="A1214" s="9" t="s">
        <v>2429</v>
      </c>
      <c r="B1214" s="9" t="s">
        <v>2430</v>
      </c>
      <c r="C1214" t="str">
        <f t="shared" si="54"/>
        <v>Mr</v>
      </c>
      <c r="D1214" t="str">
        <f t="shared" si="55"/>
        <v>Marsh</v>
      </c>
      <c r="E1214" t="str">
        <f t="shared" si="56"/>
        <v>Emily</v>
      </c>
    </row>
    <row r="1215" spans="1:5" ht="15.75" customHeight="1">
      <c r="A1215" s="9" t="s">
        <v>2431</v>
      </c>
      <c r="B1215" s="9" t="s">
        <v>2432</v>
      </c>
      <c r="C1215" t="str">
        <f t="shared" si="54"/>
        <v>Ms.</v>
      </c>
      <c r="D1215" t="str">
        <f t="shared" si="55"/>
        <v>Kari,</v>
      </c>
      <c r="E1215" t="str">
        <f t="shared" si="56"/>
        <v>ffany</v>
      </c>
    </row>
    <row r="1216" spans="1:5" ht="15.75" customHeight="1">
      <c r="A1216" s="9" t="s">
        <v>2433</v>
      </c>
      <c r="B1216" s="9" t="s">
        <v>2434</v>
      </c>
      <c r="C1216" t="str">
        <f t="shared" si="54"/>
        <v>for</v>
      </c>
      <c r="D1216" t="str">
        <f t="shared" si="55"/>
        <v>Stand</v>
      </c>
      <c r="E1216" t="str">
        <f t="shared" si="56"/>
        <v>lex F</v>
      </c>
    </row>
    <row r="1217" spans="1:5" ht="15.75" customHeight="1">
      <c r="A1217" s="9" t="s">
        <v>2435</v>
      </c>
      <c r="B1217" s="9" t="s">
        <v>2436</v>
      </c>
      <c r="C1217" t="str">
        <f t="shared" si="54"/>
        <v>n,</v>
      </c>
      <c r="D1217" t="str">
        <f t="shared" si="55"/>
        <v>Sherw</v>
      </c>
      <c r="E1217" t="str">
        <f t="shared" si="56"/>
        <v>Alice</v>
      </c>
    </row>
    <row r="1218" spans="1:5" ht="15.75" customHeight="1">
      <c r="A1218" s="9" t="s">
        <v>2437</v>
      </c>
      <c r="B1218" s="9" t="s">
        <v>2438</v>
      </c>
      <c r="C1218" t="str">
        <f t="shared" si="54"/>
        <v>, M</v>
      </c>
      <c r="D1218" t="str">
        <f t="shared" si="55"/>
        <v>Parke</v>
      </c>
      <c r="E1218" t="str">
        <f t="shared" si="56"/>
        <v>on M.</v>
      </c>
    </row>
    <row r="1219" spans="1:5" ht="15.75" customHeight="1">
      <c r="A1219" s="9" t="s">
        <v>2439</v>
      </c>
      <c r="B1219" s="9" t="s">
        <v>2440</v>
      </c>
      <c r="C1219" t="str">
        <f t="shared" ref="C1219:C1282" si="57">MID(B1219,7,3)</f>
        <v>i,</v>
      </c>
      <c r="D1219" t="str">
        <f t="shared" ref="D1219:D1282" si="58">LEFT(B1219,5)</f>
        <v>Bleke</v>
      </c>
      <c r="E1219" t="str">
        <f t="shared" ref="E1219:E1282" si="59">RIGHT(B1219,5)</f>
        <v>stand</v>
      </c>
    </row>
    <row r="1220" spans="1:5" ht="15.75" customHeight="1">
      <c r="A1220" s="9" t="s">
        <v>2441</v>
      </c>
      <c r="B1220" s="9" t="s">
        <v>2442</v>
      </c>
      <c r="C1220" t="str">
        <f t="shared" si="57"/>
        <v>ple</v>
      </c>
      <c r="D1220" t="str">
        <f t="shared" si="58"/>
        <v>Vanga</v>
      </c>
      <c r="E1220" t="str">
        <f t="shared" si="59"/>
        <v>ephen</v>
      </c>
    </row>
    <row r="1221" spans="1:5" ht="15.75" customHeight="1">
      <c r="A1221" s="9" t="s">
        <v>2443</v>
      </c>
      <c r="B1221" s="9" t="s">
        <v>2444</v>
      </c>
      <c r="C1221" t="str">
        <f t="shared" si="57"/>
        <v>Mr</v>
      </c>
      <c r="D1221" t="str">
        <f t="shared" si="58"/>
        <v>Hiatt</v>
      </c>
      <c r="E1221" t="str">
        <f t="shared" si="59"/>
        <v>Jon M</v>
      </c>
    </row>
    <row r="1222" spans="1:5" ht="15.75" customHeight="1">
      <c r="A1222" s="9" t="s">
        <v>2445</v>
      </c>
      <c r="B1222" s="9" t="s">
        <v>2446</v>
      </c>
      <c r="C1222" t="str">
        <f t="shared" si="57"/>
        <v>e,</v>
      </c>
      <c r="D1222" t="str">
        <f t="shared" si="58"/>
        <v>Tades</v>
      </c>
      <c r="E1222" t="str">
        <f t="shared" si="59"/>
        <v>Fasil</v>
      </c>
    </row>
    <row r="1223" spans="1:5" ht="15.75" customHeight="1">
      <c r="A1223" s="9" t="s">
        <v>2447</v>
      </c>
      <c r="B1223" s="9" t="s">
        <v>2448</v>
      </c>
      <c r="C1223" t="str">
        <f t="shared" si="57"/>
        <v>l,</v>
      </c>
      <c r="D1223" t="str">
        <f t="shared" si="58"/>
        <v>Jaswe</v>
      </c>
      <c r="E1223" t="str">
        <f t="shared" si="59"/>
        <v>an C.</v>
      </c>
    </row>
    <row r="1224" spans="1:5" ht="15.75" customHeight="1">
      <c r="A1224" s="9" t="s">
        <v>2449</v>
      </c>
      <c r="B1224" s="9" t="s">
        <v>2450</v>
      </c>
      <c r="C1224" t="str">
        <f t="shared" si="57"/>
        <v>ps-</v>
      </c>
      <c r="D1224" t="str">
        <f t="shared" si="58"/>
        <v>Phill</v>
      </c>
      <c r="E1224" t="str">
        <f t="shared" si="59"/>
        <v>sa J.</v>
      </c>
    </row>
    <row r="1225" spans="1:5" ht="15.75" customHeight="1">
      <c r="A1225" s="9" t="s">
        <v>2451</v>
      </c>
      <c r="B1225" s="9" t="s">
        <v>2452</v>
      </c>
      <c r="C1225" t="str">
        <f t="shared" si="57"/>
        <v>Mr</v>
      </c>
      <c r="D1225" t="str">
        <f t="shared" si="58"/>
        <v>Clark</v>
      </c>
      <c r="E1225" t="str">
        <f t="shared" si="59"/>
        <v>ron P</v>
      </c>
    </row>
    <row r="1226" spans="1:5" ht="15.75" customHeight="1">
      <c r="A1226" s="9" t="s">
        <v>2453</v>
      </c>
      <c r="B1226" s="9" t="s">
        <v>2454</v>
      </c>
      <c r="C1226" t="str">
        <f t="shared" si="57"/>
        <v>Ms.</v>
      </c>
      <c r="D1226" t="str">
        <f t="shared" si="58"/>
        <v>Wang,</v>
      </c>
      <c r="E1226" t="str">
        <f t="shared" si="59"/>
        <v>arina</v>
      </c>
    </row>
    <row r="1227" spans="1:5" ht="15.75" customHeight="1">
      <c r="A1227" s="9" t="s">
        <v>2455</v>
      </c>
      <c r="B1227" s="9" t="s">
        <v>2456</v>
      </c>
      <c r="C1227" t="str">
        <f t="shared" si="57"/>
        <v>sse</v>
      </c>
      <c r="D1227" t="str">
        <f t="shared" si="58"/>
        <v>Desru</v>
      </c>
      <c r="E1227" t="str">
        <f t="shared" si="59"/>
        <v>Carl</v>
      </c>
    </row>
    <row r="1228" spans="1:5" ht="15.75" customHeight="1">
      <c r="A1228" s="9" t="s">
        <v>2457</v>
      </c>
      <c r="B1228" s="9" t="s">
        <v>2458</v>
      </c>
      <c r="C1228" t="str">
        <f t="shared" si="57"/>
        <v>Ms.</v>
      </c>
      <c r="D1228" t="str">
        <f t="shared" si="58"/>
        <v>Ripp,</v>
      </c>
      <c r="E1228" t="str">
        <f t="shared" si="59"/>
        <v>ey J.</v>
      </c>
    </row>
    <row r="1229" spans="1:5" ht="15.75" customHeight="1">
      <c r="A1229" s="9" t="s">
        <v>2459</v>
      </c>
      <c r="B1229" s="9" t="s">
        <v>2460</v>
      </c>
      <c r="C1229" t="str">
        <f t="shared" si="57"/>
        <v>, M</v>
      </c>
      <c r="D1229" t="str">
        <f t="shared" si="58"/>
        <v>Harri</v>
      </c>
      <c r="E1229" t="str">
        <f t="shared" si="59"/>
        <v>en A.</v>
      </c>
    </row>
    <row r="1230" spans="1:5" ht="15.75" customHeight="1">
      <c r="A1230" s="9" t="s">
        <v>2461</v>
      </c>
      <c r="B1230" s="9" t="s">
        <v>2462</v>
      </c>
      <c r="C1230" t="str">
        <f t="shared" si="57"/>
        <v>, M</v>
      </c>
      <c r="D1230" t="str">
        <f t="shared" si="58"/>
        <v>Shafe</v>
      </c>
      <c r="E1230" t="str">
        <f t="shared" si="59"/>
        <v>Dan</v>
      </c>
    </row>
    <row r="1231" spans="1:5" ht="15.75" customHeight="1">
      <c r="A1231" s="9" t="s">
        <v>2463</v>
      </c>
      <c r="B1231" s="9" t="s">
        <v>2464</v>
      </c>
      <c r="C1231" t="str">
        <f t="shared" si="57"/>
        <v>th,</v>
      </c>
      <c r="D1231" t="str">
        <f t="shared" si="58"/>
        <v>Hemes</v>
      </c>
      <c r="E1231" t="str">
        <f t="shared" si="59"/>
        <v>tie C</v>
      </c>
    </row>
    <row r="1232" spans="1:5" ht="15.75" customHeight="1">
      <c r="A1232" s="9" t="s">
        <v>2465</v>
      </c>
      <c r="B1232" s="9" t="s">
        <v>2466</v>
      </c>
      <c r="C1232" t="str">
        <f t="shared" si="57"/>
        <v>Ms</v>
      </c>
      <c r="D1232" t="str">
        <f t="shared" si="58"/>
        <v>Vinci</v>
      </c>
      <c r="E1232" t="str">
        <f t="shared" si="59"/>
        <v>ssa K</v>
      </c>
    </row>
    <row r="1233" spans="1:5" ht="15.75" customHeight="1">
      <c r="A1233" s="9" t="s">
        <v>2467</v>
      </c>
      <c r="B1233" s="9" t="s">
        <v>2468</v>
      </c>
      <c r="C1233" t="str">
        <f t="shared" si="57"/>
        <v>d-H</v>
      </c>
      <c r="D1233" t="str">
        <f t="shared" si="58"/>
        <v>Diamo</v>
      </c>
      <c r="E1233" t="str">
        <f t="shared" si="59"/>
        <v>ara H</v>
      </c>
    </row>
    <row r="1234" spans="1:5" ht="15.75" customHeight="1">
      <c r="A1234" s="9" t="s">
        <v>2469</v>
      </c>
      <c r="B1234" s="9" t="s">
        <v>2470</v>
      </c>
      <c r="C1234" t="str">
        <f t="shared" si="57"/>
        <v>Mr.</v>
      </c>
      <c r="D1234" t="str">
        <f t="shared" si="58"/>
        <v>Soto,</v>
      </c>
      <c r="E1234" t="str">
        <f t="shared" si="59"/>
        <v>arlos</v>
      </c>
    </row>
    <row r="1235" spans="1:5" ht="15.75" customHeight="1">
      <c r="A1235" s="9" t="s">
        <v>2471</v>
      </c>
      <c r="B1235" s="9" t="s">
        <v>2472</v>
      </c>
      <c r="C1235" t="str">
        <f t="shared" si="57"/>
        <v>, M</v>
      </c>
      <c r="D1235" t="str">
        <f t="shared" si="58"/>
        <v>Howar</v>
      </c>
      <c r="E1235" t="str">
        <f t="shared" si="59"/>
        <v>n III</v>
      </c>
    </row>
    <row r="1236" spans="1:5" ht="15.75" customHeight="1">
      <c r="A1236" s="9" t="s">
        <v>2473</v>
      </c>
      <c r="B1236" s="9" t="s">
        <v>2474</v>
      </c>
      <c r="C1236" t="str">
        <f t="shared" si="57"/>
        <v>k,</v>
      </c>
      <c r="D1236" t="str">
        <f t="shared" si="58"/>
        <v>Patri</v>
      </c>
      <c r="E1236" t="str">
        <f t="shared" si="59"/>
        <v>rah M</v>
      </c>
    </row>
    <row r="1237" spans="1:5" ht="15.75" customHeight="1">
      <c r="A1237" s="9" t="s">
        <v>2475</v>
      </c>
      <c r="B1237" s="9" t="s">
        <v>2476</v>
      </c>
      <c r="C1237" t="str">
        <f t="shared" si="57"/>
        <v>Mr</v>
      </c>
      <c r="D1237" t="str">
        <f t="shared" si="58"/>
        <v>Dacko</v>
      </c>
      <c r="E1237" t="str">
        <f t="shared" si="59"/>
        <v>tin C</v>
      </c>
    </row>
    <row r="1238" spans="1:5" ht="15.75" customHeight="1">
      <c r="A1238" s="9" t="s">
        <v>2477</v>
      </c>
      <c r="B1238" s="9" t="s">
        <v>2478</v>
      </c>
      <c r="C1238" t="str">
        <f t="shared" si="57"/>
        <v>y,</v>
      </c>
      <c r="D1238" t="str">
        <f t="shared" si="58"/>
        <v>Glass</v>
      </c>
      <c r="E1238" t="str">
        <f t="shared" si="59"/>
        <v>ey M.</v>
      </c>
    </row>
    <row r="1239" spans="1:5" ht="15.75" customHeight="1">
      <c r="A1239" s="9" t="s">
        <v>2479</v>
      </c>
      <c r="B1239" s="9" t="s">
        <v>2480</v>
      </c>
      <c r="C1239" t="str">
        <f t="shared" si="57"/>
        <v>tte</v>
      </c>
      <c r="D1239" t="str">
        <f t="shared" si="58"/>
        <v>Frech</v>
      </c>
      <c r="E1239" t="str">
        <f t="shared" si="59"/>
        <v>amuel</v>
      </c>
    </row>
    <row r="1240" spans="1:5" ht="15.75" customHeight="1">
      <c r="A1240" s="9" t="s">
        <v>2481</v>
      </c>
      <c r="B1240" s="9" t="s">
        <v>2482</v>
      </c>
      <c r="C1240" t="str">
        <f t="shared" si="57"/>
        <v>z,</v>
      </c>
      <c r="D1240" t="str">
        <f t="shared" si="58"/>
        <v>Benit</v>
      </c>
      <c r="E1240" t="str">
        <f t="shared" si="59"/>
        <v>aulio</v>
      </c>
    </row>
    <row r="1241" spans="1:5" ht="15.75" customHeight="1">
      <c r="A1241" s="9" t="s">
        <v>2483</v>
      </c>
      <c r="B1241" s="9" t="s">
        <v>2484</v>
      </c>
      <c r="C1241" t="str">
        <f t="shared" si="57"/>
        <v>er,</v>
      </c>
      <c r="D1241" t="str">
        <f t="shared" si="58"/>
        <v>Gauth</v>
      </c>
      <c r="E1241" t="str">
        <f t="shared" si="59"/>
        <v>Marie</v>
      </c>
    </row>
    <row r="1242" spans="1:5" ht="15.75" customHeight="1">
      <c r="A1242" s="9" t="s">
        <v>2485</v>
      </c>
      <c r="B1242" s="9" t="s">
        <v>2486</v>
      </c>
      <c r="C1242" t="str">
        <f t="shared" si="57"/>
        <v>i,</v>
      </c>
      <c r="D1242" t="str">
        <f t="shared" si="58"/>
        <v>Fazio</v>
      </c>
      <c r="E1242" t="str">
        <f t="shared" si="59"/>
        <v>el K.</v>
      </c>
    </row>
    <row r="1243" spans="1:5" ht="15.75" customHeight="1">
      <c r="A1243" s="9" t="s">
        <v>2487</v>
      </c>
      <c r="B1243" s="9" t="s">
        <v>2488</v>
      </c>
      <c r="C1243" t="str">
        <f t="shared" si="57"/>
        <v>y,</v>
      </c>
      <c r="D1243" t="str">
        <f t="shared" si="58"/>
        <v>Chorn</v>
      </c>
      <c r="E1243" t="str">
        <f t="shared" si="59"/>
        <v>Yuki</v>
      </c>
    </row>
    <row r="1244" spans="1:5" ht="15.75" customHeight="1">
      <c r="A1244" s="9" t="s">
        <v>2489</v>
      </c>
      <c r="B1244" s="9" t="s">
        <v>2490</v>
      </c>
      <c r="C1244" t="str">
        <f t="shared" si="57"/>
        <v>hau</v>
      </c>
      <c r="D1244" t="str">
        <f t="shared" si="58"/>
        <v>Danne</v>
      </c>
      <c r="E1244" t="str">
        <f t="shared" si="59"/>
        <v>Rafer</v>
      </c>
    </row>
    <row r="1245" spans="1:5" ht="15.75" customHeight="1">
      <c r="A1245" s="9" t="s">
        <v>2491</v>
      </c>
      <c r="B1245" s="9" t="s">
        <v>2492</v>
      </c>
      <c r="C1245" t="str">
        <f t="shared" si="57"/>
        <v>, M</v>
      </c>
      <c r="D1245" t="str">
        <f t="shared" si="58"/>
        <v>McCom</v>
      </c>
      <c r="E1245" t="str">
        <f t="shared" si="59"/>
        <v>laire</v>
      </c>
    </row>
    <row r="1246" spans="1:5" ht="15.75" customHeight="1">
      <c r="A1246" s="9" t="s">
        <v>2493</v>
      </c>
      <c r="B1246" s="9" t="s">
        <v>2494</v>
      </c>
      <c r="C1246" t="str">
        <f t="shared" si="57"/>
        <v>Ms</v>
      </c>
      <c r="D1246" t="str">
        <f t="shared" si="58"/>
        <v>Blake</v>
      </c>
      <c r="E1246" t="str">
        <f t="shared" si="59"/>
        <v>nn J.</v>
      </c>
    </row>
    <row r="1247" spans="1:5" ht="15.75" customHeight="1">
      <c r="A1247" s="9" t="s">
        <v>2495</v>
      </c>
      <c r="B1247" s="9" t="s">
        <v>2496</v>
      </c>
      <c r="C1247" t="str">
        <f t="shared" si="57"/>
        <v>iva</v>
      </c>
      <c r="D1247" t="str">
        <f t="shared" si="58"/>
        <v>Samba</v>
      </c>
      <c r="E1247" t="str">
        <f t="shared" si="59"/>
        <v>ahesh</v>
      </c>
    </row>
    <row r="1248" spans="1:5" ht="15.75" customHeight="1">
      <c r="A1248" s="9" t="s">
        <v>2497</v>
      </c>
      <c r="B1248" s="9" t="s">
        <v>2498</v>
      </c>
      <c r="C1248" t="str">
        <f t="shared" si="57"/>
        <v>Mr</v>
      </c>
      <c r="D1248" t="str">
        <f t="shared" si="58"/>
        <v>Maina</v>
      </c>
      <c r="E1248" t="str">
        <f t="shared" si="59"/>
        <v>anley</v>
      </c>
    </row>
    <row r="1249" spans="1:5" ht="15.75" customHeight="1">
      <c r="A1249" s="9" t="s">
        <v>2499</v>
      </c>
      <c r="B1249" s="9" t="s">
        <v>2500</v>
      </c>
      <c r="C1249" t="str">
        <f t="shared" si="57"/>
        <v>n,</v>
      </c>
      <c r="D1249" t="str">
        <f t="shared" si="58"/>
        <v>Keshi</v>
      </c>
      <c r="E1249" t="str">
        <f t="shared" si="59"/>
        <v>egory</v>
      </c>
    </row>
    <row r="1250" spans="1:5" ht="15.75" customHeight="1">
      <c r="A1250" s="9" t="s">
        <v>2501</v>
      </c>
      <c r="B1250" s="9" t="s">
        <v>2502</v>
      </c>
      <c r="C1250" t="str">
        <f t="shared" si="57"/>
        <v>Mr.</v>
      </c>
      <c r="D1250" t="str">
        <f t="shared" si="58"/>
        <v>Maas,</v>
      </c>
      <c r="E1250" t="str">
        <f t="shared" si="59"/>
        <v>Eric</v>
      </c>
    </row>
    <row r="1251" spans="1:5" ht="15.75" customHeight="1">
      <c r="A1251" s="9" t="s">
        <v>2503</v>
      </c>
      <c r="B1251" s="9" t="s">
        <v>2504</v>
      </c>
      <c r="C1251" t="str">
        <f t="shared" si="57"/>
        <v>c,</v>
      </c>
      <c r="D1251" t="str">
        <f t="shared" si="58"/>
        <v>Sinas</v>
      </c>
      <c r="E1251" t="str">
        <f t="shared" si="59"/>
        <v>hel M</v>
      </c>
    </row>
    <row r="1252" spans="1:5" ht="15.75" customHeight="1">
      <c r="A1252" s="9" t="s">
        <v>2505</v>
      </c>
      <c r="B1252" s="9" t="s">
        <v>2506</v>
      </c>
      <c r="C1252" t="str">
        <f t="shared" si="57"/>
        <v>Ka</v>
      </c>
      <c r="D1252" t="str">
        <f t="shared" si="58"/>
        <v>Van D</v>
      </c>
      <c r="E1252" t="str">
        <f t="shared" si="59"/>
        <v>Fritz</v>
      </c>
    </row>
    <row r="1253" spans="1:5" ht="15.75" customHeight="1">
      <c r="A1253" s="9" t="s">
        <v>2507</v>
      </c>
      <c r="B1253" s="9" t="s">
        <v>2508</v>
      </c>
      <c r="C1253" t="str">
        <f t="shared" si="57"/>
        <v>Mr</v>
      </c>
      <c r="D1253" t="str">
        <f t="shared" si="58"/>
        <v>Ruffo</v>
      </c>
      <c r="E1253" t="str">
        <f t="shared" si="59"/>
        <v>Brad</v>
      </c>
    </row>
    <row r="1254" spans="1:5" ht="15.75" customHeight="1">
      <c r="A1254" s="9" t="s">
        <v>2509</v>
      </c>
      <c r="B1254" s="9" t="s">
        <v>2510</v>
      </c>
      <c r="C1254" t="str">
        <f t="shared" si="57"/>
        <v>Ms.</v>
      </c>
      <c r="D1254" t="str">
        <f t="shared" si="58"/>
        <v>Long,</v>
      </c>
      <c r="E1254" t="str">
        <f t="shared" si="59"/>
        <v>ire M</v>
      </c>
    </row>
    <row r="1255" spans="1:5" ht="15.75" customHeight="1">
      <c r="A1255" s="9" t="s">
        <v>2511</v>
      </c>
      <c r="B1255" s="9" t="s">
        <v>2512</v>
      </c>
      <c r="C1255" t="str">
        <f t="shared" si="57"/>
        <v>Mr</v>
      </c>
      <c r="D1255" t="str">
        <f t="shared" si="58"/>
        <v>Rohde</v>
      </c>
      <c r="E1255" t="str">
        <f t="shared" si="59"/>
        <v>nifer</v>
      </c>
    </row>
    <row r="1256" spans="1:5" ht="15.75" customHeight="1">
      <c r="A1256" s="9" t="s">
        <v>2513</v>
      </c>
      <c r="B1256" s="9" t="s">
        <v>2514</v>
      </c>
      <c r="C1256" t="str">
        <f t="shared" si="57"/>
        <v>Ms</v>
      </c>
      <c r="D1256" t="str">
        <f t="shared" si="58"/>
        <v>Bonzi</v>
      </c>
      <c r="E1256" t="str">
        <f t="shared" si="59"/>
        <v>ia S.</v>
      </c>
    </row>
    <row r="1257" spans="1:5" ht="15.75" customHeight="1">
      <c r="A1257" s="9" t="s">
        <v>2515</v>
      </c>
      <c r="B1257" s="9" t="s">
        <v>2516</v>
      </c>
      <c r="C1257" t="str">
        <f t="shared" si="57"/>
        <v>Ms</v>
      </c>
      <c r="D1257" t="str">
        <f t="shared" si="58"/>
        <v>Moore</v>
      </c>
      <c r="E1257" t="str">
        <f t="shared" si="59"/>
        <v>ine E</v>
      </c>
    </row>
    <row r="1258" spans="1:5" ht="15.75" customHeight="1">
      <c r="A1258" s="9" t="s">
        <v>2517</v>
      </c>
      <c r="B1258" s="9" t="s">
        <v>2518</v>
      </c>
      <c r="C1258" t="str">
        <f t="shared" si="57"/>
        <v>e,</v>
      </c>
      <c r="D1258" t="str">
        <f t="shared" si="58"/>
        <v>McGra</v>
      </c>
      <c r="E1258" t="str">
        <f t="shared" si="59"/>
        <v>chael</v>
      </c>
    </row>
    <row r="1259" spans="1:5" ht="15.75" customHeight="1">
      <c r="A1259" s="9" t="s">
        <v>2519</v>
      </c>
      <c r="B1259" s="9" t="s">
        <v>2520</v>
      </c>
      <c r="C1259" t="str">
        <f t="shared" si="57"/>
        <v>wsk</v>
      </c>
      <c r="D1259" t="str">
        <f t="shared" si="58"/>
        <v>Stepn</v>
      </c>
      <c r="E1259" t="str">
        <f t="shared" si="59"/>
        <v>xanne</v>
      </c>
    </row>
    <row r="1260" spans="1:5" ht="15.75" customHeight="1">
      <c r="A1260" s="9" t="s">
        <v>2521</v>
      </c>
      <c r="B1260" s="9" t="s">
        <v>2522</v>
      </c>
      <c r="C1260" t="str">
        <f t="shared" si="57"/>
        <v>, M</v>
      </c>
      <c r="D1260" t="str">
        <f t="shared" si="58"/>
        <v>Merkl</v>
      </c>
      <c r="E1260" t="str">
        <f t="shared" si="59"/>
        <v>srael</v>
      </c>
    </row>
    <row r="1261" spans="1:5" ht="15.75" customHeight="1">
      <c r="A1261" s="9" t="s">
        <v>2523</v>
      </c>
      <c r="B1261" s="9" t="s">
        <v>2524</v>
      </c>
      <c r="C1261" t="str">
        <f t="shared" si="57"/>
        <v>er,</v>
      </c>
      <c r="D1261" t="str">
        <f t="shared" si="58"/>
        <v>Schae</v>
      </c>
      <c r="E1261" t="str">
        <f t="shared" si="59"/>
        <v>malya</v>
      </c>
    </row>
    <row r="1262" spans="1:5" ht="15.75" customHeight="1">
      <c r="A1262" s="9" t="s">
        <v>2525</v>
      </c>
      <c r="B1262" s="9" t="s">
        <v>2526</v>
      </c>
      <c r="C1262" t="str">
        <f t="shared" si="57"/>
        <v>on,</v>
      </c>
      <c r="D1262" t="str">
        <f t="shared" si="58"/>
        <v>Vigne</v>
      </c>
      <c r="E1262" t="str">
        <f t="shared" si="59"/>
        <v>Peter</v>
      </c>
    </row>
    <row r="1263" spans="1:5" ht="15.75" customHeight="1">
      <c r="A1263" s="9" t="s">
        <v>2527</v>
      </c>
      <c r="B1263" s="9" t="s">
        <v>2528</v>
      </c>
      <c r="C1263" t="str">
        <f t="shared" si="57"/>
        <v>Ms</v>
      </c>
      <c r="D1263" t="str">
        <f t="shared" si="58"/>
        <v>Mucci</v>
      </c>
      <c r="E1263" t="str">
        <f t="shared" si="59"/>
        <v>licia</v>
      </c>
    </row>
    <row r="1264" spans="1:5" ht="15.75" customHeight="1">
      <c r="A1264" s="9" t="s">
        <v>2529</v>
      </c>
      <c r="B1264" s="9" t="s">
        <v>2530</v>
      </c>
      <c r="C1264" t="str">
        <f t="shared" si="57"/>
        <v>ald</v>
      </c>
      <c r="D1264" t="str">
        <f t="shared" si="58"/>
        <v>MacDo</v>
      </c>
      <c r="E1264" t="str">
        <f t="shared" si="59"/>
        <v>ah K.</v>
      </c>
    </row>
    <row r="1265" spans="1:5" ht="15.75" customHeight="1">
      <c r="A1265" s="9" t="s">
        <v>2531</v>
      </c>
      <c r="B1265" s="9" t="s">
        <v>2532</v>
      </c>
      <c r="C1265" t="str">
        <f t="shared" si="57"/>
        <v>Mr.</v>
      </c>
      <c r="D1265" t="str">
        <f t="shared" si="58"/>
        <v>Deng,</v>
      </c>
      <c r="E1265" t="str">
        <f t="shared" si="59"/>
        <v>uomin</v>
      </c>
    </row>
    <row r="1266" spans="1:5" ht="15.75" customHeight="1">
      <c r="A1266" s="9" t="s">
        <v>2533</v>
      </c>
      <c r="B1266" s="9" t="s">
        <v>2534</v>
      </c>
      <c r="C1266" t="str">
        <f t="shared" si="57"/>
        <v>a,</v>
      </c>
      <c r="D1266" t="str">
        <f t="shared" si="58"/>
        <v>De Ma</v>
      </c>
      <c r="E1266" t="str">
        <f t="shared" si="59"/>
        <v>avier</v>
      </c>
    </row>
    <row r="1267" spans="1:5" ht="15.75" customHeight="1">
      <c r="A1267" s="9" t="s">
        <v>2535</v>
      </c>
      <c r="B1267" s="9" t="s">
        <v>2536</v>
      </c>
      <c r="C1267" t="str">
        <f t="shared" si="57"/>
        <v>lan</v>
      </c>
      <c r="D1267" t="str">
        <f t="shared" si="58"/>
        <v>Stric</v>
      </c>
      <c r="E1267" t="str">
        <f t="shared" si="59"/>
        <v>Matt</v>
      </c>
    </row>
    <row r="1268" spans="1:5" ht="15.75" customHeight="1">
      <c r="A1268" s="9" t="s">
        <v>2537</v>
      </c>
      <c r="B1268" s="9" t="s">
        <v>2538</v>
      </c>
      <c r="C1268" t="str">
        <f t="shared" si="57"/>
        <v>, M</v>
      </c>
      <c r="D1268" t="str">
        <f t="shared" si="58"/>
        <v>Chene</v>
      </c>
      <c r="E1268" t="str">
        <f t="shared" si="59"/>
        <v>mas S</v>
      </c>
    </row>
    <row r="1269" spans="1:5" ht="15.75" customHeight="1">
      <c r="A1269" s="9" t="s">
        <v>2539</v>
      </c>
      <c r="B1269" s="9" t="s">
        <v>2540</v>
      </c>
      <c r="C1269" t="str">
        <f t="shared" si="57"/>
        <v>Ms</v>
      </c>
      <c r="D1269" t="str">
        <f t="shared" si="58"/>
        <v>Godoy</v>
      </c>
      <c r="E1269" t="str">
        <f t="shared" si="59"/>
        <v>ricia</v>
      </c>
    </row>
    <row r="1270" spans="1:5" ht="15.75" customHeight="1">
      <c r="A1270" s="9" t="s">
        <v>2541</v>
      </c>
      <c r="B1270" s="9" t="s">
        <v>2542</v>
      </c>
      <c r="C1270" t="str">
        <f t="shared" si="57"/>
        <v>Ms</v>
      </c>
      <c r="D1270" t="str">
        <f t="shared" si="58"/>
        <v>Rider</v>
      </c>
      <c r="E1270" t="str">
        <f t="shared" si="59"/>
        <v>licia</v>
      </c>
    </row>
    <row r="1271" spans="1:5" ht="15.75" customHeight="1">
      <c r="A1271" s="9" t="s">
        <v>2543</v>
      </c>
      <c r="B1271" s="9" t="s">
        <v>2544</v>
      </c>
      <c r="C1271" t="str">
        <f t="shared" si="57"/>
        <v>Ms</v>
      </c>
      <c r="D1271" t="str">
        <f t="shared" si="58"/>
        <v>Evans</v>
      </c>
      <c r="E1271" t="str">
        <f t="shared" si="59"/>
        <v>er V.</v>
      </c>
    </row>
    <row r="1272" spans="1:5" ht="15.75" customHeight="1">
      <c r="A1272" s="9" t="s">
        <v>2545</v>
      </c>
      <c r="B1272" s="9" t="s">
        <v>2546</v>
      </c>
      <c r="C1272" t="str">
        <f t="shared" si="57"/>
        <v>on,</v>
      </c>
      <c r="D1272" t="str">
        <f t="shared" si="58"/>
        <v>Ander</v>
      </c>
      <c r="E1272" t="str">
        <f t="shared" si="59"/>
        <v>el W.</v>
      </c>
    </row>
    <row r="1273" spans="1:5" ht="15.75" customHeight="1">
      <c r="A1273" s="9" t="s">
        <v>2547</v>
      </c>
      <c r="B1273" s="9" t="s">
        <v>2548</v>
      </c>
      <c r="C1273" t="str">
        <f t="shared" si="57"/>
        <v>s,</v>
      </c>
      <c r="D1273" t="str">
        <f t="shared" si="58"/>
        <v>Walte</v>
      </c>
      <c r="E1273" t="str">
        <f t="shared" si="59"/>
        <v>die C</v>
      </c>
    </row>
    <row r="1274" spans="1:5" ht="15.75" customHeight="1">
      <c r="A1274" s="9" t="s">
        <v>2549</v>
      </c>
      <c r="B1274" s="9" t="s">
        <v>2550</v>
      </c>
      <c r="C1274" t="str">
        <f t="shared" si="57"/>
        <v>f,</v>
      </c>
      <c r="D1274" t="str">
        <f t="shared" si="58"/>
        <v>Leboe</v>
      </c>
      <c r="E1274" t="str">
        <f t="shared" si="59"/>
        <v>ime M</v>
      </c>
    </row>
    <row r="1275" spans="1:5" ht="15.75" customHeight="1">
      <c r="A1275" s="9" t="s">
        <v>2551</v>
      </c>
      <c r="B1275" s="9" t="s">
        <v>2552</v>
      </c>
      <c r="C1275" t="str">
        <f t="shared" si="57"/>
        <v>el,</v>
      </c>
      <c r="D1275" t="str">
        <f t="shared" si="58"/>
        <v>Schei</v>
      </c>
      <c r="E1275" t="str">
        <f t="shared" si="59"/>
        <v>ark D</v>
      </c>
    </row>
    <row r="1276" spans="1:5" ht="15.75" customHeight="1">
      <c r="A1276" s="9" t="s">
        <v>2553</v>
      </c>
      <c r="B1276" s="9" t="s">
        <v>2554</v>
      </c>
      <c r="C1276" t="str">
        <f t="shared" si="57"/>
        <v>, M</v>
      </c>
      <c r="D1276" t="str">
        <f t="shared" si="58"/>
        <v>Ritte</v>
      </c>
      <c r="E1276" t="str">
        <f t="shared" si="59"/>
        <v>Adam</v>
      </c>
    </row>
    <row r="1277" spans="1:5" ht="15.75" customHeight="1">
      <c r="A1277" s="9" t="s">
        <v>2555</v>
      </c>
      <c r="B1277" s="9" t="s">
        <v>2556</v>
      </c>
      <c r="C1277" t="str">
        <f t="shared" si="57"/>
        <v>Mr.</v>
      </c>
      <c r="D1277" t="str">
        <f t="shared" si="58"/>
        <v>Deeg,</v>
      </c>
      <c r="E1277" t="str">
        <f t="shared" si="59"/>
        <v>tin M</v>
      </c>
    </row>
    <row r="1278" spans="1:5" ht="15.75" customHeight="1">
      <c r="A1278" s="9" t="s">
        <v>2557</v>
      </c>
      <c r="B1278" s="9" t="s">
        <v>2558</v>
      </c>
      <c r="C1278" t="str">
        <f t="shared" si="57"/>
        <v>, M</v>
      </c>
      <c r="D1278" t="str">
        <f t="shared" si="58"/>
        <v>Preto</v>
      </c>
      <c r="E1278" t="str">
        <f t="shared" si="59"/>
        <v>na V.</v>
      </c>
    </row>
    <row r="1279" spans="1:5" ht="15.75" customHeight="1">
      <c r="A1279" s="9" t="s">
        <v>2559</v>
      </c>
      <c r="B1279" s="9" t="s">
        <v>2560</v>
      </c>
      <c r="C1279" t="str">
        <f t="shared" si="57"/>
        <v>y,</v>
      </c>
      <c r="D1279" t="str">
        <f t="shared" si="58"/>
        <v>Wills</v>
      </c>
      <c r="E1279" t="str">
        <f t="shared" si="59"/>
        <v>ana L</v>
      </c>
    </row>
    <row r="1280" spans="1:5" ht="15.75" customHeight="1">
      <c r="A1280" s="9" t="s">
        <v>2561</v>
      </c>
      <c r="B1280" s="9" t="s">
        <v>2562</v>
      </c>
      <c r="C1280" t="str">
        <f t="shared" si="57"/>
        <v>Ms</v>
      </c>
      <c r="D1280" t="str">
        <f t="shared" si="58"/>
        <v>Roach</v>
      </c>
      <c r="E1280" t="str">
        <f t="shared" si="59"/>
        <v>Laura</v>
      </c>
    </row>
    <row r="1281" spans="1:5" ht="15.75" customHeight="1">
      <c r="A1281" s="9" t="s">
        <v>2563</v>
      </c>
      <c r="B1281" s="9" t="s">
        <v>2564</v>
      </c>
      <c r="C1281" t="str">
        <f t="shared" si="57"/>
        <v>en,</v>
      </c>
      <c r="D1281" t="str">
        <f t="shared" si="58"/>
        <v>Jacob</v>
      </c>
      <c r="E1281" t="str">
        <f t="shared" si="59"/>
        <v>C III</v>
      </c>
    </row>
    <row r="1282" spans="1:5" ht="15.75" customHeight="1">
      <c r="A1282" s="9" t="s">
        <v>2565</v>
      </c>
      <c r="B1282" s="9" t="s">
        <v>2566</v>
      </c>
      <c r="C1282" t="str">
        <f t="shared" si="57"/>
        <v>, M</v>
      </c>
      <c r="D1282" t="str">
        <f t="shared" si="58"/>
        <v>O'Hor</v>
      </c>
      <c r="E1282" t="str">
        <f t="shared" si="59"/>
        <v>Paul</v>
      </c>
    </row>
    <row r="1283" spans="1:5" ht="15.75" customHeight="1">
      <c r="A1283" s="9" t="s">
        <v>2567</v>
      </c>
      <c r="B1283" s="9" t="s">
        <v>2568</v>
      </c>
      <c r="C1283" t="str">
        <f t="shared" ref="C1283:C1346" si="60">MID(B1283,7,3)</f>
        <v>Ms</v>
      </c>
      <c r="D1283" t="str">
        <f t="shared" ref="D1283:D1346" si="61">LEFT(B1283,5)</f>
        <v>Amato</v>
      </c>
      <c r="E1283" t="str">
        <f t="shared" ref="E1283:E1346" si="62">RIGHT(B1283,5)</f>
        <v>er D.</v>
      </c>
    </row>
    <row r="1284" spans="1:5" ht="15.75" customHeight="1">
      <c r="A1284" s="9" t="s">
        <v>2569</v>
      </c>
      <c r="B1284" s="9" t="s">
        <v>2570</v>
      </c>
      <c r="C1284" t="str">
        <f t="shared" si="60"/>
        <v>Mr.</v>
      </c>
      <c r="D1284" t="str">
        <f t="shared" si="61"/>
        <v>Reed,</v>
      </c>
      <c r="E1284" t="str">
        <f t="shared" si="62"/>
        <v>Erik</v>
      </c>
    </row>
    <row r="1285" spans="1:5" ht="15.75" customHeight="1">
      <c r="A1285" s="9" t="s">
        <v>2571</v>
      </c>
      <c r="B1285" s="9" t="s">
        <v>2572</v>
      </c>
      <c r="C1285" t="str">
        <f t="shared" si="60"/>
        <v>, M</v>
      </c>
      <c r="D1285" t="str">
        <f t="shared" si="61"/>
        <v>Wegne</v>
      </c>
      <c r="E1285" t="str">
        <f t="shared" si="62"/>
        <v>ana J</v>
      </c>
    </row>
    <row r="1286" spans="1:5" ht="15.75" customHeight="1">
      <c r="A1286" s="9" t="s">
        <v>2573</v>
      </c>
      <c r="B1286" s="9" t="s">
        <v>2574</v>
      </c>
      <c r="C1286" t="str">
        <f t="shared" si="60"/>
        <v>Ms</v>
      </c>
      <c r="D1286" t="str">
        <f t="shared" si="61"/>
        <v>Bokun</v>
      </c>
      <c r="E1286" t="str">
        <f t="shared" si="62"/>
        <v>cca E</v>
      </c>
    </row>
    <row r="1287" spans="1:5" ht="15.75" customHeight="1">
      <c r="A1287" s="9" t="s">
        <v>2575</v>
      </c>
      <c r="B1287" s="9" t="s">
        <v>2576</v>
      </c>
      <c r="C1287" t="str">
        <f t="shared" si="60"/>
        <v>y,</v>
      </c>
      <c r="D1287" t="str">
        <f t="shared" si="61"/>
        <v>Ainsl</v>
      </c>
      <c r="E1287" t="str">
        <f t="shared" si="62"/>
        <v>ie M.</v>
      </c>
    </row>
    <row r="1288" spans="1:5" ht="15.75" customHeight="1">
      <c r="A1288" s="9" t="s">
        <v>2577</v>
      </c>
      <c r="B1288" s="9" t="s">
        <v>2578</v>
      </c>
      <c r="C1288" t="str">
        <f t="shared" si="60"/>
        <v>, M</v>
      </c>
      <c r="D1288" t="str">
        <f t="shared" si="61"/>
        <v>Foste</v>
      </c>
      <c r="E1288" t="str">
        <f t="shared" si="62"/>
        <v>th A.</v>
      </c>
    </row>
    <row r="1289" spans="1:5" ht="15.75" customHeight="1">
      <c r="A1289" s="9" t="s">
        <v>2579</v>
      </c>
      <c r="B1289" s="9" t="s">
        <v>2580</v>
      </c>
      <c r="C1289" t="str">
        <f t="shared" si="60"/>
        <v>ck,</v>
      </c>
      <c r="D1289" t="str">
        <f t="shared" si="61"/>
        <v>Overp</v>
      </c>
      <c r="E1289" t="str">
        <f t="shared" si="62"/>
        <v>Sarah</v>
      </c>
    </row>
    <row r="1290" spans="1:5" ht="15.75" customHeight="1">
      <c r="A1290" s="9" t="s">
        <v>2581</v>
      </c>
      <c r="B1290" s="9" t="s">
        <v>2582</v>
      </c>
      <c r="C1290" t="str">
        <f t="shared" si="60"/>
        <v>, M</v>
      </c>
      <c r="D1290" t="str">
        <f t="shared" si="61"/>
        <v>Levin</v>
      </c>
      <c r="E1290" t="str">
        <f t="shared" si="62"/>
        <v>ie J.</v>
      </c>
    </row>
    <row r="1291" spans="1:5" ht="15.75" customHeight="1">
      <c r="A1291" s="9" t="s">
        <v>2583</v>
      </c>
      <c r="B1291" s="9" t="s">
        <v>2584</v>
      </c>
      <c r="C1291" t="str">
        <f t="shared" si="60"/>
        <v>Ms.</v>
      </c>
      <c r="D1291" t="str">
        <f t="shared" si="61"/>
        <v>Jean,</v>
      </c>
      <c r="E1291" t="str">
        <f t="shared" si="62"/>
        <v>Annie</v>
      </c>
    </row>
    <row r="1292" spans="1:5" ht="15.75" customHeight="1">
      <c r="A1292" s="9" t="s">
        <v>2585</v>
      </c>
      <c r="B1292" s="9" t="s">
        <v>2586</v>
      </c>
      <c r="C1292" t="str">
        <f t="shared" si="60"/>
        <v>Ms.</v>
      </c>
      <c r="D1292" t="str">
        <f t="shared" si="61"/>
        <v>Wild,</v>
      </c>
      <c r="E1292" t="str">
        <f t="shared" si="62"/>
        <v>ndsey</v>
      </c>
    </row>
    <row r="1293" spans="1:5" ht="15.75" customHeight="1">
      <c r="A1293" s="9" t="s">
        <v>2587</v>
      </c>
      <c r="B1293" s="9" t="s">
        <v>2588</v>
      </c>
      <c r="C1293" t="str">
        <f t="shared" si="60"/>
        <v>Ms</v>
      </c>
      <c r="D1293" t="str">
        <f t="shared" si="61"/>
        <v>Tabor</v>
      </c>
      <c r="E1293" t="str">
        <f t="shared" si="62"/>
        <v>Laura</v>
      </c>
    </row>
    <row r="1294" spans="1:5" ht="15.75" customHeight="1">
      <c r="A1294" s="9" t="s">
        <v>2589</v>
      </c>
      <c r="B1294" s="9" t="s">
        <v>2590</v>
      </c>
      <c r="C1294" t="str">
        <f t="shared" si="60"/>
        <v>n,</v>
      </c>
      <c r="D1294" t="str">
        <f t="shared" si="61"/>
        <v>Steff</v>
      </c>
      <c r="E1294" t="str">
        <f t="shared" si="62"/>
        <v>Amy T</v>
      </c>
    </row>
    <row r="1295" spans="1:5" ht="15.75" customHeight="1">
      <c r="A1295" s="9" t="s">
        <v>2591</v>
      </c>
      <c r="B1295" s="9" t="s">
        <v>2592</v>
      </c>
      <c r="C1295" t="str">
        <f t="shared" si="60"/>
        <v>, M</v>
      </c>
      <c r="D1295" t="str">
        <f t="shared" si="61"/>
        <v>Tadic</v>
      </c>
      <c r="E1295" t="str">
        <f t="shared" si="62"/>
        <v>ina D</v>
      </c>
    </row>
    <row r="1296" spans="1:5" ht="15.75" customHeight="1">
      <c r="A1296" s="9" t="s">
        <v>2593</v>
      </c>
      <c r="B1296" s="9" t="s">
        <v>2594</v>
      </c>
      <c r="C1296" t="str">
        <f t="shared" si="60"/>
        <v>ens</v>
      </c>
      <c r="D1296" t="str">
        <f t="shared" si="61"/>
        <v>Chris</v>
      </c>
      <c r="E1296" t="str">
        <f t="shared" si="62"/>
        <v>B.j.</v>
      </c>
    </row>
    <row r="1297" spans="1:5" ht="15.75" customHeight="1">
      <c r="A1297" s="9" t="s">
        <v>2595</v>
      </c>
      <c r="B1297" s="9" t="s">
        <v>2596</v>
      </c>
      <c r="C1297" t="str">
        <f t="shared" si="60"/>
        <v>Ms</v>
      </c>
      <c r="D1297" t="str">
        <f t="shared" si="61"/>
        <v>Shell</v>
      </c>
      <c r="E1297" t="str">
        <f t="shared" si="62"/>
        <v>lison</v>
      </c>
    </row>
    <row r="1298" spans="1:5" ht="15.75" customHeight="1">
      <c r="A1298" s="9" t="s">
        <v>2597</v>
      </c>
      <c r="B1298" s="9" t="s">
        <v>2598</v>
      </c>
      <c r="C1298" t="str">
        <f t="shared" si="60"/>
        <v>r.</v>
      </c>
      <c r="D1298" t="str">
        <f t="shared" si="61"/>
        <v>Rao,</v>
      </c>
      <c r="E1298" t="str">
        <f t="shared" si="62"/>
        <v>il K.</v>
      </c>
    </row>
    <row r="1299" spans="1:5" ht="15.75" customHeight="1">
      <c r="A1299" s="9" t="s">
        <v>2599</v>
      </c>
      <c r="B1299" s="9" t="s">
        <v>2600</v>
      </c>
      <c r="C1299" t="str">
        <f t="shared" si="60"/>
        <v>Mr</v>
      </c>
      <c r="D1299" t="str">
        <f t="shared" si="61"/>
        <v>Myers</v>
      </c>
      <c r="E1299" t="str">
        <f t="shared" si="62"/>
        <v>unter</v>
      </c>
    </row>
    <row r="1300" spans="1:5" ht="15.75" customHeight="1">
      <c r="A1300" s="9" t="s">
        <v>2601</v>
      </c>
      <c r="B1300" s="9" t="s">
        <v>2602</v>
      </c>
      <c r="C1300" t="str">
        <f t="shared" si="60"/>
        <v>, M</v>
      </c>
      <c r="D1300" t="str">
        <f t="shared" si="61"/>
        <v>McLea</v>
      </c>
      <c r="E1300" t="str">
        <f t="shared" si="62"/>
        <v>andra</v>
      </c>
    </row>
    <row r="1301" spans="1:5" ht="15.75" customHeight="1">
      <c r="A1301" s="9" t="s">
        <v>2603</v>
      </c>
      <c r="B1301" s="9" t="s">
        <v>2604</v>
      </c>
      <c r="C1301" t="str">
        <f t="shared" si="60"/>
        <v>Mr</v>
      </c>
      <c r="D1301" t="str">
        <f t="shared" si="61"/>
        <v>Gomez</v>
      </c>
      <c r="E1301" t="str">
        <f t="shared" si="62"/>
        <v>obert</v>
      </c>
    </row>
    <row r="1302" spans="1:5" ht="15.75" customHeight="1">
      <c r="A1302" s="9" t="s">
        <v>2605</v>
      </c>
      <c r="B1302" s="9" t="s">
        <v>2606</v>
      </c>
      <c r="C1302" t="str">
        <f t="shared" si="60"/>
        <v>way</v>
      </c>
      <c r="D1302" t="str">
        <f t="shared" si="61"/>
        <v>Hemin</v>
      </c>
      <c r="E1302" t="str">
        <f t="shared" si="62"/>
        <v>odney</v>
      </c>
    </row>
    <row r="1303" spans="1:5" ht="15.75" customHeight="1">
      <c r="A1303" s="9" t="s">
        <v>2607</v>
      </c>
      <c r="B1303" s="9" t="s">
        <v>2608</v>
      </c>
      <c r="C1303" t="str">
        <f t="shared" si="60"/>
        <v>Mr.</v>
      </c>
      <c r="D1303" t="str">
        <f t="shared" si="61"/>
        <v>Pett,</v>
      </c>
      <c r="E1303" t="str">
        <f t="shared" si="62"/>
        <v>arl R</v>
      </c>
    </row>
    <row r="1304" spans="1:5" ht="15.75" customHeight="1">
      <c r="A1304" s="9" t="s">
        <v>2609</v>
      </c>
      <c r="B1304" s="9" t="s">
        <v>2610</v>
      </c>
      <c r="C1304" t="str">
        <f t="shared" si="60"/>
        <v>st,</v>
      </c>
      <c r="D1304" t="str">
        <f t="shared" si="61"/>
        <v>Meing</v>
      </c>
      <c r="E1304" t="str">
        <f t="shared" si="62"/>
        <v>ilian</v>
      </c>
    </row>
    <row r="1305" spans="1:5" ht="15.75" customHeight="1">
      <c r="A1305" s="9" t="s">
        <v>2611</v>
      </c>
      <c r="B1305" s="9" t="s">
        <v>2612</v>
      </c>
      <c r="C1305" t="str">
        <f t="shared" si="60"/>
        <v>hy,</v>
      </c>
      <c r="D1305" t="str">
        <f t="shared" si="61"/>
        <v>McCar</v>
      </c>
      <c r="E1305" t="str">
        <f t="shared" si="62"/>
        <v>Erik</v>
      </c>
    </row>
    <row r="1306" spans="1:5" ht="15.75" customHeight="1">
      <c r="A1306" s="9" t="s">
        <v>2613</v>
      </c>
      <c r="B1306" s="9" t="s">
        <v>2614</v>
      </c>
      <c r="C1306" t="str">
        <f t="shared" si="60"/>
        <v>Mr</v>
      </c>
      <c r="D1306" t="str">
        <f t="shared" si="61"/>
        <v>Boyle</v>
      </c>
      <c r="E1306" t="str">
        <f t="shared" si="62"/>
        <v>opher</v>
      </c>
    </row>
    <row r="1307" spans="1:5" ht="15.75" customHeight="1">
      <c r="A1307" s="9" t="s">
        <v>2615</v>
      </c>
      <c r="B1307" s="9" t="s">
        <v>2616</v>
      </c>
      <c r="C1307" t="str">
        <f t="shared" si="60"/>
        <v>sen</v>
      </c>
      <c r="D1307" t="str">
        <f t="shared" si="61"/>
        <v>Gunde</v>
      </c>
      <c r="E1307" t="str">
        <f t="shared" si="62"/>
        <v>Eirik</v>
      </c>
    </row>
    <row r="1308" spans="1:5" ht="15.75" customHeight="1">
      <c r="A1308" s="9" t="s">
        <v>2617</v>
      </c>
      <c r="B1308" s="9" t="s">
        <v>2618</v>
      </c>
      <c r="C1308" t="str">
        <f t="shared" si="60"/>
        <v>nke</v>
      </c>
      <c r="D1308" t="str">
        <f t="shared" si="61"/>
        <v>Wolsw</v>
      </c>
      <c r="E1308" t="str">
        <f t="shared" si="62"/>
        <v>Rik</v>
      </c>
    </row>
    <row r="1309" spans="1:5" ht="15.75" customHeight="1">
      <c r="A1309" s="9" t="s">
        <v>2619</v>
      </c>
      <c r="B1309" s="9" t="s">
        <v>2620</v>
      </c>
      <c r="C1309" t="str">
        <f t="shared" si="60"/>
        <v>ger</v>
      </c>
      <c r="D1309" t="str">
        <f t="shared" si="61"/>
        <v>Bombe</v>
      </c>
      <c r="E1309" t="str">
        <f t="shared" si="62"/>
        <v>hew R</v>
      </c>
    </row>
    <row r="1310" spans="1:5" ht="15.75" customHeight="1">
      <c r="A1310" s="9" t="s">
        <v>2621</v>
      </c>
      <c r="B1310" s="9" t="s">
        <v>2622</v>
      </c>
      <c r="C1310" t="str">
        <f t="shared" si="60"/>
        <v>r.</v>
      </c>
      <c r="D1310" t="str">
        <f t="shared" si="61"/>
        <v>Roy,</v>
      </c>
      <c r="E1310" t="str">
        <f t="shared" si="62"/>
        <v>iel G</v>
      </c>
    </row>
    <row r="1311" spans="1:5" ht="15.75" customHeight="1">
      <c r="A1311" s="9" t="s">
        <v>2623</v>
      </c>
      <c r="B1311" s="9" t="s">
        <v>2624</v>
      </c>
      <c r="C1311" t="str">
        <f t="shared" si="60"/>
        <v>re,</v>
      </c>
      <c r="D1311" t="str">
        <f t="shared" si="61"/>
        <v>Lapie</v>
      </c>
      <c r="E1311" t="str">
        <f t="shared" si="62"/>
        <v>nnick</v>
      </c>
    </row>
    <row r="1312" spans="1:5" ht="15.75" customHeight="1">
      <c r="A1312" s="9" t="s">
        <v>2625</v>
      </c>
      <c r="B1312" s="9" t="s">
        <v>2626</v>
      </c>
      <c r="C1312" t="str">
        <f t="shared" si="60"/>
        <v>Mr</v>
      </c>
      <c r="D1312" t="str">
        <f t="shared" si="61"/>
        <v>Beaty</v>
      </c>
      <c r="E1312" t="str">
        <f t="shared" si="62"/>
        <v>ean R</v>
      </c>
    </row>
    <row r="1313" spans="1:5" ht="15.75" customHeight="1">
      <c r="A1313" s="9" t="s">
        <v>2627</v>
      </c>
      <c r="B1313" s="9" t="s">
        <v>2628</v>
      </c>
      <c r="C1313" t="str">
        <f t="shared" si="60"/>
        <v>, M</v>
      </c>
      <c r="D1313" t="str">
        <f t="shared" si="61"/>
        <v>Hamme</v>
      </c>
      <c r="E1313" t="str">
        <f t="shared" si="62"/>
        <v>Peter</v>
      </c>
    </row>
    <row r="1314" spans="1:5" ht="15.75" customHeight="1">
      <c r="A1314" s="9" t="s">
        <v>2629</v>
      </c>
      <c r="B1314" s="9" t="s">
        <v>2630</v>
      </c>
      <c r="C1314" t="str">
        <f t="shared" si="60"/>
        <v>ph,</v>
      </c>
      <c r="D1314" t="str">
        <f t="shared" si="61"/>
        <v>Rando</v>
      </c>
      <c r="E1314" t="str">
        <f t="shared" si="62"/>
        <v>ra A.</v>
      </c>
    </row>
    <row r="1315" spans="1:5" ht="15.75" customHeight="1">
      <c r="A1315" s="9" t="s">
        <v>2631</v>
      </c>
      <c r="B1315" s="9" t="s">
        <v>2632</v>
      </c>
      <c r="C1315" t="str">
        <f t="shared" si="60"/>
        <v>son</v>
      </c>
      <c r="D1315" t="str">
        <f t="shared" si="61"/>
        <v>Maste</v>
      </c>
      <c r="E1315" t="str">
        <f t="shared" si="62"/>
        <v>in C.</v>
      </c>
    </row>
    <row r="1316" spans="1:5" ht="15.75" customHeight="1">
      <c r="A1316" s="9" t="s">
        <v>2633</v>
      </c>
      <c r="B1316" s="9" t="s">
        <v>2634</v>
      </c>
      <c r="C1316" t="str">
        <f t="shared" si="60"/>
        <v>, M</v>
      </c>
      <c r="D1316" t="str">
        <f t="shared" si="61"/>
        <v>Fries</v>
      </c>
      <c r="E1316" t="str">
        <f t="shared" si="62"/>
        <v>ibaud</v>
      </c>
    </row>
    <row r="1317" spans="1:5" ht="15.75" customHeight="1">
      <c r="A1317" s="9" t="s">
        <v>2635</v>
      </c>
      <c r="B1317" s="9" t="s">
        <v>2636</v>
      </c>
      <c r="C1317" t="str">
        <f t="shared" si="60"/>
        <v>i,</v>
      </c>
      <c r="D1317" t="str">
        <f t="shared" si="61"/>
        <v>Manto</v>
      </c>
      <c r="E1317" t="str">
        <f t="shared" si="62"/>
        <v>Lisa</v>
      </c>
    </row>
    <row r="1318" spans="1:5" ht="15.75" customHeight="1">
      <c r="A1318" s="9" t="s">
        <v>2637</v>
      </c>
      <c r="B1318" s="9" t="s">
        <v>2638</v>
      </c>
      <c r="C1318" t="str">
        <f t="shared" si="60"/>
        <v>, M</v>
      </c>
      <c r="D1318" t="str">
        <f t="shared" si="61"/>
        <v>Bodee</v>
      </c>
      <c r="E1318" t="str">
        <f t="shared" si="62"/>
        <v>en K.</v>
      </c>
    </row>
    <row r="1319" spans="1:5" ht="15.75" customHeight="1">
      <c r="A1319" s="9" t="s">
        <v>2639</v>
      </c>
      <c r="B1319" s="9" t="s">
        <v>2640</v>
      </c>
      <c r="C1319" t="str">
        <f t="shared" si="60"/>
        <v>son</v>
      </c>
      <c r="D1319" t="str">
        <f t="shared" si="61"/>
        <v>McPhe</v>
      </c>
      <c r="E1319" t="str">
        <f t="shared" si="62"/>
        <v>rtina</v>
      </c>
    </row>
    <row r="1320" spans="1:5" ht="15.75" customHeight="1">
      <c r="A1320" s="9" t="s">
        <v>2641</v>
      </c>
      <c r="B1320" s="9" t="s">
        <v>2642</v>
      </c>
      <c r="C1320" t="str">
        <f t="shared" si="60"/>
        <v>Mr</v>
      </c>
      <c r="D1320" t="str">
        <f t="shared" si="61"/>
        <v>Palko</v>
      </c>
      <c r="E1320" t="str">
        <f t="shared" si="62"/>
        <v>tin J</v>
      </c>
    </row>
    <row r="1321" spans="1:5" ht="15.75" customHeight="1">
      <c r="A1321" s="9" t="s">
        <v>2643</v>
      </c>
      <c r="B1321" s="9" t="s">
        <v>2644</v>
      </c>
      <c r="C1321" t="str">
        <f t="shared" si="60"/>
        <v>itt</v>
      </c>
      <c r="D1321" t="str">
        <f t="shared" si="61"/>
        <v>Breat</v>
      </c>
      <c r="E1321" t="str">
        <f t="shared" si="62"/>
        <v>elsey</v>
      </c>
    </row>
    <row r="1322" spans="1:5" ht="15.75" customHeight="1">
      <c r="A1322" s="9" t="s">
        <v>2645</v>
      </c>
      <c r="B1322" s="9" t="s">
        <v>2646</v>
      </c>
      <c r="C1322" t="str">
        <f t="shared" si="60"/>
        <v>Mr</v>
      </c>
      <c r="D1322" t="str">
        <f t="shared" si="61"/>
        <v>Evora</v>
      </c>
      <c r="E1322" t="str">
        <f t="shared" si="62"/>
        <v>el V.</v>
      </c>
    </row>
    <row r="1323" spans="1:5" ht="15.75" customHeight="1">
      <c r="A1323" s="9" t="s">
        <v>2647</v>
      </c>
      <c r="B1323" s="9" t="s">
        <v>2648</v>
      </c>
      <c r="C1323" t="str">
        <f t="shared" si="60"/>
        <v>r,</v>
      </c>
      <c r="D1323" t="str">
        <f t="shared" si="61"/>
        <v>Fisch</v>
      </c>
      <c r="E1323" t="str">
        <f t="shared" si="62"/>
        <v>aeger</v>
      </c>
    </row>
    <row r="1324" spans="1:5" ht="15.75" customHeight="1">
      <c r="A1324" s="9" t="s">
        <v>2649</v>
      </c>
      <c r="B1324" s="9" t="s">
        <v>2650</v>
      </c>
      <c r="C1324" t="str">
        <f t="shared" si="60"/>
        <v>Ms.</v>
      </c>
      <c r="D1324" t="str">
        <f t="shared" si="61"/>
        <v>Deba,</v>
      </c>
      <c r="E1324" t="str">
        <f t="shared" si="62"/>
        <v>unesh</v>
      </c>
    </row>
    <row r="1325" spans="1:5" ht="15.75" customHeight="1">
      <c r="A1325" s="9" t="s">
        <v>2651</v>
      </c>
      <c r="B1325" s="9" t="s">
        <v>2652</v>
      </c>
      <c r="C1325" t="str">
        <f t="shared" si="60"/>
        <v>, M</v>
      </c>
      <c r="D1325" t="str">
        <f t="shared" si="61"/>
        <v>Lelou</v>
      </c>
      <c r="E1325" t="str">
        <f t="shared" si="62"/>
        <v>Mirte</v>
      </c>
    </row>
    <row r="1326" spans="1:5" ht="15.75" customHeight="1">
      <c r="A1326" s="9" t="s">
        <v>2653</v>
      </c>
      <c r="B1326" s="9" t="s">
        <v>2654</v>
      </c>
      <c r="C1326" t="str">
        <f t="shared" si="60"/>
        <v>, M</v>
      </c>
      <c r="D1326" t="str">
        <f t="shared" si="61"/>
        <v>Labar</v>
      </c>
      <c r="E1326" t="str">
        <f t="shared" si="62"/>
        <v>Megan</v>
      </c>
    </row>
    <row r="1327" spans="1:5" ht="15.75" customHeight="1">
      <c r="A1327" s="9" t="s">
        <v>2655</v>
      </c>
      <c r="B1327" s="9" t="s">
        <v>2656</v>
      </c>
      <c r="C1327" t="str">
        <f t="shared" si="60"/>
        <v>, M</v>
      </c>
      <c r="D1327" t="str">
        <f t="shared" si="61"/>
        <v>Arouc</v>
      </c>
      <c r="E1327" t="str">
        <f t="shared" si="62"/>
        <v>ry A.</v>
      </c>
    </row>
    <row r="1328" spans="1:5" ht="15.75" customHeight="1">
      <c r="A1328" s="9" t="s">
        <v>2657</v>
      </c>
      <c r="B1328" s="9" t="s">
        <v>2658</v>
      </c>
      <c r="C1328" t="str">
        <f t="shared" si="60"/>
        <v>Ms</v>
      </c>
      <c r="D1328" t="str">
        <f t="shared" si="61"/>
        <v>Reese</v>
      </c>
      <c r="E1328" t="str">
        <f t="shared" si="62"/>
        <v>istin</v>
      </c>
    </row>
    <row r="1329" spans="1:5" ht="15.75" customHeight="1">
      <c r="A1329" s="9" t="s">
        <v>2659</v>
      </c>
      <c r="B1329" s="9" t="s">
        <v>2660</v>
      </c>
      <c r="C1329" t="str">
        <f t="shared" si="60"/>
        <v>key</v>
      </c>
      <c r="D1329" t="str">
        <f t="shared" si="61"/>
        <v>McClo</v>
      </c>
      <c r="E1329" t="str">
        <f t="shared" si="62"/>
        <v>er R.</v>
      </c>
    </row>
    <row r="1330" spans="1:5" ht="15.75" customHeight="1">
      <c r="A1330" s="9" t="s">
        <v>2661</v>
      </c>
      <c r="B1330" s="9" t="s">
        <v>2662</v>
      </c>
      <c r="C1330" t="str">
        <f t="shared" si="60"/>
        <v>, M</v>
      </c>
      <c r="D1330" t="str">
        <f t="shared" si="61"/>
        <v>Tedse</v>
      </c>
      <c r="E1330" t="str">
        <f t="shared" si="62"/>
        <v>eth A</v>
      </c>
    </row>
    <row r="1331" spans="1:5" ht="15.75" customHeight="1">
      <c r="A1331" s="9" t="s">
        <v>2663</v>
      </c>
      <c r="B1331" s="9" t="s">
        <v>2664</v>
      </c>
      <c r="C1331" t="str">
        <f t="shared" si="60"/>
        <v>nge</v>
      </c>
      <c r="D1331" t="str">
        <f t="shared" si="61"/>
        <v>Koehl</v>
      </c>
      <c r="E1331" t="str">
        <f t="shared" si="62"/>
        <v>ndrew</v>
      </c>
    </row>
    <row r="1332" spans="1:5" ht="15.75" customHeight="1">
      <c r="A1332" s="9" t="s">
        <v>2665</v>
      </c>
      <c r="B1332" s="9" t="s">
        <v>2666</v>
      </c>
      <c r="C1332" t="str">
        <f t="shared" si="60"/>
        <v>hat</v>
      </c>
      <c r="D1332" t="str">
        <f t="shared" si="61"/>
        <v>Piele</v>
      </c>
      <c r="E1332" t="str">
        <f t="shared" si="62"/>
        <v>wn M.</v>
      </c>
    </row>
    <row r="1333" spans="1:5" ht="15.75" customHeight="1">
      <c r="A1333" s="9" t="s">
        <v>2667</v>
      </c>
      <c r="B1333" s="9" t="s">
        <v>2668</v>
      </c>
      <c r="C1333" t="str">
        <f t="shared" si="60"/>
        <v>en,</v>
      </c>
      <c r="D1333" t="str">
        <f t="shared" si="61"/>
        <v>Korho</v>
      </c>
      <c r="E1333" t="str">
        <f t="shared" si="62"/>
        <v>han P</v>
      </c>
    </row>
    <row r="1334" spans="1:5" ht="15.75" customHeight="1">
      <c r="A1334" s="9" t="s">
        <v>2669</v>
      </c>
      <c r="B1334" s="9" t="s">
        <v>2670</v>
      </c>
      <c r="C1334" t="str">
        <f t="shared" si="60"/>
        <v>Mrs</v>
      </c>
      <c r="D1334" t="str">
        <f t="shared" si="61"/>
        <v>Kehr,</v>
      </c>
      <c r="E1334" t="str">
        <f t="shared" si="62"/>
        <v>Gina</v>
      </c>
    </row>
    <row r="1335" spans="1:5" ht="15.75" customHeight="1">
      <c r="A1335" s="9" t="s">
        <v>2671</v>
      </c>
      <c r="B1335" s="9" t="s">
        <v>2672</v>
      </c>
      <c r="C1335" t="str">
        <f t="shared" si="60"/>
        <v>na,</v>
      </c>
      <c r="D1335" t="str">
        <f t="shared" si="61"/>
        <v>Monta</v>
      </c>
      <c r="E1335" t="str">
        <f t="shared" si="62"/>
        <v>Dino</v>
      </c>
    </row>
    <row r="1336" spans="1:5" ht="15.75" customHeight="1">
      <c r="A1336" s="9" t="s">
        <v>2673</v>
      </c>
      <c r="B1336" s="9" t="s">
        <v>2674</v>
      </c>
      <c r="C1336" t="str">
        <f t="shared" si="60"/>
        <v>r,</v>
      </c>
      <c r="D1336" t="str">
        <f t="shared" si="61"/>
        <v>M√ºll</v>
      </c>
      <c r="E1336" t="str">
        <f t="shared" si="62"/>
        <v>Jan</v>
      </c>
    </row>
    <row r="1337" spans="1:5" ht="15.75" customHeight="1">
      <c r="A1337" s="9" t="s">
        <v>2675</v>
      </c>
      <c r="B1337" s="9" t="s">
        <v>2676</v>
      </c>
      <c r="C1337" t="str">
        <f t="shared" si="60"/>
        <v>Mr</v>
      </c>
      <c r="D1337" t="str">
        <f t="shared" si="61"/>
        <v>Baker</v>
      </c>
      <c r="E1337" t="str">
        <f t="shared" si="62"/>
        <v>an E.</v>
      </c>
    </row>
    <row r="1338" spans="1:5" ht="15.75" customHeight="1">
      <c r="A1338" s="9" t="s">
        <v>2677</v>
      </c>
      <c r="B1338" s="9" t="s">
        <v>2678</v>
      </c>
      <c r="C1338" t="str">
        <f t="shared" si="60"/>
        <v>tto</v>
      </c>
      <c r="D1338" t="str">
        <f t="shared" si="61"/>
        <v>Sideb</v>
      </c>
      <c r="E1338" t="str">
        <f t="shared" si="62"/>
        <v>ark A</v>
      </c>
    </row>
    <row r="1339" spans="1:5" ht="15.75" customHeight="1">
      <c r="A1339" s="9" t="s">
        <v>2679</v>
      </c>
      <c r="B1339" s="9" t="s">
        <v>2680</v>
      </c>
      <c r="C1339" t="str">
        <f t="shared" si="60"/>
        <v>n,</v>
      </c>
      <c r="D1339" t="str">
        <f t="shared" si="61"/>
        <v>Johns</v>
      </c>
      <c r="E1339" t="str">
        <f t="shared" si="62"/>
        <v>Mary</v>
      </c>
    </row>
    <row r="1340" spans="1:5" ht="15.75" customHeight="1">
      <c r="A1340" s="9" t="s">
        <v>2681</v>
      </c>
      <c r="B1340" s="9" t="s">
        <v>2682</v>
      </c>
      <c r="C1340" t="str">
        <f t="shared" si="60"/>
        <v>, M</v>
      </c>
      <c r="D1340" t="str">
        <f t="shared" si="61"/>
        <v>Morri</v>
      </c>
      <c r="E1340" t="str">
        <f t="shared" si="62"/>
        <v>amuel</v>
      </c>
    </row>
    <row r="1341" spans="1:5" ht="15.75" customHeight="1">
      <c r="A1341" s="9" t="s">
        <v>2683</v>
      </c>
      <c r="B1341" s="9" t="s">
        <v>2684</v>
      </c>
      <c r="C1341" t="str">
        <f t="shared" si="60"/>
        <v>on,</v>
      </c>
      <c r="D1341" t="str">
        <f t="shared" si="61"/>
        <v>Chais</v>
      </c>
      <c r="E1341" t="str">
        <f t="shared" si="62"/>
        <v>tan J</v>
      </c>
    </row>
    <row r="1342" spans="1:5" ht="15.75" customHeight="1">
      <c r="A1342" s="9" t="s">
        <v>2685</v>
      </c>
      <c r="B1342" s="9" t="s">
        <v>2686</v>
      </c>
      <c r="C1342" t="str">
        <f t="shared" si="60"/>
        <v>, M</v>
      </c>
      <c r="D1342" t="str">
        <f t="shared" si="61"/>
        <v>Pigot</v>
      </c>
      <c r="E1342" t="str">
        <f t="shared" si="62"/>
        <v>ca L.</v>
      </c>
    </row>
    <row r="1343" spans="1:5" ht="15.75" customHeight="1">
      <c r="A1343" s="9" t="s">
        <v>2687</v>
      </c>
      <c r="B1343" s="9" t="s">
        <v>2688</v>
      </c>
      <c r="C1343" t="str">
        <f t="shared" si="60"/>
        <v>ne,</v>
      </c>
      <c r="D1343" t="str">
        <f t="shared" si="61"/>
        <v>Cochr</v>
      </c>
      <c r="E1343" t="str">
        <f t="shared" si="62"/>
        <v>rysta</v>
      </c>
    </row>
    <row r="1344" spans="1:5" ht="15.75" customHeight="1">
      <c r="A1344" s="9" t="s">
        <v>2689</v>
      </c>
      <c r="B1344" s="9" t="s">
        <v>2690</v>
      </c>
      <c r="C1344" t="str">
        <f t="shared" si="60"/>
        <v>ge,</v>
      </c>
      <c r="D1344" t="str">
        <f t="shared" si="61"/>
        <v>Armit</v>
      </c>
      <c r="E1344" t="str">
        <f t="shared" si="62"/>
        <v>ascia</v>
      </c>
    </row>
    <row r="1345" spans="1:5" ht="15.75" customHeight="1">
      <c r="A1345" s="9" t="s">
        <v>2691</v>
      </c>
      <c r="B1345" s="9" t="s">
        <v>2692</v>
      </c>
      <c r="C1345" t="str">
        <f t="shared" si="60"/>
        <v>Ms.</v>
      </c>
      <c r="D1345" t="str">
        <f t="shared" si="61"/>
        <v>Shen,</v>
      </c>
      <c r="E1345" t="str">
        <f t="shared" si="62"/>
        <v>Jenny</v>
      </c>
    </row>
    <row r="1346" spans="1:5" ht="15.75" customHeight="1">
      <c r="A1346" s="9" t="s">
        <v>2693</v>
      </c>
      <c r="B1346" s="9" t="s">
        <v>2694</v>
      </c>
      <c r="C1346" t="str">
        <f t="shared" si="60"/>
        <v>y,</v>
      </c>
      <c r="D1346" t="str">
        <f t="shared" si="61"/>
        <v>O'Kel</v>
      </c>
      <c r="E1346" t="str">
        <f t="shared" si="62"/>
        <v>Brian</v>
      </c>
    </row>
    <row r="1347" spans="1:5" ht="15.75" customHeight="1">
      <c r="A1347" s="9" t="s">
        <v>2695</v>
      </c>
      <c r="B1347" s="9" t="s">
        <v>2696</v>
      </c>
      <c r="C1347" t="str">
        <f t="shared" ref="C1347:C1410" si="63">MID(B1347,7,3)</f>
        <v>Ms.</v>
      </c>
      <c r="D1347" t="str">
        <f t="shared" ref="D1347:D1410" si="64">LEFT(B1347,5)</f>
        <v>Huff,</v>
      </c>
      <c r="E1347" t="str">
        <f t="shared" ref="E1347:E1410" si="65">RIGHT(B1347,5)</f>
        <v>onica</v>
      </c>
    </row>
    <row r="1348" spans="1:5" ht="15.75" customHeight="1">
      <c r="A1348" s="9" t="s">
        <v>2697</v>
      </c>
      <c r="B1348" s="9" t="s">
        <v>2698</v>
      </c>
      <c r="C1348" t="str">
        <f t="shared" si="63"/>
        <v>r.</v>
      </c>
      <c r="D1348" t="str">
        <f t="shared" si="64"/>
        <v>Dye,</v>
      </c>
      <c r="E1348" t="str">
        <f t="shared" si="65"/>
        <v>Tyler</v>
      </c>
    </row>
    <row r="1349" spans="1:5" ht="15.75" customHeight="1">
      <c r="A1349" s="9" t="s">
        <v>2699</v>
      </c>
      <c r="B1349" s="9" t="s">
        <v>2700</v>
      </c>
      <c r="C1349" t="str">
        <f t="shared" si="63"/>
        <v>d,</v>
      </c>
      <c r="D1349" t="str">
        <f t="shared" si="64"/>
        <v>Willa</v>
      </c>
      <c r="E1349" t="str">
        <f t="shared" si="65"/>
        <v>lly C</v>
      </c>
    </row>
    <row r="1350" spans="1:5" ht="15.75" customHeight="1">
      <c r="A1350" s="9" t="s">
        <v>2701</v>
      </c>
      <c r="B1350" s="9" t="s">
        <v>2702</v>
      </c>
      <c r="C1350" t="str">
        <f t="shared" si="63"/>
        <v>rio</v>
      </c>
      <c r="D1350" t="str">
        <f t="shared" si="64"/>
        <v>D'Add</v>
      </c>
      <c r="E1350" t="str">
        <f t="shared" si="65"/>
        <v>Emily</v>
      </c>
    </row>
    <row r="1351" spans="1:5" ht="15.75" customHeight="1">
      <c r="A1351" s="9" t="s">
        <v>2703</v>
      </c>
      <c r="B1351" s="9" t="s">
        <v>2704</v>
      </c>
      <c r="C1351" t="str">
        <f t="shared" si="63"/>
        <v>an,</v>
      </c>
      <c r="D1351" t="str">
        <f t="shared" si="64"/>
        <v>Bucha</v>
      </c>
      <c r="E1351" t="str">
        <f t="shared" si="65"/>
        <v>mes V</v>
      </c>
    </row>
    <row r="1352" spans="1:5" ht="15.75" customHeight="1">
      <c r="A1352" s="9" t="s">
        <v>2705</v>
      </c>
      <c r="B1352" s="9" t="s">
        <v>2706</v>
      </c>
      <c r="C1352" t="str">
        <f t="shared" si="63"/>
        <v>Ms</v>
      </c>
      <c r="D1352" t="str">
        <f t="shared" si="64"/>
        <v>Clark</v>
      </c>
      <c r="E1352" t="str">
        <f t="shared" si="65"/>
        <v>Angie</v>
      </c>
    </row>
    <row r="1353" spans="1:5" ht="15.75" customHeight="1">
      <c r="A1353" s="9" t="s">
        <v>2707</v>
      </c>
      <c r="B1353" s="9" t="s">
        <v>2708</v>
      </c>
      <c r="C1353" t="str">
        <f t="shared" si="63"/>
        <v>on,</v>
      </c>
      <c r="D1353" t="str">
        <f t="shared" si="64"/>
        <v>Water</v>
      </c>
      <c r="E1353" t="str">
        <f t="shared" si="65"/>
        <v>el J.</v>
      </c>
    </row>
    <row r="1354" spans="1:5" ht="15.75" customHeight="1">
      <c r="A1354" s="9" t="s">
        <v>2709</v>
      </c>
      <c r="B1354" s="9" t="s">
        <v>2710</v>
      </c>
      <c r="C1354" t="str">
        <f t="shared" si="63"/>
        <v>Ms</v>
      </c>
      <c r="D1354" t="str">
        <f t="shared" si="64"/>
        <v>Piras</v>
      </c>
      <c r="E1354" t="str">
        <f t="shared" si="65"/>
        <v>abina</v>
      </c>
    </row>
    <row r="1355" spans="1:5" ht="15.75" customHeight="1">
      <c r="A1355" s="9" t="s">
        <v>2711</v>
      </c>
      <c r="B1355" s="9" t="s">
        <v>2712</v>
      </c>
      <c r="C1355" t="str">
        <f t="shared" si="63"/>
        <v>Ms</v>
      </c>
      <c r="D1355" t="str">
        <f t="shared" si="64"/>
        <v>Olson</v>
      </c>
      <c r="E1355" t="str">
        <f t="shared" si="65"/>
        <v>Amy C</v>
      </c>
    </row>
    <row r="1356" spans="1:5" ht="15.75" customHeight="1">
      <c r="A1356" s="9" t="s">
        <v>2713</v>
      </c>
      <c r="B1356" s="9" t="s">
        <v>2714</v>
      </c>
      <c r="C1356" t="str">
        <f t="shared" si="63"/>
        <v>di,</v>
      </c>
      <c r="D1356" t="str">
        <f t="shared" si="64"/>
        <v>Manfr</v>
      </c>
      <c r="E1356" t="str">
        <f t="shared" si="65"/>
        <v>ria U</v>
      </c>
    </row>
    <row r="1357" spans="1:5" ht="15.75" customHeight="1">
      <c r="A1357" s="9" t="s">
        <v>2715</v>
      </c>
      <c r="B1357" s="9" t="s">
        <v>2716</v>
      </c>
      <c r="C1357" t="str">
        <f t="shared" si="63"/>
        <v>rg,</v>
      </c>
      <c r="D1357" t="str">
        <f t="shared" si="64"/>
        <v>Landb</v>
      </c>
      <c r="E1357" t="str">
        <f t="shared" si="65"/>
        <v>lia B</v>
      </c>
    </row>
    <row r="1358" spans="1:5" ht="15.75" customHeight="1">
      <c r="A1358" s="9" t="s">
        <v>2717</v>
      </c>
      <c r="B1358" s="9" t="s">
        <v>2718</v>
      </c>
      <c r="C1358" t="str">
        <f t="shared" si="63"/>
        <v>Ms</v>
      </c>
      <c r="D1358" t="str">
        <f t="shared" si="64"/>
        <v>Flynn</v>
      </c>
      <c r="E1358" t="str">
        <f t="shared" si="65"/>
        <v>kie J</v>
      </c>
    </row>
    <row r="1359" spans="1:5" ht="15.75" customHeight="1">
      <c r="A1359" s="9" t="s">
        <v>2719</v>
      </c>
      <c r="B1359" s="9" t="s">
        <v>2720</v>
      </c>
      <c r="C1359" t="str">
        <f t="shared" si="63"/>
        <v>, M</v>
      </c>
      <c r="D1359" t="str">
        <f t="shared" si="64"/>
        <v>Bisho</v>
      </c>
      <c r="E1359" t="str">
        <f t="shared" si="65"/>
        <v>ustin</v>
      </c>
    </row>
    <row r="1360" spans="1:5" ht="15.75" customHeight="1">
      <c r="A1360" s="9" t="s">
        <v>2721</v>
      </c>
      <c r="B1360" s="9" t="s">
        <v>2722</v>
      </c>
      <c r="C1360" t="str">
        <f t="shared" si="63"/>
        <v>, M</v>
      </c>
      <c r="D1360" t="str">
        <f t="shared" si="64"/>
        <v>Devit</v>
      </c>
      <c r="E1360" t="str">
        <f t="shared" si="65"/>
        <v>Kerry</v>
      </c>
    </row>
    <row r="1361" spans="1:5" ht="15.75" customHeight="1">
      <c r="A1361" s="9" t="s">
        <v>2723</v>
      </c>
      <c r="B1361" s="9" t="s">
        <v>2724</v>
      </c>
      <c r="C1361" t="str">
        <f t="shared" si="63"/>
        <v>Ms</v>
      </c>
      <c r="D1361" t="str">
        <f t="shared" si="64"/>
        <v>Lynch</v>
      </c>
      <c r="E1361" t="str">
        <f t="shared" si="65"/>
        <v>dy G.</v>
      </c>
    </row>
    <row r="1362" spans="1:5" ht="15.75" customHeight="1">
      <c r="A1362" s="9" t="s">
        <v>2725</v>
      </c>
      <c r="B1362" s="9" t="s">
        <v>2726</v>
      </c>
      <c r="C1362" t="str">
        <f t="shared" si="63"/>
        <v>tan</v>
      </c>
      <c r="D1362" t="str">
        <f t="shared" si="64"/>
        <v>Tramo</v>
      </c>
      <c r="E1362" t="str">
        <f t="shared" si="65"/>
        <v>nnaro</v>
      </c>
    </row>
    <row r="1363" spans="1:5" ht="15.75" customHeight="1">
      <c r="A1363" s="9" t="s">
        <v>2727</v>
      </c>
      <c r="B1363" s="9" t="s">
        <v>2728</v>
      </c>
      <c r="C1363" t="str">
        <f t="shared" si="63"/>
        <v>on,</v>
      </c>
      <c r="D1363" t="str">
        <f t="shared" si="64"/>
        <v>David</v>
      </c>
      <c r="E1363" t="str">
        <f t="shared" si="65"/>
        <v>Terry</v>
      </c>
    </row>
    <row r="1364" spans="1:5" ht="15.75" customHeight="1">
      <c r="A1364" s="9" t="s">
        <v>2729</v>
      </c>
      <c r="B1364" s="9" t="s">
        <v>2730</v>
      </c>
      <c r="C1364" t="str">
        <f t="shared" si="63"/>
        <v>Mr</v>
      </c>
      <c r="D1364" t="str">
        <f t="shared" si="64"/>
        <v>Burke</v>
      </c>
      <c r="E1364" t="str">
        <f t="shared" si="65"/>
        <v>ick J</v>
      </c>
    </row>
    <row r="1365" spans="1:5" ht="15.75" customHeight="1">
      <c r="A1365" s="9" t="s">
        <v>2731</v>
      </c>
      <c r="B1365" s="9" t="s">
        <v>2732</v>
      </c>
      <c r="C1365" t="str">
        <f t="shared" si="63"/>
        <v>, M</v>
      </c>
      <c r="D1365" t="str">
        <f t="shared" si="64"/>
        <v>McGra</v>
      </c>
      <c r="E1365" t="str">
        <f t="shared" si="65"/>
        <v>Keara</v>
      </c>
    </row>
    <row r="1366" spans="1:5" ht="15.75" customHeight="1">
      <c r="A1366" s="9" t="s">
        <v>2733</v>
      </c>
      <c r="B1366" s="9" t="s">
        <v>2734</v>
      </c>
      <c r="C1366" t="str">
        <f t="shared" si="63"/>
        <v>e,</v>
      </c>
      <c r="D1366" t="str">
        <f t="shared" si="64"/>
        <v>Fellu</v>
      </c>
      <c r="E1366" t="str">
        <f t="shared" si="65"/>
        <v>icole</v>
      </c>
    </row>
    <row r="1367" spans="1:5" ht="15.75" customHeight="1">
      <c r="A1367" s="9" t="s">
        <v>2735</v>
      </c>
      <c r="B1367" s="9" t="s">
        <v>2736</v>
      </c>
      <c r="C1367" t="str">
        <f t="shared" si="63"/>
        <v>d,</v>
      </c>
      <c r="D1367" t="str">
        <f t="shared" si="64"/>
        <v>Sanfo</v>
      </c>
      <c r="E1367" t="str">
        <f t="shared" si="65"/>
        <v>atena</v>
      </c>
    </row>
    <row r="1368" spans="1:5" ht="15.75" customHeight="1">
      <c r="A1368" s="9" t="s">
        <v>2737</v>
      </c>
      <c r="B1368" s="9" t="s">
        <v>2738</v>
      </c>
      <c r="C1368" t="str">
        <f t="shared" si="63"/>
        <v>Ms</v>
      </c>
      <c r="D1368" t="str">
        <f t="shared" si="64"/>
        <v>Wrenn</v>
      </c>
      <c r="E1368" t="str">
        <f t="shared" si="65"/>
        <v>an K.</v>
      </c>
    </row>
    <row r="1369" spans="1:5" ht="15.75" customHeight="1">
      <c r="A1369" s="9" t="s">
        <v>2739</v>
      </c>
      <c r="B1369" s="9" t="s">
        <v>2740</v>
      </c>
      <c r="C1369" t="str">
        <f t="shared" si="63"/>
        <v>y,</v>
      </c>
      <c r="D1369" t="str">
        <f t="shared" si="64"/>
        <v>Linds</v>
      </c>
      <c r="E1369" t="str">
        <f t="shared" si="65"/>
        <v>Brian</v>
      </c>
    </row>
    <row r="1370" spans="1:5" ht="15.75" customHeight="1">
      <c r="A1370" s="9" t="s">
        <v>2741</v>
      </c>
      <c r="B1370" s="9" t="s">
        <v>2742</v>
      </c>
      <c r="C1370" t="str">
        <f t="shared" si="63"/>
        <v>r,</v>
      </c>
      <c r="D1370" t="str">
        <f t="shared" si="64"/>
        <v>Krueg</v>
      </c>
      <c r="E1370" t="str">
        <f t="shared" si="65"/>
        <v>trick</v>
      </c>
    </row>
    <row r="1371" spans="1:5" ht="15.75" customHeight="1">
      <c r="A1371" s="9" t="s">
        <v>2743</v>
      </c>
      <c r="B1371" s="9" t="s">
        <v>2744</v>
      </c>
      <c r="C1371" t="str">
        <f t="shared" si="63"/>
        <v>, M</v>
      </c>
      <c r="D1371" t="str">
        <f t="shared" si="64"/>
        <v>Bable</v>
      </c>
      <c r="E1371" t="str">
        <f t="shared" si="65"/>
        <v>sse J</v>
      </c>
    </row>
    <row r="1372" spans="1:5" ht="15.75" customHeight="1">
      <c r="A1372" s="9" t="s">
        <v>2745</v>
      </c>
      <c r="B1372" s="9" t="s">
        <v>2746</v>
      </c>
      <c r="C1372" t="str">
        <f t="shared" si="63"/>
        <v>ski</v>
      </c>
      <c r="D1372" t="str">
        <f t="shared" si="64"/>
        <v>Breze</v>
      </c>
      <c r="E1372" t="str">
        <f t="shared" si="65"/>
        <v>sey M</v>
      </c>
    </row>
    <row r="1373" spans="1:5" ht="15.75" customHeight="1">
      <c r="A1373" s="9" t="s">
        <v>2747</v>
      </c>
      <c r="B1373" s="9" t="s">
        <v>2748</v>
      </c>
      <c r="C1373" t="str">
        <f t="shared" si="63"/>
        <v>ner</v>
      </c>
      <c r="D1373" t="str">
        <f t="shared" si="64"/>
        <v>Marsc</v>
      </c>
      <c r="E1373" t="str">
        <f t="shared" si="65"/>
        <v>te K.</v>
      </c>
    </row>
    <row r="1374" spans="1:5" ht="15.75" customHeight="1">
      <c r="A1374" s="9" t="s">
        <v>2749</v>
      </c>
      <c r="B1374" s="9" t="s">
        <v>2750</v>
      </c>
      <c r="C1374" t="str">
        <f t="shared" si="63"/>
        <v>Mr.</v>
      </c>
      <c r="D1374" t="str">
        <f t="shared" si="64"/>
        <v>King,</v>
      </c>
      <c r="E1374" t="str">
        <f t="shared" si="65"/>
        <v>ravis</v>
      </c>
    </row>
    <row r="1375" spans="1:5" ht="15.75" customHeight="1">
      <c r="A1375" s="9" t="s">
        <v>2751</v>
      </c>
      <c r="B1375" s="9" t="s">
        <v>2752</v>
      </c>
      <c r="C1375" t="str">
        <f t="shared" si="63"/>
        <v>, M</v>
      </c>
      <c r="D1375" t="str">
        <f t="shared" si="64"/>
        <v>Monte</v>
      </c>
      <c r="E1375" t="str">
        <f t="shared" si="65"/>
        <v>Ricky</v>
      </c>
    </row>
    <row r="1376" spans="1:5" ht="15.75" customHeight="1">
      <c r="A1376" s="9" t="s">
        <v>2753</v>
      </c>
      <c r="B1376" s="9" t="s">
        <v>2754</v>
      </c>
      <c r="C1376" t="str">
        <f t="shared" si="63"/>
        <v>ll,</v>
      </c>
      <c r="D1376" t="str">
        <f t="shared" si="64"/>
        <v>Campb</v>
      </c>
      <c r="E1376" t="str">
        <f t="shared" si="65"/>
        <v>en L.</v>
      </c>
    </row>
    <row r="1377" spans="1:5" ht="15.75" customHeight="1">
      <c r="A1377" s="9" t="s">
        <v>2755</v>
      </c>
      <c r="B1377" s="9" t="s">
        <v>2756</v>
      </c>
      <c r="C1377" t="str">
        <f t="shared" si="63"/>
        <v>Mr.</v>
      </c>
      <c r="D1377" t="str">
        <f t="shared" si="64"/>
        <v>Hurt,</v>
      </c>
      <c r="E1377" t="str">
        <f t="shared" si="65"/>
        <v>lie A</v>
      </c>
    </row>
    <row r="1378" spans="1:5" ht="15.75" customHeight="1">
      <c r="A1378" s="9" t="s">
        <v>2757</v>
      </c>
      <c r="B1378" s="9" t="s">
        <v>2758</v>
      </c>
      <c r="C1378" t="str">
        <f t="shared" si="63"/>
        <v>Mr</v>
      </c>
      <c r="D1378" t="str">
        <f t="shared" si="64"/>
        <v>Garey</v>
      </c>
      <c r="E1378" t="str">
        <f t="shared" si="65"/>
        <v>Rick</v>
      </c>
    </row>
    <row r="1379" spans="1:5" ht="15.75" customHeight="1">
      <c r="A1379" s="9" t="s">
        <v>2759</v>
      </c>
      <c r="B1379" s="9" t="s">
        <v>2760</v>
      </c>
      <c r="C1379" t="str">
        <f t="shared" si="63"/>
        <v>Ms</v>
      </c>
      <c r="D1379" t="str">
        <f t="shared" si="64"/>
        <v>Reddy</v>
      </c>
      <c r="E1379" t="str">
        <f t="shared" si="65"/>
        <v>ren C</v>
      </c>
    </row>
    <row r="1380" spans="1:5" ht="15.75" customHeight="1">
      <c r="A1380" s="9" t="s">
        <v>2761</v>
      </c>
      <c r="B1380" s="9" t="s">
        <v>2762</v>
      </c>
      <c r="C1380" t="str">
        <f t="shared" si="63"/>
        <v>r,</v>
      </c>
      <c r="D1380" t="str">
        <f t="shared" si="64"/>
        <v>Muell</v>
      </c>
      <c r="E1380" t="str">
        <f t="shared" si="65"/>
        <v>aniel</v>
      </c>
    </row>
    <row r="1381" spans="1:5" ht="15.75" customHeight="1">
      <c r="A1381" s="9" t="s">
        <v>2763</v>
      </c>
      <c r="B1381" s="9" t="s">
        <v>2764</v>
      </c>
      <c r="C1381" t="str">
        <f t="shared" si="63"/>
        <v>Mr</v>
      </c>
      <c r="D1381" t="str">
        <f t="shared" si="64"/>
        <v>Julia</v>
      </c>
      <c r="E1381" t="str">
        <f t="shared" si="65"/>
        <v>Jaime</v>
      </c>
    </row>
    <row r="1382" spans="1:5" ht="15.75" customHeight="1">
      <c r="A1382" s="9" t="s">
        <v>2765</v>
      </c>
      <c r="B1382" s="9" t="s">
        <v>2766</v>
      </c>
      <c r="C1382" t="str">
        <f t="shared" si="63"/>
        <v>Mr</v>
      </c>
      <c r="D1382" t="str">
        <f t="shared" si="64"/>
        <v>Uribe</v>
      </c>
      <c r="E1382" t="str">
        <f t="shared" si="65"/>
        <v>rik R</v>
      </c>
    </row>
    <row r="1383" spans="1:5" ht="15.75" customHeight="1">
      <c r="A1383" s="9" t="s">
        <v>2767</v>
      </c>
      <c r="B1383" s="9" t="s">
        <v>2768</v>
      </c>
      <c r="C1383" t="str">
        <f t="shared" si="63"/>
        <v>Ms.</v>
      </c>
      <c r="D1383" t="str">
        <f t="shared" si="64"/>
        <v>Hand,</v>
      </c>
      <c r="E1383" t="str">
        <f t="shared" si="65"/>
        <v>Katie</v>
      </c>
    </row>
    <row r="1384" spans="1:5" ht="15.75" customHeight="1">
      <c r="A1384" s="9" t="s">
        <v>2769</v>
      </c>
      <c r="B1384" s="9" t="s">
        <v>2770</v>
      </c>
      <c r="C1384" t="str">
        <f t="shared" si="63"/>
        <v>en,</v>
      </c>
      <c r="D1384" t="str">
        <f t="shared" si="64"/>
        <v>Peter</v>
      </c>
      <c r="E1384" t="str">
        <f t="shared" si="65"/>
        <v>mas A</v>
      </c>
    </row>
    <row r="1385" spans="1:5" ht="15.75" customHeight="1">
      <c r="A1385" s="9" t="s">
        <v>2771</v>
      </c>
      <c r="B1385" s="9" t="s">
        <v>2772</v>
      </c>
      <c r="C1385" t="str">
        <f t="shared" si="63"/>
        <v>ion</v>
      </c>
      <c r="D1385" t="str">
        <f t="shared" si="64"/>
        <v>Mac-T</v>
      </c>
      <c r="E1385" t="str">
        <f t="shared" si="65"/>
        <v>-Marc</v>
      </c>
    </row>
    <row r="1386" spans="1:5" ht="15.75" customHeight="1">
      <c r="A1386" s="9" t="s">
        <v>2773</v>
      </c>
      <c r="B1386" s="9" t="s">
        <v>2774</v>
      </c>
      <c r="C1386" t="str">
        <f t="shared" si="63"/>
        <v>, M</v>
      </c>
      <c r="D1386" t="str">
        <f t="shared" si="64"/>
        <v>Walke</v>
      </c>
      <c r="E1386" t="str">
        <f t="shared" si="65"/>
        <v>rry L</v>
      </c>
    </row>
    <row r="1387" spans="1:5" ht="15.75" customHeight="1">
      <c r="A1387" s="9" t="s">
        <v>2775</v>
      </c>
      <c r="B1387" s="9" t="s">
        <v>2776</v>
      </c>
      <c r="C1387" t="str">
        <f t="shared" si="63"/>
        <v>, M</v>
      </c>
      <c r="D1387" t="str">
        <f t="shared" si="64"/>
        <v>Steid</v>
      </c>
      <c r="E1387" t="str">
        <f t="shared" si="65"/>
        <v>lrich</v>
      </c>
    </row>
    <row r="1388" spans="1:5" ht="15.75" customHeight="1">
      <c r="A1388" s="9" t="s">
        <v>2777</v>
      </c>
      <c r="B1388" s="9" t="s">
        <v>2778</v>
      </c>
      <c r="C1388" t="str">
        <f t="shared" si="63"/>
        <v>Mr.</v>
      </c>
      <c r="D1388" t="str">
        <f t="shared" si="64"/>
        <v>Rose,</v>
      </c>
      <c r="E1388" t="str">
        <f t="shared" si="65"/>
        <v>tin P</v>
      </c>
    </row>
    <row r="1389" spans="1:5" ht="15.75" customHeight="1">
      <c r="A1389" s="9" t="s">
        <v>2779</v>
      </c>
      <c r="B1389" s="9" t="s">
        <v>2780</v>
      </c>
      <c r="C1389" t="str">
        <f t="shared" si="63"/>
        <v>er,</v>
      </c>
      <c r="D1389" t="str">
        <f t="shared" si="64"/>
        <v>Alder</v>
      </c>
      <c r="E1389" t="str">
        <f t="shared" si="65"/>
        <v>ah E.</v>
      </c>
    </row>
    <row r="1390" spans="1:5" ht="15.75" customHeight="1">
      <c r="A1390" s="9" t="s">
        <v>2781</v>
      </c>
      <c r="B1390" s="9" t="s">
        <v>2782</v>
      </c>
      <c r="C1390" t="str">
        <f t="shared" si="63"/>
        <v>, M</v>
      </c>
      <c r="D1390" t="str">
        <f t="shared" si="64"/>
        <v>Rylan</v>
      </c>
      <c r="E1390" t="str">
        <f t="shared" si="65"/>
        <v>David</v>
      </c>
    </row>
    <row r="1391" spans="1:5" ht="15.75" customHeight="1">
      <c r="A1391" s="9" t="s">
        <v>2783</v>
      </c>
      <c r="B1391" s="9" t="s">
        <v>2784</v>
      </c>
      <c r="C1391" t="str">
        <f t="shared" si="63"/>
        <v>, M</v>
      </c>
      <c r="D1391" t="str">
        <f t="shared" si="64"/>
        <v>Bethe</v>
      </c>
      <c r="E1391" t="str">
        <f t="shared" si="65"/>
        <v>Jim</v>
      </c>
    </row>
    <row r="1392" spans="1:5" ht="15.75" customHeight="1">
      <c r="A1392" s="9" t="s">
        <v>2785</v>
      </c>
      <c r="B1392" s="9" t="s">
        <v>2786</v>
      </c>
      <c r="C1392" t="str">
        <f t="shared" si="63"/>
        <v>Mr</v>
      </c>
      <c r="D1392" t="str">
        <f t="shared" si="64"/>
        <v>Kelly</v>
      </c>
      <c r="E1392" t="str">
        <f t="shared" si="65"/>
        <v>eph P</v>
      </c>
    </row>
    <row r="1393" spans="1:5" ht="15.75" customHeight="1">
      <c r="A1393" s="9" t="s">
        <v>2787</v>
      </c>
      <c r="B1393" s="9" t="s">
        <v>2788</v>
      </c>
      <c r="C1393" t="str">
        <f t="shared" si="63"/>
        <v>Mr</v>
      </c>
      <c r="D1393" t="str">
        <f t="shared" si="64"/>
        <v>Blois</v>
      </c>
      <c r="E1393" t="str">
        <f t="shared" si="65"/>
        <v>chael</v>
      </c>
    </row>
    <row r="1394" spans="1:5" ht="15.75" customHeight="1">
      <c r="A1394" s="9" t="s">
        <v>2789</v>
      </c>
      <c r="B1394" s="9" t="s">
        <v>2790</v>
      </c>
      <c r="C1394" t="str">
        <f t="shared" si="63"/>
        <v>, M</v>
      </c>
      <c r="D1394" t="str">
        <f t="shared" si="64"/>
        <v>Dayto</v>
      </c>
      <c r="E1394" t="str">
        <f t="shared" si="65"/>
        <v>ina M</v>
      </c>
    </row>
    <row r="1395" spans="1:5" ht="15.75" customHeight="1">
      <c r="A1395" s="9" t="s">
        <v>2791</v>
      </c>
      <c r="B1395" s="9" t="s">
        <v>2792</v>
      </c>
      <c r="C1395" t="str">
        <f t="shared" si="63"/>
        <v>Ms</v>
      </c>
      <c r="D1395" t="str">
        <f t="shared" si="64"/>
        <v>Cloud</v>
      </c>
      <c r="E1395" t="str">
        <f t="shared" si="65"/>
        <v>el C.</v>
      </c>
    </row>
    <row r="1396" spans="1:5" ht="15.75" customHeight="1">
      <c r="A1396" s="9" t="s">
        <v>2793</v>
      </c>
      <c r="B1396" s="9" t="s">
        <v>2794</v>
      </c>
      <c r="C1396" t="str">
        <f t="shared" si="63"/>
        <v>nay</v>
      </c>
      <c r="D1396" t="str">
        <f t="shared" si="64"/>
        <v>Betou</v>
      </c>
      <c r="E1396" t="str">
        <f t="shared" si="65"/>
        <v>Brian</v>
      </c>
    </row>
    <row r="1397" spans="1:5" ht="15.75" customHeight="1">
      <c r="A1397" s="9" t="s">
        <v>2795</v>
      </c>
      <c r="B1397" s="9" t="s">
        <v>2796</v>
      </c>
      <c r="C1397" t="str">
        <f t="shared" si="63"/>
        <v>, M</v>
      </c>
      <c r="D1397" t="str">
        <f t="shared" si="64"/>
        <v>Templ</v>
      </c>
      <c r="E1397" t="str">
        <f t="shared" si="65"/>
        <v>Brian</v>
      </c>
    </row>
    <row r="1398" spans="1:5" ht="15.75" customHeight="1">
      <c r="A1398" s="9" t="s">
        <v>2797</v>
      </c>
      <c r="B1398" s="9" t="s">
        <v>2798</v>
      </c>
      <c r="C1398" t="str">
        <f t="shared" si="63"/>
        <v>, M</v>
      </c>
      <c r="D1398" t="str">
        <f t="shared" si="64"/>
        <v>Rolli</v>
      </c>
      <c r="E1398" t="str">
        <f t="shared" si="65"/>
        <v>ica R</v>
      </c>
    </row>
    <row r="1399" spans="1:5" ht="15.75" customHeight="1">
      <c r="A1399" s="9" t="s">
        <v>2799</v>
      </c>
      <c r="B1399" s="9" t="s">
        <v>2800</v>
      </c>
      <c r="C1399" t="str">
        <f t="shared" si="63"/>
        <v>, M</v>
      </c>
      <c r="D1399" t="str">
        <f t="shared" si="64"/>
        <v>Royba</v>
      </c>
      <c r="E1399" t="str">
        <f t="shared" si="65"/>
        <v>Robyn</v>
      </c>
    </row>
    <row r="1400" spans="1:5" ht="15.75" customHeight="1">
      <c r="A1400" s="9" t="s">
        <v>2801</v>
      </c>
      <c r="B1400" s="9" t="s">
        <v>2802</v>
      </c>
      <c r="C1400" t="str">
        <f t="shared" si="63"/>
        <v>n,</v>
      </c>
      <c r="D1400" t="str">
        <f t="shared" si="64"/>
        <v>Turge</v>
      </c>
      <c r="E1400" t="str">
        <f t="shared" si="65"/>
        <v>shley</v>
      </c>
    </row>
    <row r="1401" spans="1:5" ht="15.75" customHeight="1">
      <c r="A1401" s="9" t="s">
        <v>2803</v>
      </c>
      <c r="B1401" s="9" t="s">
        <v>2804</v>
      </c>
      <c r="C1401" t="str">
        <f t="shared" si="63"/>
        <v>nis</v>
      </c>
      <c r="D1401" t="str">
        <f t="shared" si="64"/>
        <v>Deing</v>
      </c>
      <c r="E1401" t="str">
        <f t="shared" si="65"/>
        <v>Dana</v>
      </c>
    </row>
    <row r="1402" spans="1:5" ht="15.75" customHeight="1">
      <c r="A1402" s="9" t="s">
        <v>2805</v>
      </c>
      <c r="B1402" s="9" t="s">
        <v>2806</v>
      </c>
      <c r="C1402" t="str">
        <f t="shared" si="63"/>
        <v>Ms</v>
      </c>
      <c r="D1402" t="str">
        <f t="shared" si="64"/>
        <v>Hodge</v>
      </c>
      <c r="E1402" t="str">
        <f t="shared" si="65"/>
        <v>ca F.</v>
      </c>
    </row>
    <row r="1403" spans="1:5" ht="15.75" customHeight="1">
      <c r="A1403" s="9" t="s">
        <v>2807</v>
      </c>
      <c r="B1403" s="9" t="s">
        <v>2808</v>
      </c>
      <c r="C1403" t="str">
        <f t="shared" si="63"/>
        <v>Ms</v>
      </c>
      <c r="D1403" t="str">
        <f t="shared" si="64"/>
        <v>Gibbs</v>
      </c>
      <c r="E1403" t="str">
        <f t="shared" si="65"/>
        <v>ndsey</v>
      </c>
    </row>
    <row r="1404" spans="1:5" ht="15.75" customHeight="1">
      <c r="A1404" s="9" t="s">
        <v>2809</v>
      </c>
      <c r="B1404" s="9" t="s">
        <v>2810</v>
      </c>
      <c r="C1404" t="str">
        <f t="shared" si="63"/>
        <v>Ms.</v>
      </c>
      <c r="D1404" t="str">
        <f t="shared" si="64"/>
        <v>Trom,</v>
      </c>
      <c r="E1404" t="str">
        <f t="shared" si="65"/>
        <v>lly A</v>
      </c>
    </row>
    <row r="1405" spans="1:5" ht="15.75" customHeight="1">
      <c r="A1405" s="9" t="s">
        <v>2811</v>
      </c>
      <c r="B1405" s="9" t="s">
        <v>2812</v>
      </c>
      <c r="C1405" t="str">
        <f t="shared" si="63"/>
        <v>Ms</v>
      </c>
      <c r="D1405" t="str">
        <f t="shared" si="64"/>
        <v>Sizer</v>
      </c>
      <c r="E1405" t="str">
        <f t="shared" si="65"/>
        <v>oke E</v>
      </c>
    </row>
    <row r="1406" spans="1:5" ht="15.75" customHeight="1">
      <c r="A1406" s="9" t="s">
        <v>2813</v>
      </c>
      <c r="B1406" s="9" t="s">
        <v>2814</v>
      </c>
      <c r="C1406" t="str">
        <f t="shared" si="63"/>
        <v>n,</v>
      </c>
      <c r="D1406" t="str">
        <f t="shared" si="64"/>
        <v>Ellis</v>
      </c>
      <c r="E1406" t="str">
        <f t="shared" si="65"/>
        <v>yn E.</v>
      </c>
    </row>
    <row r="1407" spans="1:5" ht="15.75" customHeight="1">
      <c r="A1407" s="9" t="s">
        <v>2815</v>
      </c>
      <c r="B1407" s="9" t="s">
        <v>2816</v>
      </c>
      <c r="C1407" t="str">
        <f t="shared" si="63"/>
        <v>ski</v>
      </c>
      <c r="D1407" t="str">
        <f t="shared" si="64"/>
        <v>Sulko</v>
      </c>
      <c r="E1407" t="str">
        <f t="shared" si="65"/>
        <v>Adam</v>
      </c>
    </row>
    <row r="1408" spans="1:5" ht="15.75" customHeight="1">
      <c r="A1408" s="9" t="s">
        <v>2817</v>
      </c>
      <c r="B1408" s="9" t="s">
        <v>2818</v>
      </c>
      <c r="C1408" t="str">
        <f t="shared" si="63"/>
        <v>o,</v>
      </c>
      <c r="D1408" t="str">
        <f t="shared" si="64"/>
        <v>Marin</v>
      </c>
      <c r="E1408" t="str">
        <f t="shared" si="65"/>
        <v>Dana</v>
      </c>
    </row>
    <row r="1409" spans="1:5" ht="15.75" customHeight="1">
      <c r="A1409" s="9" t="s">
        <v>2819</v>
      </c>
      <c r="B1409" s="9" t="s">
        <v>2820</v>
      </c>
      <c r="C1409" t="str">
        <f t="shared" si="63"/>
        <v>, M</v>
      </c>
      <c r="D1409" t="str">
        <f t="shared" si="64"/>
        <v>Latti</v>
      </c>
      <c r="E1409" t="str">
        <f t="shared" si="65"/>
        <v>ric W</v>
      </c>
    </row>
    <row r="1410" spans="1:5" ht="15.75" customHeight="1">
      <c r="A1410" s="9" t="s">
        <v>2821</v>
      </c>
      <c r="B1410" s="9" t="s">
        <v>2822</v>
      </c>
      <c r="C1410" t="str">
        <f t="shared" si="63"/>
        <v>der</v>
      </c>
      <c r="D1410" t="str">
        <f t="shared" si="64"/>
        <v>Debla</v>
      </c>
      <c r="E1410" t="str">
        <f t="shared" si="65"/>
        <v>hew D</v>
      </c>
    </row>
    <row r="1411" spans="1:5" ht="15.75" customHeight="1">
      <c r="A1411" s="9" t="s">
        <v>2823</v>
      </c>
      <c r="B1411" s="9" t="s">
        <v>2824</v>
      </c>
      <c r="C1411" t="str">
        <f t="shared" ref="C1411:C1474" si="66">MID(B1411,7,3)</f>
        <v>l,</v>
      </c>
      <c r="D1411" t="str">
        <f t="shared" ref="D1411:D1474" si="67">LEFT(B1411,5)</f>
        <v>O'Nei</v>
      </c>
      <c r="E1411" t="str">
        <f t="shared" ref="E1411:E1474" si="68">RIGHT(B1411,5)</f>
        <v>oghan</v>
      </c>
    </row>
    <row r="1412" spans="1:5" ht="15.75" customHeight="1">
      <c r="A1412" s="9" t="s">
        <v>2825</v>
      </c>
      <c r="B1412" s="9" t="s">
        <v>2826</v>
      </c>
      <c r="C1412" t="str">
        <f t="shared" si="66"/>
        <v>Ms</v>
      </c>
      <c r="D1412" t="str">
        <f t="shared" si="67"/>
        <v>Davis</v>
      </c>
      <c r="E1412" t="str">
        <f t="shared" si="68"/>
        <v>ela W</v>
      </c>
    </row>
    <row r="1413" spans="1:5" ht="15.75" customHeight="1">
      <c r="A1413" s="9" t="s">
        <v>2827</v>
      </c>
      <c r="B1413" s="9" t="s">
        <v>2828</v>
      </c>
      <c r="C1413" t="str">
        <f t="shared" si="66"/>
        <v>, M</v>
      </c>
      <c r="D1413" t="str">
        <f t="shared" si="67"/>
        <v>Stane</v>
      </c>
      <c r="E1413" t="str">
        <f t="shared" si="68"/>
        <v>ey M.</v>
      </c>
    </row>
    <row r="1414" spans="1:5" ht="15.75" customHeight="1">
      <c r="A1414" s="9" t="s">
        <v>2829</v>
      </c>
      <c r="B1414" s="9" t="s">
        <v>2830</v>
      </c>
      <c r="C1414" t="str">
        <f t="shared" si="66"/>
        <v>, M</v>
      </c>
      <c r="D1414" t="str">
        <f t="shared" si="67"/>
        <v>Harri</v>
      </c>
      <c r="E1414" t="str">
        <f t="shared" si="68"/>
        <v>assie</v>
      </c>
    </row>
    <row r="1415" spans="1:5" ht="15.75" customHeight="1">
      <c r="A1415" s="9" t="s">
        <v>2831</v>
      </c>
      <c r="B1415" s="9" t="s">
        <v>2832</v>
      </c>
      <c r="C1415" t="str">
        <f t="shared" si="66"/>
        <v>g,</v>
      </c>
      <c r="D1415" t="str">
        <f t="shared" si="67"/>
        <v>Manni</v>
      </c>
      <c r="E1415" t="str">
        <f t="shared" si="68"/>
        <v>tthew</v>
      </c>
    </row>
    <row r="1416" spans="1:5" ht="15.75" customHeight="1">
      <c r="A1416" s="9" t="s">
        <v>2833</v>
      </c>
      <c r="B1416" s="9" t="s">
        <v>2834</v>
      </c>
      <c r="C1416" t="str">
        <f t="shared" si="66"/>
        <v>a M</v>
      </c>
      <c r="D1416" t="str">
        <f t="shared" si="67"/>
        <v>Barre</v>
      </c>
      <c r="E1416" t="str">
        <f t="shared" si="68"/>
        <v>Dario</v>
      </c>
    </row>
    <row r="1417" spans="1:5" ht="15.75" customHeight="1">
      <c r="A1417" s="9" t="s">
        <v>2835</v>
      </c>
      <c r="B1417" s="9" t="s">
        <v>2836</v>
      </c>
      <c r="C1417" t="str">
        <f t="shared" si="66"/>
        <v>aer</v>
      </c>
      <c r="D1417" t="str">
        <f t="shared" si="67"/>
        <v>Schau</v>
      </c>
      <c r="E1417" t="str">
        <f t="shared" si="68"/>
        <v>Kevin</v>
      </c>
    </row>
    <row r="1418" spans="1:5" ht="15.75" customHeight="1">
      <c r="A1418" s="9" t="s">
        <v>2837</v>
      </c>
      <c r="B1418" s="9" t="s">
        <v>2838</v>
      </c>
      <c r="C1418" t="str">
        <f t="shared" si="66"/>
        <v>n,</v>
      </c>
      <c r="D1418" t="str">
        <f t="shared" si="67"/>
        <v>Hartm</v>
      </c>
      <c r="E1418" t="str">
        <f t="shared" si="68"/>
        <v>say M</v>
      </c>
    </row>
    <row r="1419" spans="1:5" ht="15.75" customHeight="1">
      <c r="A1419" s="9" t="s">
        <v>2839</v>
      </c>
      <c r="B1419" s="9" t="s">
        <v>2840</v>
      </c>
      <c r="C1419" t="str">
        <f t="shared" si="66"/>
        <v>Mrs</v>
      </c>
      <c r="D1419" t="str">
        <f t="shared" si="67"/>
        <v>Fire,</v>
      </c>
      <c r="E1419" t="str">
        <f t="shared" si="68"/>
        <v>manda</v>
      </c>
    </row>
    <row r="1420" spans="1:5" ht="15.75" customHeight="1">
      <c r="A1420" s="9" t="s">
        <v>2841</v>
      </c>
      <c r="B1420" s="9" t="s">
        <v>2842</v>
      </c>
      <c r="C1420" t="str">
        <f t="shared" si="66"/>
        <v>la,</v>
      </c>
      <c r="D1420" t="str">
        <f t="shared" si="67"/>
        <v>Walia</v>
      </c>
      <c r="E1420" t="str">
        <f t="shared" si="68"/>
        <v>James</v>
      </c>
    </row>
    <row r="1421" spans="1:5" ht="15.75" customHeight="1">
      <c r="A1421" s="9" t="s">
        <v>2843</v>
      </c>
      <c r="B1421" s="9" t="s">
        <v>2844</v>
      </c>
      <c r="C1421" t="str">
        <f t="shared" si="66"/>
        <v>hea</v>
      </c>
      <c r="D1421" t="str">
        <f t="shared" si="67"/>
        <v>Black</v>
      </c>
      <c r="E1421" t="str">
        <f t="shared" si="68"/>
        <v>el H.</v>
      </c>
    </row>
    <row r="1422" spans="1:5" ht="15.75" customHeight="1">
      <c r="A1422" s="9" t="s">
        <v>2845</v>
      </c>
      <c r="B1422" s="9" t="s">
        <v>2846</v>
      </c>
      <c r="C1422" t="str">
        <f t="shared" si="66"/>
        <v>, M</v>
      </c>
      <c r="D1422" t="str">
        <f t="shared" si="67"/>
        <v>Netti</v>
      </c>
      <c r="E1422" t="str">
        <f t="shared" si="68"/>
        <v>Jenni</v>
      </c>
    </row>
    <row r="1423" spans="1:5" ht="15.75" customHeight="1">
      <c r="A1423" s="9" t="s">
        <v>2847</v>
      </c>
      <c r="B1423" s="9" t="s">
        <v>2848</v>
      </c>
      <c r="C1423" t="str">
        <f t="shared" si="66"/>
        <v>s,</v>
      </c>
      <c r="D1423" t="str">
        <f t="shared" si="67"/>
        <v>Noval</v>
      </c>
      <c r="E1423" t="str">
        <f t="shared" si="68"/>
        <v>rdo F</v>
      </c>
    </row>
    <row r="1424" spans="1:5" ht="15.75" customHeight="1">
      <c r="A1424" s="9" t="s">
        <v>2849</v>
      </c>
      <c r="B1424" s="9" t="s">
        <v>2850</v>
      </c>
      <c r="C1424" t="str">
        <f t="shared" si="66"/>
        <v>r,</v>
      </c>
      <c r="D1424" t="str">
        <f t="shared" si="67"/>
        <v>Rosau</v>
      </c>
      <c r="E1424" t="str">
        <f t="shared" si="68"/>
        <v>Brett</v>
      </c>
    </row>
    <row r="1425" spans="1:5" ht="15.75" customHeight="1">
      <c r="A1425" s="9" t="s">
        <v>2851</v>
      </c>
      <c r="B1425" s="9" t="s">
        <v>2852</v>
      </c>
      <c r="C1425" t="str">
        <f t="shared" si="66"/>
        <v>Ms</v>
      </c>
      <c r="D1425" t="str">
        <f t="shared" si="67"/>
        <v>Ryder</v>
      </c>
      <c r="E1425" t="str">
        <f t="shared" si="68"/>
        <v>on E.</v>
      </c>
    </row>
    <row r="1426" spans="1:5" ht="15.75" customHeight="1">
      <c r="A1426" s="9" t="s">
        <v>2853</v>
      </c>
      <c r="B1426" s="9" t="s">
        <v>2854</v>
      </c>
      <c r="C1426" t="str">
        <f t="shared" si="66"/>
        <v>, M</v>
      </c>
      <c r="D1426" t="str">
        <f t="shared" si="67"/>
        <v>Larse</v>
      </c>
      <c r="E1426" t="str">
        <f t="shared" si="68"/>
        <v>√¶ver</v>
      </c>
    </row>
    <row r="1427" spans="1:5" ht="15.75" customHeight="1">
      <c r="A1427" s="9" t="s">
        <v>2855</v>
      </c>
      <c r="B1427" s="9" t="s">
        <v>2856</v>
      </c>
      <c r="C1427" t="str">
        <f t="shared" si="66"/>
        <v>Mr</v>
      </c>
      <c r="D1427" t="str">
        <f t="shared" si="67"/>
        <v>Keate</v>
      </c>
      <c r="E1427" t="str">
        <f t="shared" si="68"/>
        <v>Scott</v>
      </c>
    </row>
    <row r="1428" spans="1:5" ht="15.75" customHeight="1">
      <c r="A1428" s="9" t="s">
        <v>2857</v>
      </c>
      <c r="B1428" s="9" t="s">
        <v>2858</v>
      </c>
      <c r="C1428" t="str">
        <f t="shared" si="66"/>
        <v>ms,</v>
      </c>
      <c r="D1428" t="str">
        <f t="shared" si="67"/>
        <v>Willi</v>
      </c>
      <c r="E1428" t="str">
        <f t="shared" si="68"/>
        <v>ke S.</v>
      </c>
    </row>
    <row r="1429" spans="1:5" ht="15.75" customHeight="1">
      <c r="A1429" s="9" t="s">
        <v>2859</v>
      </c>
      <c r="B1429" s="9" t="s">
        <v>2860</v>
      </c>
      <c r="C1429" t="str">
        <f t="shared" si="66"/>
        <v>cia</v>
      </c>
      <c r="D1429" t="str">
        <f t="shared" si="67"/>
        <v>Staro</v>
      </c>
      <c r="E1429" t="str">
        <f t="shared" si="68"/>
        <v>ye A.</v>
      </c>
    </row>
    <row r="1430" spans="1:5" ht="15.75" customHeight="1">
      <c r="A1430" s="9" t="s">
        <v>2861</v>
      </c>
      <c r="B1430" s="9" t="s">
        <v>2862</v>
      </c>
      <c r="C1430" t="str">
        <f t="shared" si="66"/>
        <v>Ms</v>
      </c>
      <c r="D1430" t="str">
        <f t="shared" si="67"/>
        <v>Smith</v>
      </c>
      <c r="E1430" t="str">
        <f t="shared" si="68"/>
        <v>rolyn</v>
      </c>
    </row>
    <row r="1431" spans="1:5" ht="15.75" customHeight="1">
      <c r="A1431" s="9" t="s">
        <v>2863</v>
      </c>
      <c r="B1431" s="9" t="s">
        <v>2864</v>
      </c>
      <c r="C1431" t="str">
        <f t="shared" si="66"/>
        <v>son</v>
      </c>
      <c r="D1431" t="str">
        <f t="shared" si="67"/>
        <v>Hende</v>
      </c>
      <c r="E1431" t="str">
        <f t="shared" si="68"/>
        <v>el C.</v>
      </c>
    </row>
    <row r="1432" spans="1:5" ht="15.75" customHeight="1">
      <c r="A1432" s="9" t="s">
        <v>2865</v>
      </c>
      <c r="B1432" s="9" t="s">
        <v>2866</v>
      </c>
      <c r="C1432" t="str">
        <f t="shared" si="66"/>
        <v>man</v>
      </c>
      <c r="D1432" t="str">
        <f t="shared" si="67"/>
        <v>Winke</v>
      </c>
      <c r="E1432" t="str">
        <f t="shared" si="68"/>
        <v>rie A</v>
      </c>
    </row>
    <row r="1433" spans="1:5" ht="15.75" customHeight="1">
      <c r="A1433" s="9" t="s">
        <v>2867</v>
      </c>
      <c r="B1433" s="9" t="s">
        <v>2868</v>
      </c>
      <c r="C1433" t="str">
        <f t="shared" si="66"/>
        <v>e,</v>
      </c>
      <c r="D1433" t="str">
        <f t="shared" si="67"/>
        <v>Monet</v>
      </c>
      <c r="E1433" t="str">
        <f t="shared" si="68"/>
        <v>icole</v>
      </c>
    </row>
    <row r="1434" spans="1:5" ht="15.75" customHeight="1">
      <c r="A1434" s="9" t="s">
        <v>2869</v>
      </c>
      <c r="B1434" s="9" t="s">
        <v>2870</v>
      </c>
      <c r="C1434" t="str">
        <f t="shared" si="66"/>
        <v>, M</v>
      </c>
      <c r="D1434" t="str">
        <f t="shared" si="67"/>
        <v>Krame</v>
      </c>
      <c r="E1434" t="str">
        <f t="shared" si="68"/>
        <v>helby</v>
      </c>
    </row>
    <row r="1435" spans="1:5" ht="15.75" customHeight="1">
      <c r="A1435" s="9" t="s">
        <v>2871</v>
      </c>
      <c r="B1435" s="9" t="s">
        <v>2872</v>
      </c>
      <c r="C1435" t="str">
        <f t="shared" si="66"/>
        <v>ein</v>
      </c>
      <c r="D1435" t="str">
        <f t="shared" si="67"/>
        <v>Golds</v>
      </c>
      <c r="E1435" t="str">
        <f t="shared" si="68"/>
        <v>lison</v>
      </c>
    </row>
    <row r="1436" spans="1:5" ht="15.75" customHeight="1">
      <c r="A1436" s="9" t="s">
        <v>2873</v>
      </c>
      <c r="B1436" s="9" t="s">
        <v>2874</v>
      </c>
      <c r="C1436" t="str">
        <f t="shared" si="66"/>
        <v>ez,</v>
      </c>
      <c r="D1436" t="str">
        <f t="shared" si="67"/>
        <v>Gonza</v>
      </c>
      <c r="E1436" t="str">
        <f t="shared" si="68"/>
        <v>ticia</v>
      </c>
    </row>
    <row r="1437" spans="1:5" ht="15.75" customHeight="1">
      <c r="A1437" s="9" t="s">
        <v>2875</v>
      </c>
      <c r="B1437" s="9" t="s">
        <v>2876</v>
      </c>
      <c r="C1437" t="str">
        <f t="shared" si="66"/>
        <v>t,</v>
      </c>
      <c r="D1437" t="str">
        <f t="shared" si="67"/>
        <v>Barre</v>
      </c>
      <c r="E1437" t="str">
        <f t="shared" si="68"/>
        <v>hn S.</v>
      </c>
    </row>
    <row r="1438" spans="1:5" ht="15.75" customHeight="1">
      <c r="A1438" s="9" t="s">
        <v>2877</v>
      </c>
      <c r="B1438" s="9" t="s">
        <v>2878</v>
      </c>
      <c r="C1438" t="str">
        <f t="shared" si="66"/>
        <v>Ms</v>
      </c>
      <c r="D1438" t="str">
        <f t="shared" si="67"/>
        <v>Irwin</v>
      </c>
      <c r="E1438" t="str">
        <f t="shared" si="68"/>
        <v>April</v>
      </c>
    </row>
    <row r="1439" spans="1:5" ht="15.75" customHeight="1">
      <c r="A1439" s="9" t="s">
        <v>2879</v>
      </c>
      <c r="B1439" s="9" t="s">
        <v>2880</v>
      </c>
      <c r="C1439" t="str">
        <f t="shared" si="66"/>
        <v>Ms</v>
      </c>
      <c r="D1439" t="str">
        <f t="shared" si="67"/>
        <v>Glenn</v>
      </c>
      <c r="E1439" t="str">
        <f t="shared" si="68"/>
        <v>ey N.</v>
      </c>
    </row>
    <row r="1440" spans="1:5" ht="15.75" customHeight="1">
      <c r="A1440" s="9" t="s">
        <v>2881</v>
      </c>
      <c r="B1440" s="9" t="s">
        <v>2882</v>
      </c>
      <c r="C1440" t="str">
        <f t="shared" si="66"/>
        <v>a,</v>
      </c>
      <c r="D1440" t="str">
        <f t="shared" si="67"/>
        <v>O'Mea</v>
      </c>
      <c r="E1440" t="str">
        <f t="shared" si="68"/>
        <v>leine</v>
      </c>
    </row>
    <row r="1441" spans="1:5" ht="15.75" customHeight="1">
      <c r="A1441" s="9" t="s">
        <v>2883</v>
      </c>
      <c r="B1441" s="9" t="s">
        <v>2884</v>
      </c>
      <c r="C1441" t="str">
        <f t="shared" si="66"/>
        <v>, M</v>
      </c>
      <c r="D1441" t="str">
        <f t="shared" si="67"/>
        <v>Budro</v>
      </c>
      <c r="E1441" t="str">
        <f t="shared" si="68"/>
        <v>lly S</v>
      </c>
    </row>
    <row r="1442" spans="1:5" ht="15.75" customHeight="1">
      <c r="A1442" s="9" t="s">
        <v>2885</v>
      </c>
      <c r="B1442" s="9" t="s">
        <v>2886</v>
      </c>
      <c r="C1442" t="str">
        <f t="shared" si="66"/>
        <v>on,</v>
      </c>
      <c r="D1442" t="str">
        <f t="shared" si="67"/>
        <v>Ander</v>
      </c>
      <c r="E1442" t="str">
        <f t="shared" si="68"/>
        <v>ith S</v>
      </c>
    </row>
    <row r="1443" spans="1:5" ht="15.75" customHeight="1">
      <c r="A1443" s="9" t="s">
        <v>2887</v>
      </c>
      <c r="B1443" s="9" t="s">
        <v>2888</v>
      </c>
      <c r="C1443" t="str">
        <f t="shared" si="66"/>
        <v>s,</v>
      </c>
      <c r="D1443" t="str">
        <f t="shared" si="67"/>
        <v>Dougl</v>
      </c>
      <c r="E1443" t="str">
        <f t="shared" si="68"/>
        <v>Kevin</v>
      </c>
    </row>
    <row r="1444" spans="1:5" ht="15.75" customHeight="1">
      <c r="A1444" s="9" t="s">
        <v>2889</v>
      </c>
      <c r="B1444" s="9" t="s">
        <v>2890</v>
      </c>
      <c r="C1444" t="str">
        <f t="shared" si="66"/>
        <v>nbu</v>
      </c>
      <c r="D1444" t="str">
        <f t="shared" si="67"/>
        <v>Teckl</v>
      </c>
      <c r="E1444" t="str">
        <f t="shared" si="68"/>
        <v>Lisa</v>
      </c>
    </row>
    <row r="1445" spans="1:5" ht="15.75" customHeight="1">
      <c r="A1445" s="9" t="s">
        <v>2891</v>
      </c>
      <c r="B1445" s="9" t="s">
        <v>2892</v>
      </c>
      <c r="C1445" t="str">
        <f t="shared" si="66"/>
        <v>Ms</v>
      </c>
      <c r="D1445" t="str">
        <f t="shared" si="67"/>
        <v>Baker</v>
      </c>
      <c r="E1445" t="str">
        <f t="shared" si="68"/>
        <v>ine A</v>
      </c>
    </row>
    <row r="1446" spans="1:5" ht="15.75" customHeight="1">
      <c r="A1446" s="9" t="s">
        <v>2893</v>
      </c>
      <c r="B1446" s="9" t="s">
        <v>2894</v>
      </c>
      <c r="C1446" t="str">
        <f t="shared" si="66"/>
        <v>k,</v>
      </c>
      <c r="D1446" t="str">
        <f t="shared" si="67"/>
        <v>Schen</v>
      </c>
      <c r="E1446" t="str">
        <f t="shared" si="68"/>
        <v>Steve</v>
      </c>
    </row>
    <row r="1447" spans="1:5" ht="15.75" customHeight="1">
      <c r="A1447" s="9" t="s">
        <v>2895</v>
      </c>
      <c r="B1447" s="9" t="s">
        <v>2896</v>
      </c>
      <c r="C1447" t="str">
        <f t="shared" si="66"/>
        <v>n,</v>
      </c>
      <c r="D1447" t="str">
        <f t="shared" si="67"/>
        <v>Johns</v>
      </c>
      <c r="E1447" t="str">
        <f t="shared" si="68"/>
        <v>te L.</v>
      </c>
    </row>
    <row r="1448" spans="1:5" ht="15.75" customHeight="1">
      <c r="A1448" s="9" t="s">
        <v>2897</v>
      </c>
      <c r="B1448" s="9" t="s">
        <v>2898</v>
      </c>
      <c r="C1448" t="str">
        <f t="shared" si="66"/>
        <v>ll,</v>
      </c>
      <c r="D1448" t="str">
        <f t="shared" si="67"/>
        <v>Blend</v>
      </c>
      <c r="E1448" t="str">
        <f t="shared" si="68"/>
        <v>Beth</v>
      </c>
    </row>
    <row r="1449" spans="1:5" ht="15.75" customHeight="1">
      <c r="A1449" s="9" t="s">
        <v>2899</v>
      </c>
      <c r="B1449" s="9" t="s">
        <v>2900</v>
      </c>
      <c r="C1449" t="str">
        <f t="shared" si="66"/>
        <v>, M</v>
      </c>
      <c r="D1449" t="str">
        <f t="shared" si="67"/>
        <v>Parod</v>
      </c>
      <c r="E1449" t="str">
        <f t="shared" si="68"/>
        <v>arine</v>
      </c>
    </row>
    <row r="1450" spans="1:5" ht="15.75" customHeight="1">
      <c r="A1450" s="9" t="s">
        <v>2901</v>
      </c>
      <c r="B1450" s="9" t="s">
        <v>2902</v>
      </c>
      <c r="C1450" t="str">
        <f t="shared" si="66"/>
        <v>, M</v>
      </c>
      <c r="D1450" t="str">
        <f t="shared" si="67"/>
        <v>Morga</v>
      </c>
      <c r="E1450" t="str">
        <f t="shared" si="68"/>
        <v>her L</v>
      </c>
    </row>
    <row r="1451" spans="1:5" ht="15.75" customHeight="1">
      <c r="A1451" s="9" t="s">
        <v>2903</v>
      </c>
      <c r="B1451" s="9" t="s">
        <v>2904</v>
      </c>
      <c r="C1451" t="str">
        <f t="shared" si="66"/>
        <v>, M</v>
      </c>
      <c r="D1451" t="str">
        <f t="shared" si="67"/>
        <v>Linde</v>
      </c>
      <c r="E1451" t="str">
        <f t="shared" si="68"/>
        <v>siree</v>
      </c>
    </row>
    <row r="1452" spans="1:5" ht="15.75" customHeight="1">
      <c r="A1452" s="9" t="s">
        <v>2905</v>
      </c>
      <c r="B1452" s="9" t="s">
        <v>2906</v>
      </c>
      <c r="C1452" t="str">
        <f t="shared" si="66"/>
        <v>g,</v>
      </c>
      <c r="D1452" t="str">
        <f t="shared" si="67"/>
        <v>Horni</v>
      </c>
      <c r="E1452" t="str">
        <f t="shared" si="68"/>
        <v>er B.</v>
      </c>
    </row>
    <row r="1453" spans="1:5" ht="15.75" customHeight="1">
      <c r="A1453" s="9" t="s">
        <v>2907</v>
      </c>
      <c r="B1453" s="9" t="s">
        <v>2908</v>
      </c>
      <c r="C1453" t="str">
        <f t="shared" si="66"/>
        <v>Mr</v>
      </c>
      <c r="D1453" t="str">
        <f t="shared" si="67"/>
        <v>Goode</v>
      </c>
      <c r="E1453" t="str">
        <f t="shared" si="68"/>
        <v>Adam</v>
      </c>
    </row>
    <row r="1454" spans="1:5" ht="15.75" customHeight="1">
      <c r="A1454" s="9" t="s">
        <v>2909</v>
      </c>
      <c r="B1454" s="9" t="s">
        <v>2910</v>
      </c>
      <c r="C1454" t="str">
        <f t="shared" si="66"/>
        <v>Mr</v>
      </c>
      <c r="D1454" t="str">
        <f t="shared" si="67"/>
        <v>Doden</v>
      </c>
      <c r="E1454" t="str">
        <f t="shared" si="68"/>
        <v>emy J</v>
      </c>
    </row>
    <row r="1455" spans="1:5" ht="15.75" customHeight="1">
      <c r="A1455" s="9" t="s">
        <v>2911</v>
      </c>
      <c r="B1455" s="9" t="s">
        <v>2912</v>
      </c>
      <c r="C1455" t="str">
        <f t="shared" si="66"/>
        <v>Mr</v>
      </c>
      <c r="D1455" t="str">
        <f t="shared" si="67"/>
        <v>Groff</v>
      </c>
      <c r="E1455" t="str">
        <f t="shared" si="68"/>
        <v>dam C</v>
      </c>
    </row>
    <row r="1456" spans="1:5" ht="15.75" customHeight="1">
      <c r="A1456" s="9" t="s">
        <v>2913</v>
      </c>
      <c r="B1456" s="9" t="s">
        <v>2914</v>
      </c>
      <c r="C1456" t="str">
        <f t="shared" si="66"/>
        <v>r,</v>
      </c>
      <c r="D1456" t="str">
        <f t="shared" si="67"/>
        <v>Kuehl</v>
      </c>
      <c r="E1456" t="str">
        <f t="shared" si="68"/>
        <v>Jon</v>
      </c>
    </row>
    <row r="1457" spans="1:5" ht="15.75" customHeight="1">
      <c r="A1457" s="9" t="s">
        <v>2915</v>
      </c>
      <c r="B1457" s="9" t="s">
        <v>2916</v>
      </c>
      <c r="C1457" t="str">
        <f t="shared" si="66"/>
        <v>s,</v>
      </c>
      <c r="D1457" t="str">
        <f t="shared" si="67"/>
        <v>Danie</v>
      </c>
      <c r="E1457" t="str">
        <f t="shared" si="68"/>
        <v>ven J</v>
      </c>
    </row>
    <row r="1458" spans="1:5" ht="15.75" customHeight="1">
      <c r="A1458" s="9" t="s">
        <v>2917</v>
      </c>
      <c r="B1458" s="9" t="s">
        <v>2918</v>
      </c>
      <c r="C1458" t="str">
        <f t="shared" si="66"/>
        <v>Ms</v>
      </c>
      <c r="D1458" t="str">
        <f t="shared" si="67"/>
        <v>Gibby</v>
      </c>
      <c r="E1458" t="str">
        <f t="shared" si="68"/>
        <v>ca P.</v>
      </c>
    </row>
    <row r="1459" spans="1:5" ht="15.75" customHeight="1">
      <c r="A1459" s="9" t="s">
        <v>2919</v>
      </c>
      <c r="B1459" s="9" t="s">
        <v>2920</v>
      </c>
      <c r="C1459" t="str">
        <f t="shared" si="66"/>
        <v>Ms.</v>
      </c>
      <c r="D1459" t="str">
        <f t="shared" si="67"/>
        <v>Busa,</v>
      </c>
      <c r="E1459" t="str">
        <f t="shared" si="68"/>
        <v>shley</v>
      </c>
    </row>
    <row r="1460" spans="1:5" ht="15.75" customHeight="1">
      <c r="A1460" s="9" t="s">
        <v>2921</v>
      </c>
      <c r="B1460" s="9" t="s">
        <v>2922</v>
      </c>
      <c r="C1460" t="str">
        <f t="shared" si="66"/>
        <v>Mr.</v>
      </c>
      <c r="D1460" t="str">
        <f t="shared" si="67"/>
        <v>Moyo,</v>
      </c>
      <c r="E1460" t="str">
        <f t="shared" si="68"/>
        <v>ro H.</v>
      </c>
    </row>
    <row r="1461" spans="1:5" ht="15.75" customHeight="1">
      <c r="A1461" s="9" t="s">
        <v>2923</v>
      </c>
      <c r="B1461" s="9" t="s">
        <v>2924</v>
      </c>
      <c r="C1461" t="str">
        <f t="shared" si="66"/>
        <v>Mr.</v>
      </c>
      <c r="D1461" t="str">
        <f t="shared" si="67"/>
        <v>Horn,</v>
      </c>
      <c r="E1461" t="str">
        <f t="shared" si="68"/>
        <v>Ketil</v>
      </c>
    </row>
    <row r="1462" spans="1:5" ht="15.75" customHeight="1">
      <c r="A1462" s="9" t="s">
        <v>2925</v>
      </c>
      <c r="B1462" s="9" t="s">
        <v>2926</v>
      </c>
      <c r="C1462" t="str">
        <f t="shared" si="66"/>
        <v>Ms.</v>
      </c>
      <c r="D1462" t="str">
        <f t="shared" si="67"/>
        <v>Bien,</v>
      </c>
      <c r="E1462" t="str">
        <f t="shared" si="68"/>
        <v>Katie</v>
      </c>
    </row>
    <row r="1463" spans="1:5" ht="15.75" customHeight="1">
      <c r="A1463" s="9" t="s">
        <v>2927</v>
      </c>
      <c r="B1463" s="9" t="s">
        <v>2928</v>
      </c>
      <c r="C1463" t="str">
        <f t="shared" si="66"/>
        <v>or,</v>
      </c>
      <c r="D1463" t="str">
        <f t="shared" si="67"/>
        <v>O'Con</v>
      </c>
      <c r="E1463" t="str">
        <f t="shared" si="68"/>
        <v>risti</v>
      </c>
    </row>
    <row r="1464" spans="1:5" ht="15.75" customHeight="1">
      <c r="A1464" s="9" t="s">
        <v>2929</v>
      </c>
      <c r="B1464" s="9" t="s">
        <v>2930</v>
      </c>
      <c r="C1464" t="str">
        <f t="shared" si="66"/>
        <v>r.</v>
      </c>
      <c r="D1464" t="str">
        <f t="shared" si="67"/>
        <v>Ash,</v>
      </c>
      <c r="E1464" t="str">
        <f t="shared" si="68"/>
        <v>Alan</v>
      </c>
    </row>
    <row r="1465" spans="1:5" ht="15.75" customHeight="1">
      <c r="A1465" s="9" t="s">
        <v>2931</v>
      </c>
      <c r="B1465" s="9" t="s">
        <v>2932</v>
      </c>
      <c r="C1465" t="str">
        <f t="shared" si="66"/>
        <v>do,</v>
      </c>
      <c r="D1465" t="str">
        <f t="shared" si="67"/>
        <v>Do Pr</v>
      </c>
      <c r="E1465" t="str">
        <f t="shared" si="68"/>
        <v>. Sr.</v>
      </c>
    </row>
    <row r="1466" spans="1:5" ht="15.75" customHeight="1">
      <c r="A1466" s="9" t="s">
        <v>2933</v>
      </c>
      <c r="B1466" s="9" t="s">
        <v>2934</v>
      </c>
      <c r="C1466" t="str">
        <f t="shared" si="66"/>
        <v>ps,</v>
      </c>
      <c r="D1466" t="str">
        <f t="shared" si="67"/>
        <v>Phill</v>
      </c>
      <c r="E1466" t="str">
        <f t="shared" si="68"/>
        <v>Eve</v>
      </c>
    </row>
    <row r="1467" spans="1:5" ht="15.75" customHeight="1">
      <c r="A1467" s="9" t="s">
        <v>2935</v>
      </c>
      <c r="B1467" s="9" t="s">
        <v>2936</v>
      </c>
      <c r="C1467" t="str">
        <f t="shared" si="66"/>
        <v>Mr</v>
      </c>
      <c r="D1467" t="str">
        <f t="shared" si="67"/>
        <v>Kelly</v>
      </c>
      <c r="E1467" t="str">
        <f t="shared" si="68"/>
        <v>Devin</v>
      </c>
    </row>
    <row r="1468" spans="1:5" ht="15.75" customHeight="1">
      <c r="A1468" s="9" t="s">
        <v>2937</v>
      </c>
      <c r="B1468" s="9" t="s">
        <v>2938</v>
      </c>
      <c r="C1468" t="str">
        <f t="shared" si="66"/>
        <v>Mr</v>
      </c>
      <c r="D1468" t="str">
        <f t="shared" si="67"/>
        <v>Dever</v>
      </c>
      <c r="E1468" t="str">
        <f t="shared" si="68"/>
        <v>aun R</v>
      </c>
    </row>
    <row r="1469" spans="1:5" ht="15.75" customHeight="1">
      <c r="A1469" s="9" t="s">
        <v>2939</v>
      </c>
      <c r="B1469" s="9" t="s">
        <v>2940</v>
      </c>
      <c r="C1469" t="str">
        <f t="shared" si="66"/>
        <v>h,</v>
      </c>
      <c r="D1469" t="str">
        <f t="shared" si="67"/>
        <v>Horva</v>
      </c>
      <c r="E1469" t="str">
        <f t="shared" si="68"/>
        <v>drian</v>
      </c>
    </row>
    <row r="1470" spans="1:5" ht="15.75" customHeight="1">
      <c r="A1470" s="9" t="s">
        <v>2941</v>
      </c>
      <c r="B1470" s="9" t="s">
        <v>2942</v>
      </c>
      <c r="C1470" t="str">
        <f t="shared" si="66"/>
        <v>, M</v>
      </c>
      <c r="D1470" t="str">
        <f t="shared" si="67"/>
        <v>Danne</v>
      </c>
      <c r="E1470" t="str">
        <f t="shared" si="68"/>
        <v>ndrew</v>
      </c>
    </row>
    <row r="1471" spans="1:5" ht="15.75" customHeight="1">
      <c r="A1471" s="9" t="s">
        <v>2943</v>
      </c>
      <c r="B1471" s="9" t="s">
        <v>2944</v>
      </c>
      <c r="C1471" t="str">
        <f t="shared" si="66"/>
        <v>Ms</v>
      </c>
      <c r="D1471" t="str">
        <f t="shared" si="67"/>
        <v>Weiss</v>
      </c>
      <c r="E1471" t="str">
        <f t="shared" si="68"/>
        <v>llory</v>
      </c>
    </row>
    <row r="1472" spans="1:5" ht="15.75" customHeight="1">
      <c r="A1472" s="9" t="s">
        <v>2945</v>
      </c>
      <c r="B1472" s="9" t="s">
        <v>2946</v>
      </c>
      <c r="C1472" t="str">
        <f t="shared" si="66"/>
        <v>ea,</v>
      </c>
      <c r="D1472" t="str">
        <f t="shared" si="67"/>
        <v>D'And</v>
      </c>
      <c r="E1472" t="str">
        <f t="shared" si="68"/>
        <v>awn E</v>
      </c>
    </row>
    <row r="1473" spans="1:5" ht="15.75" customHeight="1">
      <c r="A1473" s="9" t="s">
        <v>2947</v>
      </c>
      <c r="B1473" s="9" t="s">
        <v>2948</v>
      </c>
      <c r="C1473" t="str">
        <f t="shared" si="66"/>
        <v>, M</v>
      </c>
      <c r="D1473" t="str">
        <f t="shared" si="67"/>
        <v>Olesk</v>
      </c>
      <c r="E1473" t="str">
        <f t="shared" si="68"/>
        <v>rah E</v>
      </c>
    </row>
    <row r="1474" spans="1:5" ht="15.75" customHeight="1">
      <c r="A1474" s="9" t="s">
        <v>2949</v>
      </c>
      <c r="B1474" s="9" t="s">
        <v>2950</v>
      </c>
      <c r="C1474" t="str">
        <f t="shared" si="66"/>
        <v>aft</v>
      </c>
      <c r="D1474" t="str">
        <f t="shared" si="67"/>
        <v>Whitc</v>
      </c>
      <c r="E1474" t="str">
        <f t="shared" si="68"/>
        <v>Josh</v>
      </c>
    </row>
    <row r="1475" spans="1:5" ht="15.75" customHeight="1">
      <c r="A1475" s="9" t="s">
        <v>2951</v>
      </c>
      <c r="B1475" s="9" t="s">
        <v>2952</v>
      </c>
      <c r="C1475" t="str">
        <f t="shared" ref="C1475:C1538" si="69">MID(B1475,7,3)</f>
        <v>r,</v>
      </c>
      <c r="D1475" t="str">
        <f t="shared" ref="D1475:D1538" si="70">LEFT(B1475,5)</f>
        <v>Salaz</v>
      </c>
      <c r="E1475" t="str">
        <f t="shared" ref="E1475:E1538" si="71">RIGHT(B1475,5)</f>
        <v>ann A</v>
      </c>
    </row>
    <row r="1476" spans="1:5" ht="15.75" customHeight="1">
      <c r="A1476" s="9" t="s">
        <v>2953</v>
      </c>
      <c r="B1476" s="9" t="s">
        <v>2954</v>
      </c>
      <c r="C1476" t="str">
        <f t="shared" si="69"/>
        <v>Ms.</v>
      </c>
      <c r="D1476" t="str">
        <f t="shared" si="70"/>
        <v>Todd,</v>
      </c>
      <c r="E1476" t="str">
        <f t="shared" si="71"/>
        <v>in M.</v>
      </c>
    </row>
    <row r="1477" spans="1:5" ht="15.75" customHeight="1">
      <c r="A1477" s="9" t="s">
        <v>2955</v>
      </c>
      <c r="B1477" s="9" t="s">
        <v>2956</v>
      </c>
      <c r="C1477" t="str">
        <f t="shared" si="69"/>
        <v>Mr.</v>
      </c>
      <c r="D1477" t="str">
        <f t="shared" si="70"/>
        <v>Pond,</v>
      </c>
      <c r="E1477" t="str">
        <f t="shared" si="71"/>
        <v>yle K</v>
      </c>
    </row>
    <row r="1478" spans="1:5" ht="15.75" customHeight="1">
      <c r="A1478" s="9" t="s">
        <v>2957</v>
      </c>
      <c r="B1478" s="9" t="s">
        <v>2958</v>
      </c>
      <c r="C1478" t="str">
        <f t="shared" si="69"/>
        <v>Ms.</v>
      </c>
      <c r="D1478" t="str">
        <f t="shared" si="70"/>
        <v>Egan,</v>
      </c>
      <c r="E1478" t="str">
        <f t="shared" si="71"/>
        <v>lison</v>
      </c>
    </row>
    <row r="1479" spans="1:5" ht="15.75" customHeight="1">
      <c r="A1479" s="9" t="s">
        <v>2959</v>
      </c>
      <c r="B1479" s="9" t="s">
        <v>2960</v>
      </c>
      <c r="C1479" t="str">
        <f t="shared" si="69"/>
        <v>i,</v>
      </c>
      <c r="D1479" t="str">
        <f t="shared" si="70"/>
        <v>Bersa</v>
      </c>
      <c r="E1479" t="str">
        <f t="shared" si="71"/>
        <v>el A.</v>
      </c>
    </row>
    <row r="1480" spans="1:5" ht="15.75" customHeight="1">
      <c r="A1480" s="9" t="s">
        <v>2961</v>
      </c>
      <c r="B1480" s="9" t="s">
        <v>2962</v>
      </c>
      <c r="C1480" t="str">
        <f t="shared" si="69"/>
        <v>, M</v>
      </c>
      <c r="D1480" t="str">
        <f t="shared" si="70"/>
        <v>Creec</v>
      </c>
      <c r="E1480" t="str">
        <f t="shared" si="71"/>
        <v>ron A</v>
      </c>
    </row>
    <row r="1481" spans="1:5" ht="15.75" customHeight="1">
      <c r="A1481" s="9" t="s">
        <v>2963</v>
      </c>
      <c r="B1481" s="9" t="s">
        <v>2964</v>
      </c>
      <c r="C1481" t="str">
        <f t="shared" si="69"/>
        <v>, M</v>
      </c>
      <c r="D1481" t="str">
        <f t="shared" si="70"/>
        <v>Sudre</v>
      </c>
      <c r="E1481" t="str">
        <f t="shared" si="71"/>
        <v>ine A</v>
      </c>
    </row>
    <row r="1482" spans="1:5" ht="15.75" customHeight="1">
      <c r="A1482" s="9" t="s">
        <v>2965</v>
      </c>
      <c r="B1482" s="9" t="s">
        <v>2966</v>
      </c>
      <c r="C1482" t="str">
        <f t="shared" si="69"/>
        <v>e,</v>
      </c>
      <c r="D1482" t="str">
        <f t="shared" si="70"/>
        <v>Coutu</v>
      </c>
      <c r="E1482" t="str">
        <f t="shared" si="71"/>
        <v>aniel</v>
      </c>
    </row>
    <row r="1483" spans="1:5" ht="15.75" customHeight="1">
      <c r="A1483" s="9" t="s">
        <v>2967</v>
      </c>
      <c r="B1483" s="9" t="s">
        <v>2968</v>
      </c>
      <c r="C1483" t="str">
        <f t="shared" si="69"/>
        <v>d,</v>
      </c>
      <c r="D1483" t="str">
        <f t="shared" si="70"/>
        <v>Willa</v>
      </c>
      <c r="E1483" t="str">
        <f t="shared" si="71"/>
        <v>ay A.</v>
      </c>
    </row>
    <row r="1484" spans="1:5" ht="15.75" customHeight="1">
      <c r="A1484" s="9" t="s">
        <v>2969</v>
      </c>
      <c r="B1484" s="9" t="s">
        <v>2970</v>
      </c>
      <c r="C1484" t="str">
        <f t="shared" si="69"/>
        <v>ick</v>
      </c>
      <c r="D1484" t="str">
        <f t="shared" si="70"/>
        <v>Patro</v>
      </c>
      <c r="E1484" t="str">
        <f t="shared" si="71"/>
        <v>tin R</v>
      </c>
    </row>
    <row r="1485" spans="1:5" ht="15.75" customHeight="1">
      <c r="A1485" s="9" t="s">
        <v>2971</v>
      </c>
      <c r="B1485" s="9" t="s">
        <v>2972</v>
      </c>
      <c r="C1485" t="str">
        <f t="shared" si="69"/>
        <v>ual</v>
      </c>
      <c r="D1485" t="str">
        <f t="shared" si="70"/>
        <v>Depas</v>
      </c>
      <c r="E1485" t="str">
        <f t="shared" si="71"/>
        <v>Casey</v>
      </c>
    </row>
    <row r="1486" spans="1:5" ht="15.75" customHeight="1">
      <c r="A1486" s="9" t="s">
        <v>2973</v>
      </c>
      <c r="B1486" s="9" t="s">
        <v>2974</v>
      </c>
      <c r="C1486" t="str">
        <f t="shared" si="69"/>
        <v>ne,</v>
      </c>
      <c r="D1486" t="str">
        <f t="shared" si="70"/>
        <v>Laver</v>
      </c>
      <c r="E1486" t="str">
        <f t="shared" si="71"/>
        <v>nda L</v>
      </c>
    </row>
    <row r="1487" spans="1:5" ht="15.75" customHeight="1">
      <c r="A1487" s="9" t="s">
        <v>2975</v>
      </c>
      <c r="B1487" s="9" t="s">
        <v>2976</v>
      </c>
      <c r="C1487" t="str">
        <f t="shared" si="69"/>
        <v>mi,</v>
      </c>
      <c r="D1487" t="str">
        <f t="shared" si="70"/>
        <v>Kawak</v>
      </c>
      <c r="E1487" t="str">
        <f t="shared" si="71"/>
        <v>ko N.</v>
      </c>
    </row>
    <row r="1488" spans="1:5" ht="15.75" customHeight="1">
      <c r="A1488" s="9" t="s">
        <v>2977</v>
      </c>
      <c r="B1488" s="9" t="s">
        <v>2978</v>
      </c>
      <c r="C1488" t="str">
        <f t="shared" si="69"/>
        <v>ves</v>
      </c>
      <c r="D1488" t="str">
        <f t="shared" si="70"/>
        <v>Gonsa</v>
      </c>
      <c r="E1488" t="str">
        <f t="shared" si="71"/>
        <v>milee</v>
      </c>
    </row>
    <row r="1489" spans="1:5" ht="15.75" customHeight="1">
      <c r="A1489" s="9" t="s">
        <v>2979</v>
      </c>
      <c r="B1489" s="9" t="s">
        <v>2980</v>
      </c>
      <c r="C1489" t="str">
        <f t="shared" si="69"/>
        <v>Mr.</v>
      </c>
      <c r="D1489" t="str">
        <f t="shared" si="70"/>
        <v>Peck,</v>
      </c>
      <c r="E1489" t="str">
        <f t="shared" si="71"/>
        <v>hen M</v>
      </c>
    </row>
    <row r="1490" spans="1:5" ht="15.75" customHeight="1">
      <c r="A1490" s="9" t="s">
        <v>2981</v>
      </c>
      <c r="B1490" s="9" t="s">
        <v>2982</v>
      </c>
      <c r="C1490" t="str">
        <f t="shared" si="69"/>
        <v>Ms.</v>
      </c>
      <c r="D1490" t="str">
        <f t="shared" si="70"/>
        <v>Aure,</v>
      </c>
      <c r="E1490" t="str">
        <f t="shared" si="71"/>
        <v>rie A</v>
      </c>
    </row>
    <row r="1491" spans="1:5" ht="15.75" customHeight="1">
      <c r="A1491" s="9" t="s">
        <v>2983</v>
      </c>
      <c r="B1491" s="9" t="s">
        <v>2984</v>
      </c>
      <c r="C1491" t="str">
        <f t="shared" si="69"/>
        <v>gly</v>
      </c>
      <c r="D1491" t="str">
        <f t="shared" si="70"/>
        <v>Matti</v>
      </c>
      <c r="E1491" t="str">
        <f t="shared" si="71"/>
        <v>ley R</v>
      </c>
    </row>
    <row r="1492" spans="1:5" ht="15.75" customHeight="1">
      <c r="A1492" s="9" t="s">
        <v>2985</v>
      </c>
      <c r="B1492" s="9" t="s">
        <v>2986</v>
      </c>
      <c r="C1492" t="str">
        <f t="shared" si="69"/>
        <v>lug</v>
      </c>
      <c r="D1492" t="str">
        <f t="shared" si="70"/>
        <v>Stelp</v>
      </c>
      <c r="E1492" t="str">
        <f t="shared" si="71"/>
        <v>lie A</v>
      </c>
    </row>
    <row r="1493" spans="1:5" ht="15.75" customHeight="1">
      <c r="A1493" s="9" t="s">
        <v>2987</v>
      </c>
      <c r="B1493" s="9" t="s">
        <v>2988</v>
      </c>
      <c r="C1493" t="str">
        <f t="shared" si="69"/>
        <v>z A</v>
      </c>
      <c r="D1493" t="str">
        <f t="shared" si="70"/>
        <v>Sanch</v>
      </c>
      <c r="E1493" t="str">
        <f t="shared" si="71"/>
        <v>. Sr.</v>
      </c>
    </row>
    <row r="1494" spans="1:5" ht="15.75" customHeight="1">
      <c r="A1494" s="9" t="s">
        <v>2989</v>
      </c>
      <c r="B1494" s="9" t="s">
        <v>2990</v>
      </c>
      <c r="C1494" t="str">
        <f t="shared" si="69"/>
        <v>, M</v>
      </c>
      <c r="D1494" t="str">
        <f t="shared" si="70"/>
        <v>Condo</v>
      </c>
      <c r="E1494" t="str">
        <f t="shared" si="71"/>
        <v>ieran</v>
      </c>
    </row>
    <row r="1495" spans="1:5" ht="15.75" customHeight="1">
      <c r="A1495" s="9" t="s">
        <v>2991</v>
      </c>
      <c r="B1495" s="9" t="s">
        <v>2992</v>
      </c>
      <c r="C1495" t="str">
        <f t="shared" si="69"/>
        <v>, M</v>
      </c>
      <c r="D1495" t="str">
        <f t="shared" si="70"/>
        <v>Magat</v>
      </c>
      <c r="E1495" t="str">
        <f t="shared" si="71"/>
        <v>eth A</v>
      </c>
    </row>
    <row r="1496" spans="1:5" ht="15.75" customHeight="1">
      <c r="A1496" s="9" t="s">
        <v>2993</v>
      </c>
      <c r="B1496" s="9" t="s">
        <v>2994</v>
      </c>
      <c r="C1496" t="str">
        <f t="shared" si="69"/>
        <v>wsk</v>
      </c>
      <c r="D1496" t="str">
        <f t="shared" si="70"/>
        <v>Dombr</v>
      </c>
      <c r="E1496" t="str">
        <f t="shared" si="71"/>
        <v>ke M.</v>
      </c>
    </row>
    <row r="1497" spans="1:5" ht="15.75" customHeight="1">
      <c r="A1497" s="9" t="s">
        <v>2995</v>
      </c>
      <c r="B1497" s="9" t="s">
        <v>2996</v>
      </c>
      <c r="C1497" t="str">
        <f t="shared" si="69"/>
        <v>Mr</v>
      </c>
      <c r="D1497" t="str">
        <f t="shared" si="70"/>
        <v>Ohara</v>
      </c>
      <c r="E1497" t="str">
        <f t="shared" si="71"/>
        <v>Chip</v>
      </c>
    </row>
    <row r="1498" spans="1:5" ht="15.75" customHeight="1">
      <c r="A1498" s="9" t="s">
        <v>2997</v>
      </c>
      <c r="B1498" s="9" t="s">
        <v>2998</v>
      </c>
      <c r="C1498" t="str">
        <f t="shared" si="69"/>
        <v>tes</v>
      </c>
      <c r="D1498" t="str">
        <f t="shared" si="70"/>
        <v>Cifue</v>
      </c>
      <c r="E1498" t="str">
        <f t="shared" si="71"/>
        <v>l Sr.</v>
      </c>
    </row>
    <row r="1499" spans="1:5" ht="15.75" customHeight="1">
      <c r="A1499" s="9" t="s">
        <v>2999</v>
      </c>
      <c r="B1499" s="9" t="s">
        <v>3000</v>
      </c>
      <c r="C1499" t="str">
        <f t="shared" si="69"/>
        <v>Mr.</v>
      </c>
      <c r="D1499" t="str">
        <f t="shared" si="70"/>
        <v>Keno,</v>
      </c>
      <c r="E1499" t="str">
        <f t="shared" si="71"/>
        <v>Brian</v>
      </c>
    </row>
    <row r="1500" spans="1:5" ht="15.75" customHeight="1">
      <c r="A1500" s="9" t="s">
        <v>3001</v>
      </c>
      <c r="B1500" s="9" t="s">
        <v>3002</v>
      </c>
      <c r="C1500" t="str">
        <f t="shared" si="69"/>
        <v>Ms</v>
      </c>
      <c r="D1500" t="str">
        <f t="shared" si="70"/>
        <v>Bruce</v>
      </c>
      <c r="E1500" t="str">
        <f t="shared" si="71"/>
        <v>eghan</v>
      </c>
    </row>
    <row r="1501" spans="1:5" ht="15.75" customHeight="1">
      <c r="A1501" s="9" t="s">
        <v>3003</v>
      </c>
      <c r="B1501" s="9" t="s">
        <v>3004</v>
      </c>
      <c r="C1501" t="str">
        <f t="shared" si="69"/>
        <v>Ms</v>
      </c>
      <c r="D1501" t="str">
        <f t="shared" si="70"/>
        <v>Lorch</v>
      </c>
      <c r="E1501" t="str">
        <f t="shared" si="71"/>
        <v>th L.</v>
      </c>
    </row>
    <row r="1502" spans="1:5" ht="15.75" customHeight="1">
      <c r="A1502" s="9" t="s">
        <v>3005</v>
      </c>
      <c r="B1502" s="9" t="s">
        <v>3006</v>
      </c>
      <c r="C1502" t="str">
        <f t="shared" si="69"/>
        <v>an,</v>
      </c>
      <c r="D1502" t="str">
        <f t="shared" si="70"/>
        <v>Sulli</v>
      </c>
      <c r="E1502" t="str">
        <f t="shared" si="71"/>
        <v>ent M</v>
      </c>
    </row>
    <row r="1503" spans="1:5" ht="15.75" customHeight="1">
      <c r="A1503" s="9" t="s">
        <v>3007</v>
      </c>
      <c r="B1503" s="9" t="s">
        <v>3008</v>
      </c>
      <c r="C1503" t="str">
        <f t="shared" si="69"/>
        <v>Ms.</v>
      </c>
      <c r="D1503" t="str">
        <f t="shared" si="70"/>
        <v>Cave,</v>
      </c>
      <c r="E1503" t="str">
        <f t="shared" si="71"/>
        <v>hleen</v>
      </c>
    </row>
    <row r="1504" spans="1:5" ht="15.75" customHeight="1">
      <c r="A1504" s="9" t="s">
        <v>3009</v>
      </c>
      <c r="B1504" s="9" t="s">
        <v>3010</v>
      </c>
      <c r="C1504" t="str">
        <f t="shared" si="69"/>
        <v>auf</v>
      </c>
      <c r="D1504" t="str">
        <f t="shared" si="70"/>
        <v>Guden</v>
      </c>
      <c r="E1504" t="str">
        <f t="shared" si="71"/>
        <v>rly K</v>
      </c>
    </row>
    <row r="1505" spans="1:5" ht="15.75" customHeight="1">
      <c r="A1505" s="9" t="s">
        <v>3011</v>
      </c>
      <c r="B1505" s="9" t="s">
        <v>3012</v>
      </c>
      <c r="C1505" t="str">
        <f t="shared" si="69"/>
        <v>, M</v>
      </c>
      <c r="D1505" t="str">
        <f t="shared" si="70"/>
        <v>Thoma</v>
      </c>
      <c r="E1505" t="str">
        <f t="shared" si="71"/>
        <v>tin C</v>
      </c>
    </row>
    <row r="1506" spans="1:5" ht="15.75" customHeight="1">
      <c r="A1506" s="9" t="s">
        <v>3013</v>
      </c>
      <c r="B1506" s="9" t="s">
        <v>3014</v>
      </c>
      <c r="C1506" t="str">
        <f t="shared" si="69"/>
        <v>, M</v>
      </c>
      <c r="D1506" t="str">
        <f t="shared" si="70"/>
        <v>Holle</v>
      </c>
      <c r="E1506" t="str">
        <f t="shared" si="71"/>
        <v>an P.</v>
      </c>
    </row>
    <row r="1507" spans="1:5" ht="15.75" customHeight="1">
      <c r="A1507" s="9" t="s">
        <v>3015</v>
      </c>
      <c r="B1507" s="9" t="s">
        <v>3016</v>
      </c>
      <c r="C1507" t="str">
        <f t="shared" si="69"/>
        <v>, M</v>
      </c>
      <c r="D1507" t="str">
        <f t="shared" si="70"/>
        <v>Kembl</v>
      </c>
      <c r="E1507" t="str">
        <f t="shared" si="71"/>
        <v>aci A</v>
      </c>
    </row>
    <row r="1508" spans="1:5" ht="15.75" customHeight="1">
      <c r="A1508" s="9" t="s">
        <v>3017</v>
      </c>
      <c r="B1508" s="9" t="s">
        <v>3018</v>
      </c>
      <c r="C1508" t="str">
        <f t="shared" si="69"/>
        <v>y,</v>
      </c>
      <c r="D1508" t="str">
        <f t="shared" si="70"/>
        <v>Bentl</v>
      </c>
      <c r="E1508" t="str">
        <f t="shared" si="71"/>
        <v>tin P</v>
      </c>
    </row>
    <row r="1509" spans="1:5" ht="15.75" customHeight="1">
      <c r="A1509" s="9" t="s">
        <v>3019</v>
      </c>
      <c r="B1509" s="9" t="s">
        <v>3020</v>
      </c>
      <c r="C1509" t="str">
        <f t="shared" si="69"/>
        <v>Mr</v>
      </c>
      <c r="D1509" t="str">
        <f t="shared" si="70"/>
        <v>Jones</v>
      </c>
      <c r="E1509" t="str">
        <f t="shared" si="71"/>
        <v>gan M</v>
      </c>
    </row>
    <row r="1510" spans="1:5" ht="15.75" customHeight="1">
      <c r="A1510" s="9" t="s">
        <v>3021</v>
      </c>
      <c r="B1510" s="9" t="s">
        <v>3022</v>
      </c>
      <c r="C1510" t="str">
        <f t="shared" si="69"/>
        <v>ay,</v>
      </c>
      <c r="D1510" t="str">
        <f t="shared" si="70"/>
        <v>Tremb</v>
      </c>
      <c r="E1510" t="str">
        <f t="shared" si="71"/>
        <v>stien</v>
      </c>
    </row>
    <row r="1511" spans="1:5" ht="15.75" customHeight="1">
      <c r="A1511" s="9" t="s">
        <v>3023</v>
      </c>
      <c r="B1511" s="9" t="s">
        <v>3024</v>
      </c>
      <c r="C1511" t="str">
        <f t="shared" si="69"/>
        <v>ci,</v>
      </c>
      <c r="D1511" t="str">
        <f t="shared" si="70"/>
        <v>Bellu</v>
      </c>
      <c r="E1511" t="str">
        <f t="shared" si="71"/>
        <v>any A</v>
      </c>
    </row>
    <row r="1512" spans="1:5" ht="15.75" customHeight="1">
      <c r="A1512" s="9" t="s">
        <v>3025</v>
      </c>
      <c r="B1512" s="9" t="s">
        <v>3026</v>
      </c>
      <c r="C1512" t="str">
        <f t="shared" si="69"/>
        <v>s,</v>
      </c>
      <c r="D1512" t="str">
        <f t="shared" si="70"/>
        <v>Colli</v>
      </c>
      <c r="E1512" t="str">
        <f t="shared" si="71"/>
        <v>tthew</v>
      </c>
    </row>
    <row r="1513" spans="1:5" ht="15.75" customHeight="1">
      <c r="A1513" s="9" t="s">
        <v>3027</v>
      </c>
      <c r="B1513" s="9" t="s">
        <v>3028</v>
      </c>
      <c r="C1513" t="str">
        <f t="shared" si="69"/>
        <v>n,</v>
      </c>
      <c r="D1513" t="str">
        <f t="shared" si="70"/>
        <v>Gillm</v>
      </c>
      <c r="E1513" t="str">
        <f t="shared" si="71"/>
        <v>Luke</v>
      </c>
    </row>
    <row r="1514" spans="1:5" ht="15.75" customHeight="1">
      <c r="A1514" s="9" t="s">
        <v>3029</v>
      </c>
      <c r="B1514" s="9" t="s">
        <v>3030</v>
      </c>
      <c r="C1514" t="str">
        <f t="shared" si="69"/>
        <v>Ms.</v>
      </c>
      <c r="D1514" t="str">
        <f t="shared" si="70"/>
        <v>West,</v>
      </c>
      <c r="E1514" t="str">
        <f t="shared" si="71"/>
        <v>Leigh</v>
      </c>
    </row>
    <row r="1515" spans="1:5" ht="15.75" customHeight="1">
      <c r="A1515" s="9" t="s">
        <v>3031</v>
      </c>
      <c r="B1515" s="9" t="s">
        <v>3032</v>
      </c>
      <c r="C1515" t="str">
        <f t="shared" si="69"/>
        <v>Mr</v>
      </c>
      <c r="D1515" t="str">
        <f t="shared" si="70"/>
        <v>Chida</v>
      </c>
      <c r="E1515" t="str">
        <f t="shared" si="71"/>
        <v>osuke</v>
      </c>
    </row>
    <row r="1516" spans="1:5" ht="15.75" customHeight="1">
      <c r="A1516" s="9" t="s">
        <v>3033</v>
      </c>
      <c r="B1516" s="9" t="s">
        <v>3034</v>
      </c>
      <c r="C1516" t="str">
        <f t="shared" si="69"/>
        <v>aue</v>
      </c>
      <c r="D1516" t="str">
        <f t="shared" si="70"/>
        <v>Reise</v>
      </c>
      <c r="E1516" t="str">
        <f t="shared" si="71"/>
        <v>tthew</v>
      </c>
    </row>
    <row r="1517" spans="1:5" ht="15.75" customHeight="1">
      <c r="A1517" s="9" t="s">
        <v>3035</v>
      </c>
      <c r="B1517" s="9" t="s">
        <v>3036</v>
      </c>
      <c r="C1517" t="str">
        <f t="shared" si="69"/>
        <v>erg</v>
      </c>
      <c r="D1517" t="str">
        <f t="shared" si="70"/>
        <v>Rosen</v>
      </c>
      <c r="E1517" t="str">
        <f t="shared" si="71"/>
        <v>Jacob</v>
      </c>
    </row>
    <row r="1518" spans="1:5" ht="15.75" customHeight="1">
      <c r="A1518" s="9" t="s">
        <v>3037</v>
      </c>
      <c r="B1518" s="9" t="s">
        <v>3038</v>
      </c>
      <c r="C1518" t="str">
        <f t="shared" si="69"/>
        <v>ult</v>
      </c>
      <c r="D1518" t="str">
        <f t="shared" si="70"/>
        <v>Theri</v>
      </c>
      <c r="E1518" t="str">
        <f t="shared" si="71"/>
        <v>Jodi</v>
      </c>
    </row>
    <row r="1519" spans="1:5" ht="15.75" customHeight="1">
      <c r="A1519" s="9" t="s">
        <v>3039</v>
      </c>
      <c r="B1519" s="9" t="s">
        <v>3040</v>
      </c>
      <c r="C1519" t="str">
        <f t="shared" si="69"/>
        <v>, M</v>
      </c>
      <c r="D1519" t="str">
        <f t="shared" si="70"/>
        <v>Manue</v>
      </c>
      <c r="E1519" t="str">
        <f t="shared" si="71"/>
        <v>auren</v>
      </c>
    </row>
    <row r="1520" spans="1:5" ht="15.75" customHeight="1">
      <c r="A1520" s="9" t="s">
        <v>3041</v>
      </c>
      <c r="B1520" s="9" t="s">
        <v>3042</v>
      </c>
      <c r="C1520" t="str">
        <f t="shared" si="69"/>
        <v>Ms</v>
      </c>
      <c r="D1520" t="str">
        <f t="shared" si="70"/>
        <v>Demko</v>
      </c>
      <c r="E1520" t="str">
        <f t="shared" si="71"/>
        <v>sti C</v>
      </c>
    </row>
    <row r="1521" spans="1:5" ht="15.75" customHeight="1">
      <c r="A1521" s="9" t="s">
        <v>3043</v>
      </c>
      <c r="B1521" s="9" t="s">
        <v>3044</v>
      </c>
      <c r="C1521" t="str">
        <f t="shared" si="69"/>
        <v>lia</v>
      </c>
      <c r="D1521" t="str">
        <f t="shared" si="70"/>
        <v>Batta</v>
      </c>
      <c r="E1521" t="str">
        <f t="shared" si="71"/>
        <v>ela J</v>
      </c>
    </row>
    <row r="1522" spans="1:5" ht="15.75" customHeight="1">
      <c r="A1522" s="9" t="s">
        <v>3045</v>
      </c>
      <c r="B1522" s="9" t="s">
        <v>3046</v>
      </c>
      <c r="C1522" t="str">
        <f t="shared" si="69"/>
        <v>Mr</v>
      </c>
      <c r="D1522" t="str">
        <f t="shared" si="70"/>
        <v>Follo</v>
      </c>
      <c r="E1522" t="str">
        <f t="shared" si="71"/>
        <v>an D.</v>
      </c>
    </row>
    <row r="1523" spans="1:5" ht="15.75" customHeight="1">
      <c r="A1523" s="9" t="s">
        <v>3047</v>
      </c>
      <c r="B1523" s="9" t="s">
        <v>3048</v>
      </c>
      <c r="C1523" t="str">
        <f t="shared" si="69"/>
        <v>, M</v>
      </c>
      <c r="D1523" t="str">
        <f t="shared" si="70"/>
        <v>Baran</v>
      </c>
      <c r="E1523" t="str">
        <f t="shared" si="71"/>
        <v>toria</v>
      </c>
    </row>
    <row r="1524" spans="1:5" ht="15.75" customHeight="1">
      <c r="A1524" s="9" t="s">
        <v>3049</v>
      </c>
      <c r="B1524" s="9" t="s">
        <v>3050</v>
      </c>
      <c r="C1524" t="str">
        <f t="shared" si="69"/>
        <v>t,</v>
      </c>
      <c r="D1524" t="str">
        <f t="shared" si="70"/>
        <v>Lysag</v>
      </c>
      <c r="E1524" t="str">
        <f t="shared" si="71"/>
        <v>an R.</v>
      </c>
    </row>
    <row r="1525" spans="1:5" ht="15.75" customHeight="1">
      <c r="A1525" s="9" t="s">
        <v>3051</v>
      </c>
      <c r="B1525" s="9" t="s">
        <v>3052</v>
      </c>
      <c r="C1525" t="str">
        <f t="shared" si="69"/>
        <v>rs,</v>
      </c>
      <c r="D1525" t="str">
        <f t="shared" si="70"/>
        <v>Chalm</v>
      </c>
      <c r="E1525" t="str">
        <f t="shared" si="71"/>
        <v>ndrew</v>
      </c>
    </row>
    <row r="1526" spans="1:5" ht="15.75" customHeight="1">
      <c r="A1526" s="9" t="s">
        <v>3053</v>
      </c>
      <c r="B1526" s="9" t="s">
        <v>3054</v>
      </c>
      <c r="C1526" t="str">
        <f t="shared" si="69"/>
        <v>ppi</v>
      </c>
      <c r="D1526" t="str">
        <f t="shared" si="70"/>
        <v>Phill</v>
      </c>
      <c r="E1526" t="str">
        <f t="shared" si="71"/>
        <v>on A.</v>
      </c>
    </row>
    <row r="1527" spans="1:5" ht="15.75" customHeight="1">
      <c r="A1527" s="9" t="s">
        <v>3055</v>
      </c>
      <c r="B1527" s="9" t="s">
        <v>3056</v>
      </c>
      <c r="C1527" t="str">
        <f t="shared" si="69"/>
        <v>rso</v>
      </c>
      <c r="D1527" t="str">
        <f t="shared" si="70"/>
        <v>MacPh</v>
      </c>
      <c r="E1527" t="str">
        <f t="shared" si="71"/>
        <v>achel</v>
      </c>
    </row>
    <row r="1528" spans="1:5" ht="15.75" customHeight="1">
      <c r="A1528" s="9" t="s">
        <v>3057</v>
      </c>
      <c r="B1528" s="9" t="s">
        <v>3058</v>
      </c>
      <c r="C1528" t="str">
        <f t="shared" si="69"/>
        <v>io,</v>
      </c>
      <c r="D1528" t="str">
        <f t="shared" si="70"/>
        <v>Delfi</v>
      </c>
      <c r="E1528" t="str">
        <f t="shared" si="71"/>
        <v>Susan</v>
      </c>
    </row>
    <row r="1529" spans="1:5" ht="15.75" customHeight="1">
      <c r="A1529" s="9" t="s">
        <v>3059</v>
      </c>
      <c r="B1529" s="9" t="s">
        <v>3060</v>
      </c>
      <c r="C1529" t="str">
        <f t="shared" si="69"/>
        <v>gs,</v>
      </c>
      <c r="D1529" t="str">
        <f t="shared" si="70"/>
        <v>Cummi</v>
      </c>
      <c r="E1529" t="str">
        <f t="shared" si="71"/>
        <v>on M.</v>
      </c>
    </row>
    <row r="1530" spans="1:5" ht="15.75" customHeight="1">
      <c r="A1530" s="9" t="s">
        <v>3061</v>
      </c>
      <c r="B1530" s="9" t="s">
        <v>3062</v>
      </c>
      <c r="C1530" t="str">
        <f t="shared" si="69"/>
        <v>gel</v>
      </c>
      <c r="D1530" t="str">
        <f t="shared" si="70"/>
        <v>Schro</v>
      </c>
      <c r="E1530" t="str">
        <f t="shared" si="71"/>
        <v>ia A.</v>
      </c>
    </row>
    <row r="1531" spans="1:5" ht="15.75" customHeight="1">
      <c r="A1531" s="9" t="s">
        <v>3063</v>
      </c>
      <c r="B1531" s="9" t="s">
        <v>3064</v>
      </c>
      <c r="C1531" t="str">
        <f t="shared" si="69"/>
        <v>ms,</v>
      </c>
      <c r="D1531" t="str">
        <f t="shared" si="70"/>
        <v>Willi</v>
      </c>
      <c r="E1531" t="str">
        <f t="shared" si="71"/>
        <v>Kate</v>
      </c>
    </row>
    <row r="1532" spans="1:5" ht="15.75" customHeight="1">
      <c r="A1532" s="9" t="s">
        <v>3065</v>
      </c>
      <c r="B1532" s="9" t="s">
        <v>3066</v>
      </c>
      <c r="C1532" t="str">
        <f t="shared" si="69"/>
        <v>Ms</v>
      </c>
      <c r="D1532" t="str">
        <f t="shared" si="70"/>
        <v>Casey</v>
      </c>
      <c r="E1532" t="str">
        <f t="shared" si="71"/>
        <v>le M.</v>
      </c>
    </row>
    <row r="1533" spans="1:5" ht="15.75" customHeight="1">
      <c r="A1533" s="9" t="s">
        <v>3067</v>
      </c>
      <c r="B1533" s="9" t="s">
        <v>3068</v>
      </c>
      <c r="C1533" t="str">
        <f t="shared" si="69"/>
        <v>l,</v>
      </c>
      <c r="D1533" t="str">
        <f t="shared" si="70"/>
        <v>Randa</v>
      </c>
      <c r="E1533" t="str">
        <f t="shared" si="71"/>
        <v>Jack</v>
      </c>
    </row>
    <row r="1534" spans="1:5" ht="15.75" customHeight="1">
      <c r="A1534" s="9" t="s">
        <v>3069</v>
      </c>
      <c r="B1534" s="9" t="s">
        <v>3070</v>
      </c>
      <c r="C1534" t="str">
        <f t="shared" si="69"/>
        <v>Mr</v>
      </c>
      <c r="D1534" t="str">
        <f t="shared" si="70"/>
        <v>Doyon</v>
      </c>
      <c r="E1534" t="str">
        <f t="shared" si="71"/>
        <v>egory</v>
      </c>
    </row>
    <row r="1535" spans="1:5" ht="15.75" customHeight="1">
      <c r="A1535" s="9" t="s">
        <v>3071</v>
      </c>
      <c r="B1535" s="9" t="s">
        <v>3072</v>
      </c>
      <c r="C1535" t="str">
        <f t="shared" si="69"/>
        <v>, M</v>
      </c>
      <c r="D1535" t="str">
        <f t="shared" si="70"/>
        <v>Sanke</v>
      </c>
      <c r="E1535" t="str">
        <f t="shared" si="71"/>
        <v>becca</v>
      </c>
    </row>
    <row r="1536" spans="1:5" ht="15.75" customHeight="1">
      <c r="A1536" s="9" t="s">
        <v>3073</v>
      </c>
      <c r="B1536" s="9" t="s">
        <v>3074</v>
      </c>
      <c r="C1536" t="str">
        <f t="shared" si="69"/>
        <v>nba</v>
      </c>
      <c r="D1536" t="str">
        <f t="shared" si="70"/>
        <v>Stilg</v>
      </c>
      <c r="E1536" t="str">
        <f t="shared" si="71"/>
        <v>Adam</v>
      </c>
    </row>
    <row r="1537" spans="1:5" ht="15.75" customHeight="1">
      <c r="A1537" s="9" t="s">
        <v>3075</v>
      </c>
      <c r="B1537" s="9" t="s">
        <v>3076</v>
      </c>
      <c r="C1537" t="str">
        <f t="shared" si="69"/>
        <v>wic</v>
      </c>
      <c r="D1537" t="str">
        <f t="shared" si="70"/>
        <v>Jaski</v>
      </c>
      <c r="E1537" t="str">
        <f t="shared" si="71"/>
        <v>Ryan</v>
      </c>
    </row>
    <row r="1538" spans="1:5" ht="15.75" customHeight="1">
      <c r="A1538" s="9" t="s">
        <v>3077</v>
      </c>
      <c r="B1538" s="9" t="s">
        <v>3078</v>
      </c>
      <c r="C1538" t="str">
        <f t="shared" si="69"/>
        <v>, M</v>
      </c>
      <c r="D1538" t="str">
        <f t="shared" si="70"/>
        <v>Deppe</v>
      </c>
      <c r="E1538" t="str">
        <f t="shared" si="71"/>
        <v>ie K.</v>
      </c>
    </row>
    <row r="1539" spans="1:5" ht="15.75" customHeight="1">
      <c r="A1539" s="9" t="s">
        <v>3079</v>
      </c>
      <c r="B1539" s="9" t="s">
        <v>3080</v>
      </c>
      <c r="C1539" t="str">
        <f t="shared" ref="C1539:C1602" si="72">MID(B1539,7,3)</f>
        <v>Mr.</v>
      </c>
      <c r="D1539" t="str">
        <f t="shared" ref="D1539:D1602" si="73">LEFT(B1539,5)</f>
        <v>Hine,</v>
      </c>
      <c r="E1539" t="str">
        <f t="shared" ref="E1539:E1602" si="74">RIGHT(B1539,5)</f>
        <v>Chris</v>
      </c>
    </row>
    <row r="1540" spans="1:5" ht="15.75" customHeight="1">
      <c r="A1540" s="9" t="s">
        <v>3081</v>
      </c>
      <c r="B1540" s="9" t="s">
        <v>3082</v>
      </c>
      <c r="C1540" t="str">
        <f t="shared" si="72"/>
        <v>s,</v>
      </c>
      <c r="D1540" t="str">
        <f t="shared" si="73"/>
        <v>Mathe</v>
      </c>
      <c r="E1540" t="str">
        <f t="shared" si="74"/>
        <v>ler C</v>
      </c>
    </row>
    <row r="1541" spans="1:5" ht="15.75" customHeight="1">
      <c r="A1541" s="9" t="s">
        <v>3083</v>
      </c>
      <c r="B1541" s="9" t="s">
        <v>3084</v>
      </c>
      <c r="C1541" t="str">
        <f t="shared" si="72"/>
        <v>Ms.</v>
      </c>
      <c r="D1541" t="str">
        <f t="shared" si="73"/>
        <v>Yabu,</v>
      </c>
      <c r="E1541" t="str">
        <f t="shared" si="74"/>
        <v>oshie</v>
      </c>
    </row>
    <row r="1542" spans="1:5" ht="15.75" customHeight="1">
      <c r="A1542" s="9" t="s">
        <v>3085</v>
      </c>
      <c r="B1542" s="9" t="s">
        <v>3086</v>
      </c>
      <c r="C1542" t="str">
        <f t="shared" si="72"/>
        <v>, M</v>
      </c>
      <c r="D1542" t="str">
        <f t="shared" si="73"/>
        <v>Stran</v>
      </c>
      <c r="E1542" t="str">
        <f t="shared" si="74"/>
        <v>ren A</v>
      </c>
    </row>
    <row r="1543" spans="1:5" ht="15.75" customHeight="1">
      <c r="A1543" s="9" t="s">
        <v>3087</v>
      </c>
      <c r="B1543" s="9" t="s">
        <v>3088</v>
      </c>
      <c r="C1543" t="str">
        <f t="shared" si="72"/>
        <v>Mr</v>
      </c>
      <c r="D1543" t="str">
        <f t="shared" si="73"/>
        <v>Frank</v>
      </c>
      <c r="E1543" t="str">
        <f t="shared" si="74"/>
        <v>on D.</v>
      </c>
    </row>
    <row r="1544" spans="1:5" ht="15.75" customHeight="1">
      <c r="A1544" s="9" t="s">
        <v>3089</v>
      </c>
      <c r="B1544" s="9" t="s">
        <v>3090</v>
      </c>
      <c r="C1544" t="str">
        <f t="shared" si="72"/>
        <v>y,</v>
      </c>
      <c r="D1544" t="str">
        <f t="shared" si="73"/>
        <v>Shanl</v>
      </c>
      <c r="E1544" t="str">
        <f t="shared" si="74"/>
        <v>Ryan</v>
      </c>
    </row>
    <row r="1545" spans="1:5" ht="15.75" customHeight="1">
      <c r="A1545" s="9" t="s">
        <v>3091</v>
      </c>
      <c r="B1545" s="9" t="s">
        <v>3092</v>
      </c>
      <c r="C1545" t="str">
        <f t="shared" si="72"/>
        <v>o G</v>
      </c>
      <c r="D1545" t="str">
        <f t="shared" si="73"/>
        <v>Mance</v>
      </c>
      <c r="E1545" t="str">
        <f t="shared" si="74"/>
        <v>rturo</v>
      </c>
    </row>
    <row r="1546" spans="1:5" ht="15.75" customHeight="1">
      <c r="A1546" s="9" t="s">
        <v>3093</v>
      </c>
      <c r="B1546" s="9" t="s">
        <v>3094</v>
      </c>
      <c r="C1546" t="str">
        <f t="shared" si="72"/>
        <v>, M</v>
      </c>
      <c r="D1546" t="str">
        <f t="shared" si="73"/>
        <v>Keeha</v>
      </c>
      <c r="E1546" t="str">
        <f t="shared" si="74"/>
        <v>Jake</v>
      </c>
    </row>
    <row r="1547" spans="1:5" ht="15.75" customHeight="1">
      <c r="A1547" s="9" t="s">
        <v>3095</v>
      </c>
      <c r="B1547" s="9" t="s">
        <v>3096</v>
      </c>
      <c r="C1547" t="str">
        <f t="shared" si="72"/>
        <v>y,</v>
      </c>
      <c r="D1547" t="str">
        <f t="shared" si="73"/>
        <v>Mahan</v>
      </c>
      <c r="E1547" t="str">
        <f t="shared" si="74"/>
        <v>rah E</v>
      </c>
    </row>
    <row r="1548" spans="1:5" ht="15.75" customHeight="1">
      <c r="A1548" s="9" t="s">
        <v>3097</v>
      </c>
      <c r="B1548" s="9" t="s">
        <v>3098</v>
      </c>
      <c r="C1548" t="str">
        <f t="shared" si="72"/>
        <v>Ms</v>
      </c>
      <c r="D1548" t="str">
        <f t="shared" si="73"/>
        <v>Nolan</v>
      </c>
      <c r="E1548" t="str">
        <f t="shared" si="74"/>
        <v>on L.</v>
      </c>
    </row>
    <row r="1549" spans="1:5" ht="15.75" customHeight="1">
      <c r="A1549" s="9" t="s">
        <v>3099</v>
      </c>
      <c r="B1549" s="9" t="s">
        <v>3100</v>
      </c>
      <c r="C1549" t="str">
        <f t="shared" si="72"/>
        <v>o,</v>
      </c>
      <c r="D1549" t="str">
        <f t="shared" si="73"/>
        <v>Sobri</v>
      </c>
      <c r="E1549" t="str">
        <f t="shared" si="74"/>
        <v>en A.</v>
      </c>
    </row>
    <row r="1550" spans="1:5" ht="15.75" customHeight="1">
      <c r="A1550" s="9" t="s">
        <v>3101</v>
      </c>
      <c r="B1550" s="9" t="s">
        <v>3102</v>
      </c>
      <c r="C1550" t="str">
        <f t="shared" si="72"/>
        <v>o,</v>
      </c>
      <c r="D1550" t="str">
        <f t="shared" si="73"/>
        <v>Genna</v>
      </c>
      <c r="E1550" t="str">
        <f t="shared" si="74"/>
        <v>. Jr.</v>
      </c>
    </row>
    <row r="1551" spans="1:5" ht="15.75" customHeight="1">
      <c r="A1551" s="9" t="s">
        <v>3103</v>
      </c>
      <c r="B1551" s="9" t="s">
        <v>3104</v>
      </c>
      <c r="C1551" t="str">
        <f t="shared" si="72"/>
        <v>Ms</v>
      </c>
      <c r="D1551" t="str">
        <f t="shared" si="73"/>
        <v>Mayer</v>
      </c>
      <c r="E1551" t="str">
        <f t="shared" si="74"/>
        <v>ie W.</v>
      </c>
    </row>
    <row r="1552" spans="1:5" ht="15.75" customHeight="1">
      <c r="A1552" s="9" t="s">
        <v>3105</v>
      </c>
      <c r="B1552" s="9" t="s">
        <v>3106</v>
      </c>
      <c r="C1552" t="str">
        <f t="shared" si="72"/>
        <v>, M</v>
      </c>
      <c r="D1552" t="str">
        <f t="shared" si="73"/>
        <v>Becke</v>
      </c>
      <c r="E1552" t="str">
        <f t="shared" si="74"/>
        <v>Ezra</v>
      </c>
    </row>
    <row r="1553" spans="1:5" ht="15.75" customHeight="1">
      <c r="A1553" s="9" t="s">
        <v>3107</v>
      </c>
      <c r="B1553" s="9" t="s">
        <v>3108</v>
      </c>
      <c r="C1553" t="str">
        <f t="shared" si="72"/>
        <v>Mr</v>
      </c>
      <c r="D1553" t="str">
        <f t="shared" si="73"/>
        <v>Moore</v>
      </c>
      <c r="E1553" t="str">
        <f t="shared" si="74"/>
        <v>Jim</v>
      </c>
    </row>
    <row r="1554" spans="1:5" ht="15.75" customHeight="1">
      <c r="A1554" s="9" t="s">
        <v>3109</v>
      </c>
      <c r="B1554" s="9" t="s">
        <v>3110</v>
      </c>
      <c r="C1554" t="str">
        <f t="shared" si="72"/>
        <v>Mr</v>
      </c>
      <c r="D1554" t="str">
        <f t="shared" si="73"/>
        <v>Platt</v>
      </c>
      <c r="E1554" t="str">
        <f t="shared" si="74"/>
        <v>ri L.</v>
      </c>
    </row>
    <row r="1555" spans="1:5" ht="15.75" customHeight="1">
      <c r="A1555" s="9" t="s">
        <v>3111</v>
      </c>
      <c r="B1555" s="9" t="s">
        <v>3112</v>
      </c>
      <c r="C1555" t="str">
        <f t="shared" si="72"/>
        <v>r,</v>
      </c>
      <c r="D1555" t="str">
        <f t="shared" si="73"/>
        <v>Brode</v>
      </c>
      <c r="E1555" t="str">
        <f t="shared" si="74"/>
        <v>Fanny</v>
      </c>
    </row>
    <row r="1556" spans="1:5" ht="15.75" customHeight="1">
      <c r="A1556" s="9" t="s">
        <v>3113</v>
      </c>
      <c r="B1556" s="9" t="s">
        <v>3114</v>
      </c>
      <c r="C1556" t="str">
        <f t="shared" si="72"/>
        <v>Pe</v>
      </c>
      <c r="D1556" t="str">
        <f t="shared" si="73"/>
        <v>Knigh</v>
      </c>
      <c r="E1556" t="str">
        <f t="shared" si="74"/>
        <v>ather</v>
      </c>
    </row>
    <row r="1557" spans="1:5" ht="15.75" customHeight="1">
      <c r="A1557" s="9" t="s">
        <v>3115</v>
      </c>
      <c r="B1557" s="9" t="s">
        <v>3116</v>
      </c>
      <c r="C1557" t="str">
        <f t="shared" si="72"/>
        <v>r,</v>
      </c>
      <c r="D1557" t="str">
        <f t="shared" si="73"/>
        <v>Richt</v>
      </c>
      <c r="E1557" t="str">
        <f t="shared" si="74"/>
        <v>. Sr.</v>
      </c>
    </row>
    <row r="1558" spans="1:5" ht="15.75" customHeight="1">
      <c r="A1558" s="9" t="s">
        <v>3117</v>
      </c>
      <c r="B1558" s="9" t="s">
        <v>3118</v>
      </c>
      <c r="C1558" t="str">
        <f t="shared" si="72"/>
        <v>ki,</v>
      </c>
      <c r="D1558" t="str">
        <f t="shared" si="73"/>
        <v>Jubin</v>
      </c>
      <c r="E1558" t="str">
        <f t="shared" si="74"/>
        <v>ine A</v>
      </c>
    </row>
    <row r="1559" spans="1:5" ht="15.75" customHeight="1">
      <c r="A1559" s="9" t="s">
        <v>3119</v>
      </c>
      <c r="B1559" s="9" t="s">
        <v>3120</v>
      </c>
      <c r="C1559" t="str">
        <f t="shared" si="72"/>
        <v>Ms.</v>
      </c>
      <c r="D1559" t="str">
        <f t="shared" si="73"/>
        <v>Wall,</v>
      </c>
      <c r="E1559" t="str">
        <f t="shared" si="74"/>
        <v>lly A</v>
      </c>
    </row>
    <row r="1560" spans="1:5" ht="15.75" customHeight="1">
      <c r="A1560" s="9" t="s">
        <v>3121</v>
      </c>
      <c r="B1560" s="9" t="s">
        <v>3122</v>
      </c>
      <c r="C1560" t="str">
        <f t="shared" si="72"/>
        <v>Ms</v>
      </c>
      <c r="D1560" t="str">
        <f t="shared" si="73"/>
        <v>McKay</v>
      </c>
      <c r="E1560" t="str">
        <f t="shared" si="74"/>
        <v>el N.</v>
      </c>
    </row>
    <row r="1561" spans="1:5" ht="15.75" customHeight="1">
      <c r="A1561" s="9" t="s">
        <v>3123</v>
      </c>
      <c r="B1561" s="9" t="s">
        <v>3124</v>
      </c>
      <c r="C1561" t="str">
        <f t="shared" si="72"/>
        <v>.</v>
      </c>
      <c r="D1561" t="str">
        <f t="shared" si="73"/>
        <v>Oh, M</v>
      </c>
      <c r="E1561" t="str">
        <f t="shared" si="74"/>
        <v>n Kai</v>
      </c>
    </row>
    <row r="1562" spans="1:5" ht="15.75" customHeight="1">
      <c r="A1562" s="9" t="s">
        <v>3125</v>
      </c>
      <c r="B1562" s="9" t="s">
        <v>3126</v>
      </c>
      <c r="C1562" t="str">
        <f t="shared" si="72"/>
        <v>l,</v>
      </c>
      <c r="D1562" t="str">
        <f t="shared" si="73"/>
        <v>Kesse</v>
      </c>
      <c r="E1562" t="str">
        <f t="shared" si="74"/>
        <v>ry R.</v>
      </c>
    </row>
    <row r="1563" spans="1:5" ht="15.75" customHeight="1">
      <c r="A1563" s="9" t="s">
        <v>3127</v>
      </c>
      <c r="B1563" s="9" t="s">
        <v>3128</v>
      </c>
      <c r="C1563" t="str">
        <f t="shared" si="72"/>
        <v>o Z</v>
      </c>
      <c r="D1563" t="str">
        <f t="shared" si="73"/>
        <v>Hidal</v>
      </c>
      <c r="E1563" t="str">
        <f t="shared" si="74"/>
        <v>o Sr.</v>
      </c>
    </row>
    <row r="1564" spans="1:5" ht="15.75" customHeight="1">
      <c r="A1564" s="9" t="s">
        <v>3129</v>
      </c>
      <c r="B1564" s="9" t="s">
        <v>3130</v>
      </c>
      <c r="C1564" t="str">
        <f t="shared" si="72"/>
        <v>io,</v>
      </c>
      <c r="D1564" t="str">
        <f t="shared" si="73"/>
        <v>Capra</v>
      </c>
      <c r="E1564" t="str">
        <f t="shared" si="74"/>
        <v>as R.</v>
      </c>
    </row>
    <row r="1565" spans="1:5" ht="15.75" customHeight="1">
      <c r="A1565" s="9" t="s">
        <v>3131</v>
      </c>
      <c r="B1565" s="9" t="s">
        <v>3132</v>
      </c>
      <c r="C1565" t="str">
        <f t="shared" si="72"/>
        <v>Mr.</v>
      </c>
      <c r="D1565" t="str">
        <f t="shared" si="73"/>
        <v>Ryan,</v>
      </c>
      <c r="E1565" t="str">
        <f t="shared" si="74"/>
        <v>Paul</v>
      </c>
    </row>
    <row r="1566" spans="1:5" ht="15.75" customHeight="1">
      <c r="A1566" s="9" t="s">
        <v>3133</v>
      </c>
      <c r="B1566" s="9" t="s">
        <v>3134</v>
      </c>
      <c r="C1566" t="str">
        <f t="shared" si="72"/>
        <v>n,</v>
      </c>
      <c r="D1566" t="str">
        <f t="shared" si="73"/>
        <v>Hoffm</v>
      </c>
      <c r="E1566" t="str">
        <f t="shared" si="74"/>
        <v>ael D</v>
      </c>
    </row>
    <row r="1567" spans="1:5" ht="15.75" customHeight="1">
      <c r="A1567" s="9" t="s">
        <v>3135</v>
      </c>
      <c r="B1567" s="9" t="s">
        <v>3136</v>
      </c>
      <c r="C1567" t="str">
        <f t="shared" si="72"/>
        <v>Ms.</v>
      </c>
      <c r="D1567" t="str">
        <f t="shared" si="73"/>
        <v>Wong,</v>
      </c>
      <c r="E1567" t="str">
        <f t="shared" si="74"/>
        <v>arina</v>
      </c>
    </row>
    <row r="1568" spans="1:5" ht="15.75" customHeight="1">
      <c r="A1568" s="9" t="s">
        <v>3137</v>
      </c>
      <c r="B1568" s="9" t="s">
        <v>3138</v>
      </c>
      <c r="C1568" t="str">
        <f t="shared" si="72"/>
        <v>s.</v>
      </c>
      <c r="D1568" t="str">
        <f t="shared" si="73"/>
        <v>Lea,</v>
      </c>
      <c r="E1568" t="str">
        <f t="shared" si="74"/>
        <v>oline</v>
      </c>
    </row>
    <row r="1569" spans="1:5" ht="15.75" customHeight="1">
      <c r="A1569" s="9" t="s">
        <v>3139</v>
      </c>
      <c r="B1569" s="9" t="s">
        <v>3140</v>
      </c>
      <c r="C1569" t="str">
        <f t="shared" si="72"/>
        <v>son</v>
      </c>
      <c r="D1569" t="str">
        <f t="shared" si="73"/>
        <v>Patte</v>
      </c>
      <c r="E1569" t="str">
        <f t="shared" si="74"/>
        <v>oss P</v>
      </c>
    </row>
    <row r="1570" spans="1:5" ht="15.75" customHeight="1">
      <c r="A1570" s="9" t="s">
        <v>3141</v>
      </c>
      <c r="B1570" s="9" t="s">
        <v>3142</v>
      </c>
      <c r="C1570" t="str">
        <f t="shared" si="72"/>
        <v>y,</v>
      </c>
      <c r="D1570" t="str">
        <f t="shared" si="73"/>
        <v>Quigl</v>
      </c>
      <c r="E1570" t="str">
        <f t="shared" si="74"/>
        <v>Aoife</v>
      </c>
    </row>
    <row r="1571" spans="1:5" ht="15.75" customHeight="1">
      <c r="A1571" s="9" t="s">
        <v>3143</v>
      </c>
      <c r="B1571" s="9" t="s">
        <v>3144</v>
      </c>
      <c r="C1571" t="str">
        <f t="shared" si="72"/>
        <v>Mr</v>
      </c>
      <c r="D1571" t="str">
        <f t="shared" si="73"/>
        <v>Korir</v>
      </c>
      <c r="E1571" t="str">
        <f t="shared" si="74"/>
        <v>esley</v>
      </c>
    </row>
    <row r="1572" spans="1:5" ht="15.75" customHeight="1">
      <c r="A1572" s="9" t="s">
        <v>3145</v>
      </c>
      <c r="B1572" s="9" t="s">
        <v>3146</v>
      </c>
      <c r="C1572" t="str">
        <f t="shared" si="72"/>
        <v>Ms</v>
      </c>
      <c r="D1572" t="str">
        <f t="shared" si="73"/>
        <v>Downs</v>
      </c>
      <c r="E1572" t="str">
        <f t="shared" si="74"/>
        <v>cca J</v>
      </c>
    </row>
    <row r="1573" spans="1:5" ht="15.75" customHeight="1">
      <c r="A1573" s="9" t="s">
        <v>3147</v>
      </c>
      <c r="B1573" s="9" t="s">
        <v>3148</v>
      </c>
      <c r="C1573" t="str">
        <f t="shared" si="72"/>
        <v>Mr</v>
      </c>
      <c r="D1573" t="str">
        <f t="shared" si="73"/>
        <v>Young</v>
      </c>
      <c r="E1573" t="str">
        <f t="shared" si="74"/>
        <v>ry P.</v>
      </c>
    </row>
    <row r="1574" spans="1:5" ht="15.75" customHeight="1">
      <c r="A1574" s="9" t="s">
        <v>3149</v>
      </c>
      <c r="B1574" s="9" t="s">
        <v>3150</v>
      </c>
      <c r="C1574" t="str">
        <f t="shared" si="72"/>
        <v>Mr</v>
      </c>
      <c r="D1574" t="str">
        <f t="shared" si="73"/>
        <v>Zywek</v>
      </c>
      <c r="E1574" t="str">
        <f t="shared" si="74"/>
        <v>aciej</v>
      </c>
    </row>
    <row r="1575" spans="1:5" ht="15.75" customHeight="1">
      <c r="A1575" s="9" t="s">
        <v>3151</v>
      </c>
      <c r="B1575" s="9" t="s">
        <v>3152</v>
      </c>
      <c r="C1575" t="str">
        <f t="shared" si="72"/>
        <v>er,</v>
      </c>
      <c r="D1575" t="str">
        <f t="shared" si="73"/>
        <v>Faulk</v>
      </c>
      <c r="E1575" t="str">
        <f t="shared" si="74"/>
        <v>ry D.</v>
      </c>
    </row>
    <row r="1576" spans="1:5" ht="15.75" customHeight="1">
      <c r="A1576" s="9" t="s">
        <v>3153</v>
      </c>
      <c r="B1576" s="9" t="s">
        <v>3154</v>
      </c>
      <c r="C1576" t="str">
        <f t="shared" si="72"/>
        <v>er,</v>
      </c>
      <c r="D1576" t="str">
        <f t="shared" si="73"/>
        <v>Erspa</v>
      </c>
      <c r="E1576" t="str">
        <f t="shared" si="74"/>
        <v>ic A.</v>
      </c>
    </row>
    <row r="1577" spans="1:5" ht="15.75" customHeight="1">
      <c r="A1577" s="9" t="s">
        <v>3155</v>
      </c>
      <c r="B1577" s="9" t="s">
        <v>3156</v>
      </c>
      <c r="C1577" t="str">
        <f t="shared" si="72"/>
        <v>ll,</v>
      </c>
      <c r="D1577" t="str">
        <f t="shared" si="73"/>
        <v>Campb</v>
      </c>
      <c r="E1577" t="str">
        <f t="shared" si="74"/>
        <v>Cathi</v>
      </c>
    </row>
    <row r="1578" spans="1:5" ht="15.75" customHeight="1">
      <c r="A1578" s="9" t="s">
        <v>3157</v>
      </c>
      <c r="B1578" s="9" t="s">
        <v>3158</v>
      </c>
      <c r="C1578" t="str">
        <f t="shared" si="72"/>
        <v>n,</v>
      </c>
      <c r="D1578" t="str">
        <f t="shared" si="73"/>
        <v>Addis</v>
      </c>
      <c r="E1578" t="str">
        <f t="shared" si="74"/>
        <v>lex M</v>
      </c>
    </row>
    <row r="1579" spans="1:5" ht="15.75" customHeight="1">
      <c r="A1579" s="9" t="s">
        <v>3159</v>
      </c>
      <c r="B1579" s="9" t="s">
        <v>3160</v>
      </c>
      <c r="C1579" t="str">
        <f t="shared" si="72"/>
        <v>.</v>
      </c>
      <c r="D1579" t="str">
        <f t="shared" si="73"/>
        <v>Wu, M</v>
      </c>
      <c r="E1579" t="str">
        <f t="shared" si="74"/>
        <v>Liang</v>
      </c>
    </row>
    <row r="1580" spans="1:5" ht="15.75" customHeight="1">
      <c r="A1580" s="9" t="s">
        <v>3161</v>
      </c>
      <c r="B1580" s="9" t="s">
        <v>3162</v>
      </c>
      <c r="C1580" t="str">
        <f t="shared" si="72"/>
        <v>t,</v>
      </c>
      <c r="D1580" t="str">
        <f t="shared" si="73"/>
        <v>Mille</v>
      </c>
      <c r="E1580" t="str">
        <f t="shared" si="74"/>
        <v>Lexy</v>
      </c>
    </row>
    <row r="1581" spans="1:5" ht="15.75" customHeight="1">
      <c r="A1581" s="9" t="s">
        <v>3163</v>
      </c>
      <c r="B1581" s="9" t="s">
        <v>3164</v>
      </c>
      <c r="C1581" t="str">
        <f t="shared" si="72"/>
        <v>Mr.</v>
      </c>
      <c r="D1581" t="str">
        <f t="shared" si="73"/>
        <v>Bosl,</v>
      </c>
      <c r="E1581" t="str">
        <f t="shared" si="74"/>
        <v>chael</v>
      </c>
    </row>
    <row r="1582" spans="1:5" ht="15.75" customHeight="1">
      <c r="A1582" s="9" t="s">
        <v>3165</v>
      </c>
      <c r="B1582" s="9" t="s">
        <v>3166</v>
      </c>
      <c r="C1582" t="str">
        <f t="shared" si="72"/>
        <v>rg,</v>
      </c>
      <c r="D1582" t="str">
        <f t="shared" si="73"/>
        <v>Goldb</v>
      </c>
      <c r="E1582" t="str">
        <f t="shared" si="74"/>
        <v>uel L</v>
      </c>
    </row>
    <row r="1583" spans="1:5" ht="15.75" customHeight="1">
      <c r="A1583" s="9" t="s">
        <v>3167</v>
      </c>
      <c r="B1583" s="9" t="s">
        <v>3168</v>
      </c>
      <c r="C1583" t="str">
        <f t="shared" si="72"/>
        <v>, M</v>
      </c>
      <c r="D1583" t="str">
        <f t="shared" si="73"/>
        <v>Kelle</v>
      </c>
      <c r="E1583" t="str">
        <f t="shared" si="74"/>
        <v>er A.</v>
      </c>
    </row>
    <row r="1584" spans="1:5" ht="15.75" customHeight="1">
      <c r="A1584" s="9" t="s">
        <v>3169</v>
      </c>
      <c r="B1584" s="9" t="s">
        <v>3170</v>
      </c>
      <c r="C1584" t="str">
        <f t="shared" si="72"/>
        <v>on,</v>
      </c>
      <c r="D1584" t="str">
        <f t="shared" si="73"/>
        <v>Johns</v>
      </c>
      <c r="E1584" t="str">
        <f t="shared" si="74"/>
        <v>helle</v>
      </c>
    </row>
    <row r="1585" spans="1:5" ht="15.75" customHeight="1">
      <c r="A1585" s="9" t="s">
        <v>3171</v>
      </c>
      <c r="B1585" s="9" t="s">
        <v>3172</v>
      </c>
      <c r="C1585" t="str">
        <f t="shared" si="72"/>
        <v>g,</v>
      </c>
      <c r="D1585" t="str">
        <f t="shared" si="73"/>
        <v>Keati</v>
      </c>
      <c r="E1585" t="str">
        <f t="shared" si="74"/>
        <v>Paula</v>
      </c>
    </row>
    <row r="1586" spans="1:5" ht="15.75" customHeight="1">
      <c r="A1586" s="9" t="s">
        <v>3173</v>
      </c>
      <c r="B1586" s="9" t="s">
        <v>3174</v>
      </c>
      <c r="C1586" t="str">
        <f t="shared" si="72"/>
        <v>Mr</v>
      </c>
      <c r="D1586" t="str">
        <f t="shared" si="73"/>
        <v>Duhon</v>
      </c>
      <c r="E1586" t="str">
        <f t="shared" si="74"/>
        <v>ne E.</v>
      </c>
    </row>
    <row r="1587" spans="1:5" ht="15.75" customHeight="1">
      <c r="A1587" s="9" t="s">
        <v>3175</v>
      </c>
      <c r="B1587" s="9" t="s">
        <v>3176</v>
      </c>
      <c r="C1587" t="str">
        <f t="shared" si="72"/>
        <v>o,</v>
      </c>
      <c r="D1587" t="str">
        <f t="shared" si="73"/>
        <v>Brise</v>
      </c>
      <c r="E1587" t="str">
        <f t="shared" si="74"/>
        <v>sabel</v>
      </c>
    </row>
    <row r="1588" spans="1:5" ht="15.75" customHeight="1">
      <c r="A1588" s="9" t="s">
        <v>3177</v>
      </c>
      <c r="B1588" s="9" t="s">
        <v>3178</v>
      </c>
      <c r="C1588" t="str">
        <f t="shared" si="72"/>
        <v>Mr</v>
      </c>
      <c r="D1588" t="str">
        <f t="shared" si="73"/>
        <v>Besse</v>
      </c>
      <c r="E1588" t="str">
        <f t="shared" si="74"/>
        <v>ur M.</v>
      </c>
    </row>
    <row r="1589" spans="1:5" ht="15.75" customHeight="1">
      <c r="A1589" s="9" t="s">
        <v>3179</v>
      </c>
      <c r="B1589" s="9" t="s">
        <v>3180</v>
      </c>
      <c r="C1589" t="str">
        <f t="shared" si="72"/>
        <v>ngs</v>
      </c>
      <c r="D1589" t="str">
        <f t="shared" si="73"/>
        <v>Shill</v>
      </c>
      <c r="E1589" t="str">
        <f t="shared" si="74"/>
        <v>ph R.</v>
      </c>
    </row>
    <row r="1590" spans="1:5" ht="15.75" customHeight="1">
      <c r="A1590" s="9" t="s">
        <v>3181</v>
      </c>
      <c r="B1590" s="9" t="s">
        <v>3182</v>
      </c>
      <c r="C1590" t="str">
        <f t="shared" si="72"/>
        <v>Ms.</v>
      </c>
      <c r="D1590" t="str">
        <f t="shared" si="73"/>
        <v>Tate,</v>
      </c>
      <c r="E1590" t="str">
        <f t="shared" si="74"/>
        <v>chiko</v>
      </c>
    </row>
    <row r="1591" spans="1:5" ht="15.75" customHeight="1">
      <c r="A1591" s="9" t="s">
        <v>3183</v>
      </c>
      <c r="B1591" s="9" t="s">
        <v>3184</v>
      </c>
      <c r="C1591" t="str">
        <f t="shared" si="72"/>
        <v>ult</v>
      </c>
      <c r="D1591" t="str">
        <f t="shared" si="73"/>
        <v>Arsen</v>
      </c>
      <c r="E1591" t="str">
        <f t="shared" si="74"/>
        <v>opher</v>
      </c>
    </row>
    <row r="1592" spans="1:5" ht="15.75" customHeight="1">
      <c r="A1592" s="9" t="s">
        <v>3185</v>
      </c>
      <c r="B1592" s="9" t="s">
        <v>3186</v>
      </c>
      <c r="C1592" t="str">
        <f t="shared" si="72"/>
        <v>d,</v>
      </c>
      <c r="D1592" t="str">
        <f t="shared" si="73"/>
        <v>Hengo</v>
      </c>
      <c r="E1592" t="str">
        <f t="shared" si="74"/>
        <v>oseph</v>
      </c>
    </row>
    <row r="1593" spans="1:5" ht="15.75" customHeight="1">
      <c r="A1593" s="9" t="s">
        <v>3187</v>
      </c>
      <c r="B1593" s="9" t="s">
        <v>3188</v>
      </c>
      <c r="C1593" t="str">
        <f t="shared" si="72"/>
        <v>Mr</v>
      </c>
      <c r="D1593" t="str">
        <f t="shared" si="73"/>
        <v>Aller</v>
      </c>
      <c r="E1593" t="str">
        <f t="shared" si="74"/>
        <v>rence</v>
      </c>
    </row>
    <row r="1594" spans="1:5" ht="15.75" customHeight="1">
      <c r="A1594" s="9" t="s">
        <v>3189</v>
      </c>
      <c r="B1594" s="9" t="s">
        <v>3190</v>
      </c>
      <c r="C1594" t="str">
        <f t="shared" si="72"/>
        <v>, M</v>
      </c>
      <c r="D1594" t="str">
        <f t="shared" si="73"/>
        <v>Pisan</v>
      </c>
      <c r="E1594" t="str">
        <f t="shared" si="74"/>
        <v>Katie</v>
      </c>
    </row>
    <row r="1595" spans="1:5" ht="15.75" customHeight="1">
      <c r="A1595" s="9" t="s">
        <v>3191</v>
      </c>
      <c r="B1595" s="9" t="s">
        <v>3192</v>
      </c>
      <c r="C1595" t="str">
        <f t="shared" si="72"/>
        <v>Mr</v>
      </c>
      <c r="D1595" t="str">
        <f t="shared" si="73"/>
        <v>Sanca</v>
      </c>
      <c r="E1595" t="str">
        <f t="shared" si="74"/>
        <v>Ruben</v>
      </c>
    </row>
    <row r="1596" spans="1:5" ht="15.75" customHeight="1">
      <c r="A1596" s="9" t="s">
        <v>3193</v>
      </c>
      <c r="B1596" s="9" t="s">
        <v>3194</v>
      </c>
      <c r="C1596" t="str">
        <f t="shared" si="72"/>
        <v>Ms.</v>
      </c>
      <c r="D1596" t="str">
        <f t="shared" si="73"/>
        <v>Bond,</v>
      </c>
      <c r="E1596" t="str">
        <f t="shared" si="74"/>
        <v>Sarah</v>
      </c>
    </row>
    <row r="1597" spans="1:5" ht="15.75" customHeight="1">
      <c r="A1597" s="9" t="s">
        <v>3195</v>
      </c>
      <c r="B1597" s="9" t="s">
        <v>3196</v>
      </c>
      <c r="C1597" t="str">
        <f t="shared" si="72"/>
        <v>, M</v>
      </c>
      <c r="D1597" t="str">
        <f t="shared" si="73"/>
        <v>Carro</v>
      </c>
      <c r="E1597" t="str">
        <f t="shared" si="74"/>
        <v>la R.</v>
      </c>
    </row>
    <row r="1598" spans="1:5" ht="15.75" customHeight="1">
      <c r="A1598" s="9" t="s">
        <v>3197</v>
      </c>
      <c r="B1598" s="9" t="s">
        <v>3198</v>
      </c>
      <c r="C1598" t="str">
        <f t="shared" si="72"/>
        <v>ger</v>
      </c>
      <c r="D1598" t="str">
        <f t="shared" si="73"/>
        <v>Ellwa</v>
      </c>
      <c r="E1598" t="str">
        <f t="shared" si="74"/>
        <v>atham</v>
      </c>
    </row>
    <row r="1599" spans="1:5" ht="15.75" customHeight="1">
      <c r="A1599" s="9" t="s">
        <v>3199</v>
      </c>
      <c r="B1599" s="9" t="s">
        <v>3200</v>
      </c>
      <c r="C1599" t="str">
        <f t="shared" si="72"/>
        <v>, M</v>
      </c>
      <c r="D1599" t="str">
        <f t="shared" si="73"/>
        <v>Hanso</v>
      </c>
      <c r="E1599" t="str">
        <f t="shared" si="74"/>
        <v>Derek</v>
      </c>
    </row>
    <row r="1600" spans="1:5" ht="15.75" customHeight="1">
      <c r="A1600" s="9" t="s">
        <v>3201</v>
      </c>
      <c r="B1600" s="9" t="s">
        <v>3202</v>
      </c>
      <c r="C1600" t="str">
        <f t="shared" si="72"/>
        <v>, M</v>
      </c>
      <c r="D1600" t="str">
        <f t="shared" si="73"/>
        <v>Tucke</v>
      </c>
      <c r="E1600" t="str">
        <f t="shared" si="74"/>
        <v>in J.</v>
      </c>
    </row>
    <row r="1601" spans="1:5" ht="15.75" customHeight="1">
      <c r="A1601" s="9" t="s">
        <v>3203</v>
      </c>
      <c r="B1601" s="9" t="s">
        <v>3204</v>
      </c>
      <c r="C1601" t="str">
        <f t="shared" si="72"/>
        <v>, M</v>
      </c>
      <c r="D1601" t="str">
        <f t="shared" si="73"/>
        <v>Count</v>
      </c>
      <c r="E1601" t="str">
        <f t="shared" si="74"/>
        <v>Dave</v>
      </c>
    </row>
    <row r="1602" spans="1:5" ht="15.75" customHeight="1">
      <c r="A1602" s="9" t="s">
        <v>3205</v>
      </c>
      <c r="B1602" s="9" t="s">
        <v>3206</v>
      </c>
      <c r="C1602" t="str">
        <f t="shared" si="72"/>
        <v>, M</v>
      </c>
      <c r="D1602" t="str">
        <f t="shared" si="73"/>
        <v>Carso</v>
      </c>
      <c r="E1602" t="str">
        <f t="shared" si="74"/>
        <v>ra G.</v>
      </c>
    </row>
    <row r="1603" spans="1:5" ht="15.75" customHeight="1">
      <c r="A1603" s="9" t="s">
        <v>3207</v>
      </c>
      <c r="B1603" s="9" t="s">
        <v>3208</v>
      </c>
      <c r="C1603" t="str">
        <f t="shared" ref="C1603:C1666" si="75">MID(B1603,7,3)</f>
        <v>, M</v>
      </c>
      <c r="D1603" t="str">
        <f t="shared" ref="D1603:D1666" si="76">LEFT(B1603,5)</f>
        <v>Haine</v>
      </c>
      <c r="E1603" t="str">
        <f t="shared" ref="E1603:E1666" si="77">RIGHT(B1603,5)</f>
        <v>kylar</v>
      </c>
    </row>
    <row r="1604" spans="1:5" ht="15.75" customHeight="1">
      <c r="A1604" s="9" t="s">
        <v>3209</v>
      </c>
      <c r="B1604" s="9" t="s">
        <v>3210</v>
      </c>
      <c r="C1604" t="str">
        <f t="shared" si="75"/>
        <v>el,</v>
      </c>
      <c r="D1604" t="str">
        <f t="shared" si="76"/>
        <v>Schna</v>
      </c>
      <c r="E1604" t="str">
        <f t="shared" si="77"/>
        <v>Nick</v>
      </c>
    </row>
    <row r="1605" spans="1:5" ht="15.75" customHeight="1">
      <c r="A1605" s="9" t="s">
        <v>3211</v>
      </c>
      <c r="B1605" s="9" t="s">
        <v>3212</v>
      </c>
      <c r="C1605" t="str">
        <f t="shared" si="75"/>
        <v>Mr</v>
      </c>
      <c r="D1605" t="str">
        <f t="shared" si="76"/>
        <v>Thind</v>
      </c>
      <c r="E1605" t="str">
        <f t="shared" si="77"/>
        <v>nny S</v>
      </c>
    </row>
    <row r="1606" spans="1:5" ht="15.75" customHeight="1">
      <c r="A1606" s="9" t="s">
        <v>3213</v>
      </c>
      <c r="B1606" s="9" t="s">
        <v>3214</v>
      </c>
      <c r="C1606" t="str">
        <f t="shared" si="75"/>
        <v>Mr</v>
      </c>
      <c r="D1606" t="str">
        <f t="shared" si="76"/>
        <v>Simon</v>
      </c>
      <c r="E1606" t="str">
        <f t="shared" si="77"/>
        <v>Marie</v>
      </c>
    </row>
    <row r="1607" spans="1:5" ht="15.75" customHeight="1">
      <c r="A1607" s="9" t="s">
        <v>3215</v>
      </c>
      <c r="B1607" s="9" t="s">
        <v>3216</v>
      </c>
      <c r="C1607" t="str">
        <f t="shared" si="75"/>
        <v>aga</v>
      </c>
      <c r="D1607" t="str">
        <f t="shared" si="76"/>
        <v>Arcin</v>
      </c>
      <c r="E1607" t="str">
        <f t="shared" si="77"/>
        <v>holas</v>
      </c>
    </row>
    <row r="1608" spans="1:5" ht="15.75" customHeight="1">
      <c r="A1608" s="9" t="s">
        <v>3217</v>
      </c>
      <c r="B1608" s="9" t="s">
        <v>3218</v>
      </c>
      <c r="C1608" t="str">
        <f t="shared" si="75"/>
        <v>Mr.</v>
      </c>
      <c r="D1608" t="str">
        <f t="shared" si="76"/>
        <v>Ryan,</v>
      </c>
      <c r="E1608" t="str">
        <f t="shared" si="77"/>
        <v>tt M.</v>
      </c>
    </row>
    <row r="1609" spans="1:5" ht="15.75" customHeight="1">
      <c r="A1609" s="9" t="s">
        <v>3219</v>
      </c>
      <c r="B1609" s="9" t="s">
        <v>3220</v>
      </c>
      <c r="C1609" t="str">
        <f t="shared" si="75"/>
        <v>Ms</v>
      </c>
      <c r="D1609" t="str">
        <f t="shared" si="76"/>
        <v>Lizak</v>
      </c>
      <c r="E1609" t="str">
        <f t="shared" si="77"/>
        <v>isa A</v>
      </c>
    </row>
    <row r="1610" spans="1:5" ht="15.75" customHeight="1">
      <c r="A1610" s="9" t="s">
        <v>3221</v>
      </c>
      <c r="B1610" s="9" t="s">
        <v>3222</v>
      </c>
      <c r="C1610" t="str">
        <f t="shared" si="75"/>
        <v>, M</v>
      </c>
      <c r="D1610" t="str">
        <f t="shared" si="76"/>
        <v>Hower</v>
      </c>
      <c r="E1610" t="str">
        <f t="shared" si="77"/>
        <v>Katie</v>
      </c>
    </row>
    <row r="1611" spans="1:5" ht="15.75" customHeight="1">
      <c r="A1611" s="9" t="s">
        <v>3223</v>
      </c>
      <c r="B1611" s="9" t="s">
        <v>3224</v>
      </c>
      <c r="C1611" t="str">
        <f t="shared" si="75"/>
        <v>Ms</v>
      </c>
      <c r="D1611" t="str">
        <f t="shared" si="76"/>
        <v>Crain</v>
      </c>
      <c r="E1611" t="str">
        <f t="shared" si="77"/>
        <v>Amy L</v>
      </c>
    </row>
    <row r="1612" spans="1:5" ht="15.75" customHeight="1">
      <c r="A1612" s="9" t="s">
        <v>3225</v>
      </c>
      <c r="B1612" s="9" t="s">
        <v>3226</v>
      </c>
      <c r="C1612" t="str">
        <f t="shared" si="75"/>
        <v>Ms</v>
      </c>
      <c r="D1612" t="str">
        <f t="shared" si="76"/>
        <v>Hotze</v>
      </c>
      <c r="E1612" t="str">
        <f t="shared" si="77"/>
        <v>nna M</v>
      </c>
    </row>
    <row r="1613" spans="1:5" ht="15.75" customHeight="1">
      <c r="A1613" s="9" t="s">
        <v>3227</v>
      </c>
      <c r="B1613" s="9" t="s">
        <v>3228</v>
      </c>
      <c r="C1613" t="str">
        <f t="shared" si="75"/>
        <v>n,</v>
      </c>
      <c r="D1613" t="str">
        <f t="shared" si="76"/>
        <v>Chauh</v>
      </c>
      <c r="E1613" t="str">
        <f t="shared" si="77"/>
        <v>th M.</v>
      </c>
    </row>
    <row r="1614" spans="1:5" ht="15.75" customHeight="1">
      <c r="A1614" s="9" t="s">
        <v>3229</v>
      </c>
      <c r="B1614" s="9" t="s">
        <v>3230</v>
      </c>
      <c r="C1614" t="str">
        <f t="shared" si="75"/>
        <v>Mr.</v>
      </c>
      <c r="D1614" t="str">
        <f t="shared" si="76"/>
        <v>Raab,</v>
      </c>
      <c r="E1614" t="str">
        <f t="shared" si="77"/>
        <v>yazid</v>
      </c>
    </row>
    <row r="1615" spans="1:5" ht="15.75" customHeight="1">
      <c r="A1615" s="9" t="s">
        <v>3231</v>
      </c>
      <c r="B1615" s="9" t="s">
        <v>3232</v>
      </c>
      <c r="C1615" t="str">
        <f t="shared" si="75"/>
        <v>, M</v>
      </c>
      <c r="D1615" t="str">
        <f t="shared" si="76"/>
        <v>McKow</v>
      </c>
      <c r="E1615" t="str">
        <f t="shared" si="77"/>
        <v>ey A.</v>
      </c>
    </row>
    <row r="1616" spans="1:5" ht="15.75" customHeight="1">
      <c r="A1616" s="9" t="s">
        <v>3233</v>
      </c>
      <c r="B1616" s="9" t="s">
        <v>3234</v>
      </c>
      <c r="C1616" t="str">
        <f t="shared" si="75"/>
        <v>ann</v>
      </c>
      <c r="D1616" t="str">
        <f t="shared" si="76"/>
        <v>Schie</v>
      </c>
      <c r="E1616" t="str">
        <f t="shared" si="77"/>
        <v>Chris</v>
      </c>
    </row>
    <row r="1617" spans="1:5" ht="15.75" customHeight="1">
      <c r="A1617" s="9" t="s">
        <v>3235</v>
      </c>
      <c r="B1617" s="9" t="s">
        <v>3236</v>
      </c>
      <c r="C1617" t="str">
        <f t="shared" si="75"/>
        <v>Ms</v>
      </c>
      <c r="D1617" t="str">
        <f t="shared" si="76"/>
        <v>Cress</v>
      </c>
      <c r="E1617" t="str">
        <f t="shared" si="77"/>
        <v>fer A</v>
      </c>
    </row>
    <row r="1618" spans="1:5" ht="15.75" customHeight="1">
      <c r="A1618" s="9" t="s">
        <v>3237</v>
      </c>
      <c r="B1618" s="9" t="s">
        <v>3238</v>
      </c>
      <c r="C1618" t="str">
        <f t="shared" si="75"/>
        <v>, M</v>
      </c>
      <c r="D1618" t="str">
        <f t="shared" si="76"/>
        <v>Mawso</v>
      </c>
      <c r="E1618" t="str">
        <f t="shared" si="77"/>
        <v>if S.</v>
      </c>
    </row>
    <row r="1619" spans="1:5" ht="15.75" customHeight="1">
      <c r="A1619" s="9" t="s">
        <v>3239</v>
      </c>
      <c r="B1619" s="9" t="s">
        <v>3240</v>
      </c>
      <c r="C1619" t="str">
        <f t="shared" si="75"/>
        <v>ton</v>
      </c>
      <c r="D1619" t="str">
        <f t="shared" si="76"/>
        <v>Wiggi</v>
      </c>
      <c r="E1619" t="str">
        <f t="shared" si="77"/>
        <v>nie A</v>
      </c>
    </row>
    <row r="1620" spans="1:5" ht="15.75" customHeight="1">
      <c r="A1620" s="9" t="s">
        <v>3241</v>
      </c>
      <c r="B1620" s="9" t="s">
        <v>3242</v>
      </c>
      <c r="C1620" t="str">
        <f t="shared" si="75"/>
        <v>Mr.</v>
      </c>
      <c r="D1620" t="str">
        <f t="shared" si="76"/>
        <v>Wang,</v>
      </c>
      <c r="E1620" t="str">
        <f t="shared" si="77"/>
        <v>.  Bo</v>
      </c>
    </row>
    <row r="1621" spans="1:5" ht="15.75" customHeight="1">
      <c r="A1621" s="9" t="s">
        <v>3243</v>
      </c>
      <c r="B1621" s="9" t="s">
        <v>3244</v>
      </c>
      <c r="C1621" t="str">
        <f t="shared" si="75"/>
        <v>der</v>
      </c>
      <c r="D1621" t="str">
        <f t="shared" si="76"/>
        <v>Schro</v>
      </c>
      <c r="E1621" t="str">
        <f t="shared" si="77"/>
        <v>Leah</v>
      </c>
    </row>
    <row r="1622" spans="1:5" ht="15.75" customHeight="1">
      <c r="A1622" s="9" t="s">
        <v>3245</v>
      </c>
      <c r="B1622" s="9" t="s">
        <v>3246</v>
      </c>
      <c r="C1622" t="str">
        <f t="shared" si="75"/>
        <v>d,</v>
      </c>
      <c r="D1622" t="str">
        <f t="shared" si="76"/>
        <v>Leona</v>
      </c>
      <c r="E1622" t="str">
        <f t="shared" si="77"/>
        <v>Lynne</v>
      </c>
    </row>
    <row r="1623" spans="1:5" ht="15.75" customHeight="1">
      <c r="A1623" s="9" t="s">
        <v>3247</v>
      </c>
      <c r="B1623" s="9" t="s">
        <v>3248</v>
      </c>
      <c r="C1623" t="str">
        <f t="shared" si="75"/>
        <v>, M</v>
      </c>
      <c r="D1623" t="str">
        <f t="shared" si="76"/>
        <v>Tissu</v>
      </c>
      <c r="E1623" t="str">
        <f t="shared" si="77"/>
        <v>ffrey</v>
      </c>
    </row>
    <row r="1624" spans="1:5" ht="15.75" customHeight="1">
      <c r="A1624" s="9" t="s">
        <v>3249</v>
      </c>
      <c r="B1624" s="9" t="s">
        <v>3250</v>
      </c>
      <c r="C1624" t="str">
        <f t="shared" si="75"/>
        <v>Mr.</v>
      </c>
      <c r="D1624" t="str">
        <f t="shared" si="76"/>
        <v>Wood,</v>
      </c>
      <c r="E1624" t="str">
        <f t="shared" si="77"/>
        <v>ustin</v>
      </c>
    </row>
    <row r="1625" spans="1:5" ht="15.75" customHeight="1">
      <c r="A1625" s="9" t="s">
        <v>3251</v>
      </c>
      <c r="B1625" s="9" t="s">
        <v>3252</v>
      </c>
      <c r="C1625" t="str">
        <f t="shared" si="75"/>
        <v>Ms</v>
      </c>
      <c r="D1625" t="str">
        <f t="shared" si="76"/>
        <v>Denny</v>
      </c>
      <c r="E1625" t="str">
        <f t="shared" si="77"/>
        <v>Emily</v>
      </c>
    </row>
    <row r="1626" spans="1:5" ht="15.75" customHeight="1">
      <c r="A1626" s="9" t="s">
        <v>3253</v>
      </c>
      <c r="B1626" s="9" t="s">
        <v>3254</v>
      </c>
      <c r="C1626" t="str">
        <f t="shared" si="75"/>
        <v>Ms</v>
      </c>
      <c r="D1626" t="str">
        <f t="shared" si="76"/>
        <v>Testa</v>
      </c>
      <c r="E1626" t="str">
        <f t="shared" si="77"/>
        <v>becca</v>
      </c>
    </row>
    <row r="1627" spans="1:5" ht="15.75" customHeight="1">
      <c r="A1627" s="9" t="s">
        <v>3255</v>
      </c>
      <c r="B1627" s="9" t="s">
        <v>3256</v>
      </c>
      <c r="C1627" t="str">
        <f t="shared" si="75"/>
        <v>, M</v>
      </c>
      <c r="D1627" t="str">
        <f t="shared" si="76"/>
        <v>Moone</v>
      </c>
      <c r="E1627" t="str">
        <f t="shared" si="77"/>
        <v>Allie</v>
      </c>
    </row>
    <row r="1628" spans="1:5" ht="15.75" customHeight="1">
      <c r="A1628" s="9" t="s">
        <v>3257</v>
      </c>
      <c r="B1628" s="9" t="s">
        <v>3258</v>
      </c>
      <c r="C1628" t="str">
        <f t="shared" si="75"/>
        <v>ltz</v>
      </c>
      <c r="D1628" t="str">
        <f t="shared" si="76"/>
        <v>Buchh</v>
      </c>
      <c r="E1628" t="str">
        <f t="shared" si="77"/>
        <v>Trasi</v>
      </c>
    </row>
    <row r="1629" spans="1:5" ht="15.75" customHeight="1">
      <c r="A1629" s="9" t="s">
        <v>3259</v>
      </c>
      <c r="B1629" s="9" t="s">
        <v>3260</v>
      </c>
      <c r="C1629" t="str">
        <f t="shared" si="75"/>
        <v>Mr.</v>
      </c>
      <c r="D1629" t="str">
        <f t="shared" si="76"/>
        <v>Hoyt,</v>
      </c>
      <c r="E1629" t="str">
        <f t="shared" si="77"/>
        <v>Kevin</v>
      </c>
    </row>
    <row r="1630" spans="1:5" ht="15.75" customHeight="1">
      <c r="A1630" s="9" t="s">
        <v>3261</v>
      </c>
      <c r="B1630" s="9" t="s">
        <v>3262</v>
      </c>
      <c r="C1630" t="str">
        <f t="shared" si="75"/>
        <v>, M</v>
      </c>
      <c r="D1630" t="str">
        <f t="shared" si="76"/>
        <v>Cabad</v>
      </c>
      <c r="E1630" t="str">
        <f t="shared" si="77"/>
        <v>nando</v>
      </c>
    </row>
    <row r="1631" spans="1:5" ht="15.75" customHeight="1">
      <c r="A1631" s="9" t="s">
        <v>3263</v>
      </c>
      <c r="B1631" s="9" t="s">
        <v>3264</v>
      </c>
      <c r="C1631" t="str">
        <f t="shared" si="75"/>
        <v>ute</v>
      </c>
      <c r="D1631" t="str">
        <f t="shared" si="76"/>
        <v>Lobac</v>
      </c>
      <c r="E1631" t="str">
        <f t="shared" si="77"/>
        <v>Ieva</v>
      </c>
    </row>
    <row r="1632" spans="1:5" ht="15.75" customHeight="1">
      <c r="A1632" s="9" t="s">
        <v>3265</v>
      </c>
      <c r="B1632" s="9" t="s">
        <v>3266</v>
      </c>
      <c r="C1632" t="str">
        <f t="shared" si="75"/>
        <v>Mr</v>
      </c>
      <c r="D1632" t="str">
        <f t="shared" si="76"/>
        <v>Dawes</v>
      </c>
      <c r="E1632" t="str">
        <f t="shared" si="77"/>
        <v>Chris</v>
      </c>
    </row>
    <row r="1633" spans="1:5" ht="15.75" customHeight="1">
      <c r="A1633" s="9" t="s">
        <v>3267</v>
      </c>
      <c r="B1633" s="9" t="s">
        <v>3268</v>
      </c>
      <c r="C1633" t="str">
        <f t="shared" si="75"/>
        <v>, M</v>
      </c>
      <c r="D1633" t="str">
        <f t="shared" si="76"/>
        <v>Deppe</v>
      </c>
      <c r="E1633" t="str">
        <f t="shared" si="77"/>
        <v>ew L.</v>
      </c>
    </row>
    <row r="1634" spans="1:5" ht="15.75" customHeight="1">
      <c r="A1634" s="9" t="s">
        <v>3269</v>
      </c>
      <c r="B1634" s="9" t="s">
        <v>3270</v>
      </c>
      <c r="C1634" t="str">
        <f t="shared" si="75"/>
        <v>orf</v>
      </c>
      <c r="D1634" t="str">
        <f t="shared" si="76"/>
        <v>Obern</v>
      </c>
      <c r="E1634" t="str">
        <f t="shared" si="77"/>
        <v>stina</v>
      </c>
    </row>
    <row r="1635" spans="1:5" ht="15.75" customHeight="1">
      <c r="A1635" s="9" t="s">
        <v>3271</v>
      </c>
      <c r="B1635" s="9" t="s">
        <v>3272</v>
      </c>
      <c r="C1635" t="str">
        <f t="shared" si="75"/>
        <v>ing</v>
      </c>
      <c r="D1635" t="str">
        <f t="shared" si="76"/>
        <v>Hethe</v>
      </c>
      <c r="E1635" t="str">
        <f t="shared" si="77"/>
        <v>der G</v>
      </c>
    </row>
    <row r="1636" spans="1:5" ht="15.75" customHeight="1">
      <c r="A1636" s="9" t="s">
        <v>3273</v>
      </c>
      <c r="B1636" s="9" t="s">
        <v>3274</v>
      </c>
      <c r="C1636" t="str">
        <f t="shared" si="75"/>
        <v>, M</v>
      </c>
      <c r="D1636" t="str">
        <f t="shared" si="76"/>
        <v>Murra</v>
      </c>
      <c r="E1636" t="str">
        <f t="shared" si="77"/>
        <v>aghan</v>
      </c>
    </row>
    <row r="1637" spans="1:5" ht="15.75" customHeight="1">
      <c r="A1637" s="9" t="s">
        <v>3275</v>
      </c>
      <c r="B1637" s="9" t="s">
        <v>3276</v>
      </c>
      <c r="C1637" t="str">
        <f t="shared" si="75"/>
        <v>, M</v>
      </c>
      <c r="D1637" t="str">
        <f t="shared" si="76"/>
        <v>Higde</v>
      </c>
      <c r="E1637" t="str">
        <f t="shared" si="77"/>
        <v>istin</v>
      </c>
    </row>
    <row r="1638" spans="1:5" ht="15.75" customHeight="1">
      <c r="A1638" s="9" t="s">
        <v>3277</v>
      </c>
      <c r="B1638" s="9" t="s">
        <v>3278</v>
      </c>
      <c r="C1638" t="str">
        <f t="shared" si="75"/>
        <v>r,</v>
      </c>
      <c r="D1638" t="str">
        <f t="shared" si="76"/>
        <v>Redig</v>
      </c>
      <c r="E1638" t="str">
        <f t="shared" si="77"/>
        <v>ea K.</v>
      </c>
    </row>
    <row r="1639" spans="1:5" ht="15.75" customHeight="1">
      <c r="A1639" s="9" t="s">
        <v>3279</v>
      </c>
      <c r="B1639" s="9" t="s">
        <v>3280</v>
      </c>
      <c r="C1639" t="str">
        <f t="shared" si="75"/>
        <v>Ms.</v>
      </c>
      <c r="D1639" t="str">
        <f t="shared" si="76"/>
        <v>Huff,</v>
      </c>
      <c r="E1639" t="str">
        <f t="shared" si="77"/>
        <v>Kris</v>
      </c>
    </row>
    <row r="1640" spans="1:5" ht="15.75" customHeight="1">
      <c r="A1640" s="9" t="s">
        <v>3281</v>
      </c>
      <c r="B1640" s="9" t="s">
        <v>3282</v>
      </c>
      <c r="C1640" t="str">
        <f t="shared" si="75"/>
        <v>Mr.</v>
      </c>
      <c r="D1640" t="str">
        <f t="shared" si="76"/>
        <v>Hall,</v>
      </c>
      <c r="E1640" t="str">
        <f t="shared" si="77"/>
        <v>den W</v>
      </c>
    </row>
    <row r="1641" spans="1:5" ht="15.75" customHeight="1">
      <c r="A1641" s="9" t="s">
        <v>3283</v>
      </c>
      <c r="B1641" s="9" t="s">
        <v>3284</v>
      </c>
      <c r="C1641" t="str">
        <f t="shared" si="75"/>
        <v>Ms</v>
      </c>
      <c r="D1641" t="str">
        <f t="shared" si="76"/>
        <v>Grise</v>
      </c>
      <c r="E1641" t="str">
        <f t="shared" si="77"/>
        <v>nne M</v>
      </c>
    </row>
    <row r="1642" spans="1:5" ht="15.75" customHeight="1">
      <c r="A1642" s="9" t="s">
        <v>3285</v>
      </c>
      <c r="B1642" s="9" t="s">
        <v>3286</v>
      </c>
      <c r="C1642" t="str">
        <f t="shared" si="75"/>
        <v>m,</v>
      </c>
      <c r="D1642" t="str">
        <f t="shared" si="76"/>
        <v>Skild</v>
      </c>
      <c r="E1642" t="str">
        <f t="shared" si="77"/>
        <v>di Z.</v>
      </c>
    </row>
    <row r="1643" spans="1:5" ht="15.75" customHeight="1">
      <c r="A1643" s="9" t="s">
        <v>3287</v>
      </c>
      <c r="B1643" s="9" t="s">
        <v>3288</v>
      </c>
      <c r="C1643" t="str">
        <f t="shared" si="75"/>
        <v>Ms.</v>
      </c>
      <c r="D1643" t="str">
        <f t="shared" si="76"/>
        <v>Yang,</v>
      </c>
      <c r="E1643" t="str">
        <f t="shared" si="77"/>
        <v>rolyn</v>
      </c>
    </row>
    <row r="1644" spans="1:5" ht="15.75" customHeight="1">
      <c r="A1644" s="9" t="s">
        <v>3289</v>
      </c>
      <c r="B1644" s="9" t="s">
        <v>3290</v>
      </c>
      <c r="C1644" t="str">
        <f t="shared" si="75"/>
        <v>r-D</v>
      </c>
      <c r="D1644" t="str">
        <f t="shared" si="76"/>
        <v>Fisch</v>
      </c>
      <c r="E1644" t="str">
        <f t="shared" si="77"/>
        <v>abine</v>
      </c>
    </row>
    <row r="1645" spans="1:5" ht="15.75" customHeight="1">
      <c r="A1645" s="9" t="s">
        <v>3291</v>
      </c>
      <c r="B1645" s="9" t="s">
        <v>3292</v>
      </c>
      <c r="C1645" t="str">
        <f t="shared" si="75"/>
        <v>Mr</v>
      </c>
      <c r="D1645" t="str">
        <f t="shared" si="76"/>
        <v>Asher</v>
      </c>
      <c r="E1645" t="str">
        <f t="shared" si="77"/>
        <v>Bobby</v>
      </c>
    </row>
    <row r="1646" spans="1:5" ht="15.75" customHeight="1">
      <c r="A1646" s="9" t="s">
        <v>3293</v>
      </c>
      <c r="B1646" s="9" t="s">
        <v>3294</v>
      </c>
      <c r="C1646" t="str">
        <f t="shared" si="75"/>
        <v>Mr.</v>
      </c>
      <c r="D1646" t="str">
        <f t="shared" si="76"/>
        <v>Zhou,</v>
      </c>
      <c r="E1646" t="str">
        <f t="shared" si="77"/>
        <v>Fan</v>
      </c>
    </row>
    <row r="1647" spans="1:5" ht="15.75" customHeight="1">
      <c r="A1647" s="9" t="s">
        <v>3295</v>
      </c>
      <c r="B1647" s="9" t="s">
        <v>3296</v>
      </c>
      <c r="C1647" t="str">
        <f t="shared" si="75"/>
        <v>, M</v>
      </c>
      <c r="D1647" t="str">
        <f t="shared" si="76"/>
        <v>Rudde</v>
      </c>
      <c r="E1647" t="str">
        <f t="shared" si="77"/>
        <v>hel M</v>
      </c>
    </row>
    <row r="1648" spans="1:5" ht="15.75" customHeight="1">
      <c r="A1648" s="9" t="s">
        <v>3297</v>
      </c>
      <c r="B1648" s="9" t="s">
        <v>3298</v>
      </c>
      <c r="C1648" t="str">
        <f t="shared" si="75"/>
        <v>ll,</v>
      </c>
      <c r="D1648" t="str">
        <f t="shared" si="76"/>
        <v>Cartm</v>
      </c>
      <c r="E1648" t="str">
        <f t="shared" si="77"/>
        <v>Greg</v>
      </c>
    </row>
    <row r="1649" spans="1:5" ht="15.75" customHeight="1">
      <c r="A1649" s="9" t="s">
        <v>3299</v>
      </c>
      <c r="B1649" s="9" t="s">
        <v>3300</v>
      </c>
      <c r="C1649" t="str">
        <f t="shared" si="75"/>
        <v>d,</v>
      </c>
      <c r="D1649" t="str">
        <f t="shared" si="76"/>
        <v>Trola</v>
      </c>
      <c r="E1649" t="str">
        <f t="shared" si="77"/>
        <v>Dan</v>
      </c>
    </row>
    <row r="1650" spans="1:5" ht="15.75" customHeight="1">
      <c r="A1650" s="9" t="s">
        <v>3301</v>
      </c>
      <c r="B1650" s="9" t="s">
        <v>3302</v>
      </c>
      <c r="C1650" t="str">
        <f t="shared" si="75"/>
        <v>Ms.</v>
      </c>
      <c r="D1650" t="str">
        <f t="shared" si="76"/>
        <v>Hall,</v>
      </c>
      <c r="E1650" t="str">
        <f t="shared" si="77"/>
        <v>fer A</v>
      </c>
    </row>
    <row r="1651" spans="1:5" ht="15.75" customHeight="1">
      <c r="A1651" s="9" t="s">
        <v>3303</v>
      </c>
      <c r="B1651" s="9" t="s">
        <v>3304</v>
      </c>
      <c r="C1651" t="str">
        <f t="shared" si="75"/>
        <v>Mrs</v>
      </c>
      <c r="D1651" t="str">
        <f t="shared" si="76"/>
        <v>Berg,</v>
      </c>
      <c r="E1651" t="str">
        <f t="shared" si="77"/>
        <v>ssica</v>
      </c>
    </row>
    <row r="1652" spans="1:5" ht="15.75" customHeight="1">
      <c r="A1652" s="9" t="s">
        <v>3305</v>
      </c>
      <c r="B1652" s="9" t="s">
        <v>3306</v>
      </c>
      <c r="C1652" t="str">
        <f t="shared" si="75"/>
        <v>kul</v>
      </c>
      <c r="D1652" t="str">
        <f t="shared" si="76"/>
        <v>Engtr</v>
      </c>
      <c r="E1652" t="str">
        <f t="shared" si="77"/>
        <v>aiwat</v>
      </c>
    </row>
    <row r="1653" spans="1:5" ht="15.75" customHeight="1">
      <c r="A1653" s="9" t="s">
        <v>3307</v>
      </c>
      <c r="B1653" s="9" t="s">
        <v>3308</v>
      </c>
      <c r="C1653" t="str">
        <f t="shared" si="75"/>
        <v>rdt</v>
      </c>
      <c r="D1653" t="str">
        <f t="shared" si="76"/>
        <v>Leonh</v>
      </c>
      <c r="E1653" t="str">
        <f t="shared" si="77"/>
        <v>Kerri</v>
      </c>
    </row>
    <row r="1654" spans="1:5" ht="15.75" customHeight="1">
      <c r="A1654" s="9" t="s">
        <v>3309</v>
      </c>
      <c r="B1654" s="9" t="s">
        <v>3310</v>
      </c>
      <c r="C1654" t="str">
        <f t="shared" si="75"/>
        <v>Ms</v>
      </c>
      <c r="D1654" t="str">
        <f t="shared" si="76"/>
        <v>Goetz</v>
      </c>
      <c r="E1654" t="str">
        <f t="shared" si="77"/>
        <v>Lisa</v>
      </c>
    </row>
    <row r="1655" spans="1:5" ht="15.75" customHeight="1">
      <c r="A1655" s="9" t="s">
        <v>3311</v>
      </c>
      <c r="B1655" s="9" t="s">
        <v>3312</v>
      </c>
      <c r="C1655" t="str">
        <f t="shared" si="75"/>
        <v>eli</v>
      </c>
      <c r="D1655" t="str">
        <f t="shared" si="76"/>
        <v>Cacha</v>
      </c>
      <c r="E1655" t="str">
        <f t="shared" si="77"/>
        <v>las G</v>
      </c>
    </row>
    <row r="1656" spans="1:5" ht="15.75" customHeight="1">
      <c r="A1656" s="9" t="s">
        <v>3313</v>
      </c>
      <c r="B1656" s="9" t="s">
        <v>3314</v>
      </c>
      <c r="C1656" t="str">
        <f t="shared" si="75"/>
        <v>is,</v>
      </c>
      <c r="D1656" t="str">
        <f t="shared" si="76"/>
        <v>Kario</v>
      </c>
      <c r="E1656" t="str">
        <f t="shared" si="77"/>
        <v>lis S</v>
      </c>
    </row>
    <row r="1657" spans="1:5" ht="15.75" customHeight="1">
      <c r="A1657" s="9" t="s">
        <v>3315</v>
      </c>
      <c r="B1657" s="9" t="s">
        <v>3316</v>
      </c>
      <c r="C1657" t="str">
        <f t="shared" si="75"/>
        <v>, M</v>
      </c>
      <c r="D1657" t="str">
        <f t="shared" si="76"/>
        <v>Zelwi</v>
      </c>
      <c r="E1657" t="str">
        <f t="shared" si="77"/>
        <v>ael P</v>
      </c>
    </row>
    <row r="1658" spans="1:5" ht="15.75" customHeight="1">
      <c r="A1658" s="9" t="s">
        <v>3317</v>
      </c>
      <c r="B1658" s="9" t="s">
        <v>3318</v>
      </c>
      <c r="C1658" t="str">
        <f t="shared" si="75"/>
        <v>Ms</v>
      </c>
      <c r="D1658" t="str">
        <f t="shared" si="76"/>
        <v>Barry</v>
      </c>
      <c r="E1658" t="str">
        <f t="shared" si="77"/>
        <v>en C.</v>
      </c>
    </row>
    <row r="1659" spans="1:5" ht="15.75" customHeight="1">
      <c r="A1659" s="9" t="s">
        <v>3319</v>
      </c>
      <c r="B1659" s="9" t="s">
        <v>3320</v>
      </c>
      <c r="C1659" t="str">
        <f t="shared" si="75"/>
        <v>, M</v>
      </c>
      <c r="D1659" t="str">
        <f t="shared" si="76"/>
        <v>Banno</v>
      </c>
      <c r="E1659" t="str">
        <f t="shared" si="77"/>
        <v>nnika</v>
      </c>
    </row>
    <row r="1660" spans="1:5" ht="15.75" customHeight="1">
      <c r="A1660" s="9" t="s">
        <v>3321</v>
      </c>
      <c r="B1660" s="9" t="s">
        <v>3322</v>
      </c>
      <c r="C1660" t="str">
        <f t="shared" si="75"/>
        <v>Ms</v>
      </c>
      <c r="D1660" t="str">
        <f t="shared" si="76"/>
        <v>Chang</v>
      </c>
      <c r="E1660" t="str">
        <f t="shared" si="77"/>
        <v>Kelly</v>
      </c>
    </row>
    <row r="1661" spans="1:5" ht="15.75" customHeight="1">
      <c r="A1661" s="9" t="s">
        <v>3323</v>
      </c>
      <c r="B1661" s="9" t="s">
        <v>3324</v>
      </c>
      <c r="C1661" t="str">
        <f t="shared" si="75"/>
        <v>, M</v>
      </c>
      <c r="D1661" t="str">
        <f t="shared" si="76"/>
        <v>Vette</v>
      </c>
      <c r="E1661" t="str">
        <f t="shared" si="77"/>
        <v>as C.</v>
      </c>
    </row>
    <row r="1662" spans="1:5" ht="15.75" customHeight="1">
      <c r="A1662" s="9" t="s">
        <v>3325</v>
      </c>
      <c r="B1662" s="9" t="s">
        <v>3326</v>
      </c>
      <c r="C1662" t="str">
        <f t="shared" si="75"/>
        <v>ski</v>
      </c>
      <c r="D1662" t="str">
        <f t="shared" si="76"/>
        <v>Jablo</v>
      </c>
      <c r="E1662" t="str">
        <f t="shared" si="77"/>
        <v>lly K</v>
      </c>
    </row>
    <row r="1663" spans="1:5" ht="15.75" customHeight="1">
      <c r="A1663" s="9" t="s">
        <v>3327</v>
      </c>
      <c r="B1663" s="9" t="s">
        <v>3328</v>
      </c>
      <c r="C1663" t="str">
        <f t="shared" si="75"/>
        <v>wit</v>
      </c>
      <c r="D1663" t="str">
        <f t="shared" si="76"/>
        <v>Jakub</v>
      </c>
      <c r="E1663" t="str">
        <f t="shared" si="77"/>
        <v>ndrew</v>
      </c>
    </row>
    <row r="1664" spans="1:5" ht="15.75" customHeight="1">
      <c r="A1664" s="9" t="s">
        <v>3329</v>
      </c>
      <c r="B1664" s="9" t="s">
        <v>3330</v>
      </c>
      <c r="C1664" t="str">
        <f t="shared" si="75"/>
        <v>ler</v>
      </c>
      <c r="D1664" t="str">
        <f t="shared" si="76"/>
        <v>Altsh</v>
      </c>
      <c r="E1664" t="str">
        <f t="shared" si="77"/>
        <v>annah</v>
      </c>
    </row>
    <row r="1665" spans="1:5" ht="15.75" customHeight="1">
      <c r="A1665" s="9" t="s">
        <v>3331</v>
      </c>
      <c r="B1665" s="9" t="s">
        <v>3332</v>
      </c>
      <c r="C1665" t="str">
        <f t="shared" si="75"/>
        <v>, M</v>
      </c>
      <c r="D1665" t="str">
        <f t="shared" si="76"/>
        <v>Ugart</v>
      </c>
      <c r="E1665" t="str">
        <f t="shared" si="77"/>
        <v>o Sr.</v>
      </c>
    </row>
    <row r="1666" spans="1:5" ht="15.75" customHeight="1">
      <c r="A1666" s="9" t="s">
        <v>3333</v>
      </c>
      <c r="B1666" s="9" t="s">
        <v>3334</v>
      </c>
      <c r="C1666" t="str">
        <f t="shared" si="75"/>
        <v>Mr</v>
      </c>
      <c r="D1666" t="str">
        <f t="shared" si="76"/>
        <v>Tusso</v>
      </c>
      <c r="E1666" t="str">
        <f t="shared" si="77"/>
        <v>ert B</v>
      </c>
    </row>
    <row r="1667" spans="1:5" ht="15.75" customHeight="1">
      <c r="A1667" s="9" t="s">
        <v>3335</v>
      </c>
      <c r="B1667" s="9" t="s">
        <v>3336</v>
      </c>
      <c r="C1667" t="str">
        <f t="shared" ref="C1667:C1730" si="78">MID(B1667,7,3)</f>
        <v>n,</v>
      </c>
      <c r="D1667" t="str">
        <f t="shared" ref="D1667:D1730" si="79">LEFT(B1667,5)</f>
        <v>Johns</v>
      </c>
      <c r="E1667" t="str">
        <f t="shared" ref="E1667:E1730" si="80">RIGHT(B1667,5)</f>
        <v>min M</v>
      </c>
    </row>
    <row r="1668" spans="1:5" ht="15.75" customHeight="1">
      <c r="A1668" s="9" t="s">
        <v>3337</v>
      </c>
      <c r="B1668" s="9" t="s">
        <v>3338</v>
      </c>
      <c r="C1668" t="str">
        <f t="shared" si="78"/>
        <v>, M</v>
      </c>
      <c r="D1668" t="str">
        <f t="shared" si="79"/>
        <v>Landr</v>
      </c>
      <c r="E1668" t="str">
        <f t="shared" si="80"/>
        <v>obert</v>
      </c>
    </row>
    <row r="1669" spans="1:5" ht="15.75" customHeight="1">
      <c r="A1669" s="9" t="s">
        <v>3339</v>
      </c>
      <c r="B1669" s="9" t="s">
        <v>3340</v>
      </c>
      <c r="C1669" t="str">
        <f t="shared" si="78"/>
        <v>ld,</v>
      </c>
      <c r="D1669" t="str">
        <f t="shared" si="79"/>
        <v>McDon</v>
      </c>
      <c r="E1669" t="str">
        <f t="shared" si="80"/>
        <v>ic R.</v>
      </c>
    </row>
    <row r="1670" spans="1:5" ht="15.75" customHeight="1">
      <c r="A1670" s="9" t="s">
        <v>3341</v>
      </c>
      <c r="B1670" s="9" t="s">
        <v>3342</v>
      </c>
      <c r="C1670" t="str">
        <f t="shared" si="78"/>
        <v>, M</v>
      </c>
      <c r="D1670" t="str">
        <f t="shared" si="79"/>
        <v>Dunla</v>
      </c>
      <c r="E1670" t="str">
        <f t="shared" si="80"/>
        <v>tthew</v>
      </c>
    </row>
    <row r="1671" spans="1:5" ht="15.75" customHeight="1">
      <c r="A1671" s="9" t="s">
        <v>3343</v>
      </c>
      <c r="B1671" s="9" t="s">
        <v>3344</v>
      </c>
      <c r="C1671" t="str">
        <f t="shared" si="78"/>
        <v>Mr</v>
      </c>
      <c r="D1671" t="str">
        <f t="shared" si="79"/>
        <v>Larue</v>
      </c>
      <c r="E1671" t="str">
        <f t="shared" si="80"/>
        <v>Bob R</v>
      </c>
    </row>
    <row r="1672" spans="1:5" ht="15.75" customHeight="1">
      <c r="A1672" s="9" t="s">
        <v>3345</v>
      </c>
      <c r="B1672" s="9" t="s">
        <v>3346</v>
      </c>
      <c r="C1672" t="str">
        <f t="shared" si="78"/>
        <v>Ms</v>
      </c>
      <c r="D1672" t="str">
        <f t="shared" si="79"/>
        <v>Hodge</v>
      </c>
      <c r="E1672" t="str">
        <f t="shared" si="80"/>
        <v>ie J.</v>
      </c>
    </row>
    <row r="1673" spans="1:5" ht="15.75" customHeight="1">
      <c r="A1673" s="9" t="s">
        <v>3347</v>
      </c>
      <c r="B1673" s="9" t="s">
        <v>3348</v>
      </c>
      <c r="C1673" t="str">
        <f t="shared" si="78"/>
        <v>, M</v>
      </c>
      <c r="D1673" t="str">
        <f t="shared" si="79"/>
        <v>Marcu</v>
      </c>
      <c r="E1673" t="str">
        <f t="shared" si="80"/>
        <v>Jake</v>
      </c>
    </row>
    <row r="1674" spans="1:5" ht="15.75" customHeight="1">
      <c r="A1674" s="9" t="s">
        <v>3349</v>
      </c>
      <c r="B1674" s="9" t="s">
        <v>3350</v>
      </c>
      <c r="C1674" t="str">
        <f t="shared" si="78"/>
        <v>t,</v>
      </c>
      <c r="D1674" t="str">
        <f t="shared" si="79"/>
        <v>Daube</v>
      </c>
      <c r="E1674" t="str">
        <f t="shared" si="80"/>
        <v>on L.</v>
      </c>
    </row>
    <row r="1675" spans="1:5" ht="15.75" customHeight="1">
      <c r="A1675" s="9" t="s">
        <v>3351</v>
      </c>
      <c r="B1675" s="9" t="s">
        <v>3352</v>
      </c>
      <c r="C1675" t="str">
        <f t="shared" si="78"/>
        <v>Ms</v>
      </c>
      <c r="D1675" t="str">
        <f t="shared" si="79"/>
        <v>Close</v>
      </c>
      <c r="E1675" t="str">
        <f t="shared" si="80"/>
        <v>say M</v>
      </c>
    </row>
    <row r="1676" spans="1:5" ht="15.75" customHeight="1">
      <c r="A1676" s="9" t="s">
        <v>3353</v>
      </c>
      <c r="B1676" s="9" t="s">
        <v>3354</v>
      </c>
      <c r="C1676" t="str">
        <f t="shared" si="78"/>
        <v>Mr</v>
      </c>
      <c r="D1676" t="str">
        <f t="shared" si="79"/>
        <v>Roels</v>
      </c>
      <c r="E1676" t="str">
        <f t="shared" si="80"/>
        <v>laume</v>
      </c>
    </row>
    <row r="1677" spans="1:5" ht="15.75" customHeight="1">
      <c r="A1677" s="9" t="s">
        <v>3355</v>
      </c>
      <c r="B1677" s="9" t="s">
        <v>3356</v>
      </c>
      <c r="C1677" t="str">
        <f t="shared" si="78"/>
        <v>y,</v>
      </c>
      <c r="D1677" t="str">
        <f t="shared" si="79"/>
        <v>Venos</v>
      </c>
      <c r="E1677" t="str">
        <f t="shared" si="80"/>
        <v>aylee</v>
      </c>
    </row>
    <row r="1678" spans="1:5" ht="15.75" customHeight="1">
      <c r="A1678" s="9" t="s">
        <v>3357</v>
      </c>
      <c r="B1678" s="9" t="s">
        <v>3358</v>
      </c>
      <c r="C1678" t="str">
        <f t="shared" si="78"/>
        <v>l,</v>
      </c>
      <c r="D1678" t="str">
        <f t="shared" si="79"/>
        <v>Gosne</v>
      </c>
      <c r="E1678" t="str">
        <f t="shared" si="80"/>
        <v>eresa</v>
      </c>
    </row>
    <row r="1679" spans="1:5" ht="15.75" customHeight="1">
      <c r="A1679" s="9" t="s">
        <v>3359</v>
      </c>
      <c r="B1679" s="9" t="s">
        <v>3360</v>
      </c>
      <c r="C1679" t="str">
        <f t="shared" si="78"/>
        <v>ng-</v>
      </c>
      <c r="D1679" t="str">
        <f t="shared" si="79"/>
        <v>Chewn</v>
      </c>
      <c r="E1679" t="str">
        <f t="shared" si="80"/>
        <v>is G.</v>
      </c>
    </row>
    <row r="1680" spans="1:5" ht="15.75" customHeight="1">
      <c r="A1680" s="9" t="s">
        <v>3361</v>
      </c>
      <c r="B1680" s="9" t="s">
        <v>3362</v>
      </c>
      <c r="C1680" t="str">
        <f t="shared" si="78"/>
        <v>on,</v>
      </c>
      <c r="D1680" t="str">
        <f t="shared" si="79"/>
        <v>McCar</v>
      </c>
      <c r="E1680" t="str">
        <f t="shared" si="80"/>
        <v>ma L.</v>
      </c>
    </row>
    <row r="1681" spans="1:5" ht="15.75" customHeight="1">
      <c r="A1681" s="9" t="s">
        <v>3363</v>
      </c>
      <c r="B1681" s="9" t="s">
        <v>3364</v>
      </c>
      <c r="C1681" t="str">
        <f t="shared" si="78"/>
        <v>, M</v>
      </c>
      <c r="D1681" t="str">
        <f t="shared" si="79"/>
        <v>Manio</v>
      </c>
      <c r="E1681" t="str">
        <f t="shared" si="80"/>
        <v>Linda</v>
      </c>
    </row>
    <row r="1682" spans="1:5" ht="15.75" customHeight="1">
      <c r="A1682" s="9" t="s">
        <v>3365</v>
      </c>
      <c r="B1682" s="9" t="s">
        <v>3366</v>
      </c>
      <c r="C1682" t="str">
        <f t="shared" si="78"/>
        <v>, M</v>
      </c>
      <c r="D1682" t="str">
        <f t="shared" si="79"/>
        <v>Stron</v>
      </c>
      <c r="E1682" t="str">
        <f t="shared" si="80"/>
        <v>wen R</v>
      </c>
    </row>
    <row r="1683" spans="1:5" ht="15.75" customHeight="1">
      <c r="A1683" s="9" t="s">
        <v>3367</v>
      </c>
      <c r="B1683" s="9" t="s">
        <v>3368</v>
      </c>
      <c r="C1683" t="str">
        <f t="shared" si="78"/>
        <v>c,</v>
      </c>
      <c r="D1683" t="str">
        <f t="shared" si="79"/>
        <v>Lebla</v>
      </c>
      <c r="E1683" t="str">
        <f t="shared" si="80"/>
        <v>Jacob</v>
      </c>
    </row>
    <row r="1684" spans="1:5" ht="15.75" customHeight="1">
      <c r="A1684" s="9" t="s">
        <v>3369</v>
      </c>
      <c r="B1684" s="9" t="s">
        <v>3370</v>
      </c>
      <c r="C1684" t="str">
        <f t="shared" si="78"/>
        <v>, M</v>
      </c>
      <c r="D1684" t="str">
        <f t="shared" si="79"/>
        <v>Palme</v>
      </c>
      <c r="E1684" t="str">
        <f t="shared" si="80"/>
        <v>eline</v>
      </c>
    </row>
    <row r="1685" spans="1:5" ht="15.75" customHeight="1">
      <c r="A1685" s="9" t="s">
        <v>3371</v>
      </c>
      <c r="B1685" s="9" t="s">
        <v>3372</v>
      </c>
      <c r="C1685" t="str">
        <f t="shared" si="78"/>
        <v>Mr.</v>
      </c>
      <c r="D1685" t="str">
        <f t="shared" si="79"/>
        <v>Shen,</v>
      </c>
      <c r="E1685" t="str">
        <f t="shared" si="80"/>
        <v>efeng</v>
      </c>
    </row>
    <row r="1686" spans="1:5" ht="15.75" customHeight="1">
      <c r="A1686" s="9" t="s">
        <v>3373</v>
      </c>
      <c r="B1686" s="9" t="s">
        <v>3374</v>
      </c>
      <c r="C1686" t="str">
        <f t="shared" si="78"/>
        <v>y,</v>
      </c>
      <c r="D1686" t="str">
        <f t="shared" si="79"/>
        <v>Golds</v>
      </c>
      <c r="E1686" t="str">
        <f t="shared" si="80"/>
        <v>mas J</v>
      </c>
    </row>
    <row r="1687" spans="1:5" ht="15.75" customHeight="1">
      <c r="A1687" s="9" t="s">
        <v>3375</v>
      </c>
      <c r="B1687" s="9" t="s">
        <v>3376</v>
      </c>
      <c r="C1687" t="str">
        <f t="shared" si="78"/>
        <v>y,</v>
      </c>
      <c r="D1687" t="str">
        <f t="shared" si="79"/>
        <v>Whitn</v>
      </c>
      <c r="E1687" t="str">
        <f t="shared" si="80"/>
        <v>Ken</v>
      </c>
    </row>
    <row r="1688" spans="1:5" ht="15.75" customHeight="1">
      <c r="A1688" s="9" t="s">
        <v>3377</v>
      </c>
      <c r="B1688" s="9" t="s">
        <v>3378</v>
      </c>
      <c r="C1688" t="str">
        <f t="shared" si="78"/>
        <v>y,</v>
      </c>
      <c r="D1688" t="str">
        <f t="shared" si="79"/>
        <v>Mahon</v>
      </c>
      <c r="E1688" t="str">
        <f t="shared" si="80"/>
        <v>nie E</v>
      </c>
    </row>
    <row r="1689" spans="1:5" ht="15.75" customHeight="1">
      <c r="A1689" s="9" t="s">
        <v>3379</v>
      </c>
      <c r="B1689" s="9" t="s">
        <v>3380</v>
      </c>
      <c r="C1689" t="str">
        <f t="shared" si="78"/>
        <v>ken</v>
      </c>
      <c r="D1689" t="str">
        <f t="shared" si="79"/>
        <v>McCra</v>
      </c>
      <c r="E1689" t="str">
        <f t="shared" si="80"/>
        <v>el K.</v>
      </c>
    </row>
    <row r="1690" spans="1:5" ht="15.75" customHeight="1">
      <c r="A1690" s="9" t="s">
        <v>3381</v>
      </c>
      <c r="B1690" s="9" t="s">
        <v>3382</v>
      </c>
      <c r="C1690" t="str">
        <f t="shared" si="78"/>
        <v>, M</v>
      </c>
      <c r="D1690" t="str">
        <f t="shared" si="79"/>
        <v>Spewa</v>
      </c>
      <c r="E1690" t="str">
        <f t="shared" si="80"/>
        <v>ark S</v>
      </c>
    </row>
    <row r="1691" spans="1:5" ht="15.75" customHeight="1">
      <c r="A1691" s="9" t="s">
        <v>3383</v>
      </c>
      <c r="B1691" s="9" t="s">
        <v>3384</v>
      </c>
      <c r="C1691" t="str">
        <f t="shared" si="78"/>
        <v>i,</v>
      </c>
      <c r="D1691" t="str">
        <f t="shared" si="79"/>
        <v>Cotti</v>
      </c>
      <c r="E1691" t="str">
        <f t="shared" si="80"/>
        <v>erica</v>
      </c>
    </row>
    <row r="1692" spans="1:5" ht="15.75" customHeight="1">
      <c r="A1692" s="9" t="s">
        <v>3385</v>
      </c>
      <c r="B1692" s="9" t="s">
        <v>3386</v>
      </c>
      <c r="C1692" t="str">
        <f t="shared" si="78"/>
        <v>y,</v>
      </c>
      <c r="D1692" t="str">
        <f t="shared" si="79"/>
        <v>Findl</v>
      </c>
      <c r="E1692" t="str">
        <f t="shared" si="80"/>
        <v>ela L</v>
      </c>
    </row>
    <row r="1693" spans="1:5" ht="15.75" customHeight="1">
      <c r="A1693" s="9" t="s">
        <v>3387</v>
      </c>
      <c r="B1693" s="9" t="s">
        <v>3388</v>
      </c>
      <c r="C1693" t="str">
        <f t="shared" si="78"/>
        <v>urg</v>
      </c>
      <c r="D1693" t="str">
        <f t="shared" si="79"/>
        <v>Stras</v>
      </c>
      <c r="E1693" t="str">
        <f t="shared" si="80"/>
        <v>ew W.</v>
      </c>
    </row>
    <row r="1694" spans="1:5" ht="15.75" customHeight="1">
      <c r="A1694" s="9" t="s">
        <v>3389</v>
      </c>
      <c r="B1694" s="9" t="s">
        <v>3390</v>
      </c>
      <c r="C1694" t="str">
        <f t="shared" si="78"/>
        <v>Mr</v>
      </c>
      <c r="D1694" t="str">
        <f t="shared" si="79"/>
        <v>Adams</v>
      </c>
      <c r="E1694" t="str">
        <f t="shared" si="80"/>
        <v>ndall</v>
      </c>
    </row>
    <row r="1695" spans="1:5" ht="15.75" customHeight="1">
      <c r="A1695" s="9" t="s">
        <v>3391</v>
      </c>
      <c r="B1695" s="9" t="s">
        <v>3392</v>
      </c>
      <c r="C1695" t="str">
        <f t="shared" si="78"/>
        <v>, M</v>
      </c>
      <c r="D1695" t="str">
        <f t="shared" si="79"/>
        <v>Deete</v>
      </c>
      <c r="E1695" t="str">
        <f t="shared" si="80"/>
        <v>acy L</v>
      </c>
    </row>
    <row r="1696" spans="1:5" ht="15.75" customHeight="1">
      <c r="A1696" s="9" t="s">
        <v>3393</v>
      </c>
      <c r="B1696" s="9" t="s">
        <v>3394</v>
      </c>
      <c r="C1696" t="str">
        <f t="shared" si="78"/>
        <v>Ms</v>
      </c>
      <c r="D1696" t="str">
        <f t="shared" si="79"/>
        <v>Arpin</v>
      </c>
      <c r="E1696" t="str">
        <f t="shared" si="80"/>
        <v>zelie</v>
      </c>
    </row>
    <row r="1697" spans="1:5" ht="15.75" customHeight="1">
      <c r="A1697" s="9" t="s">
        <v>3395</v>
      </c>
      <c r="B1697" s="9" t="s">
        <v>3396</v>
      </c>
      <c r="C1697" t="str">
        <f t="shared" si="78"/>
        <v>eck</v>
      </c>
      <c r="D1697" t="str">
        <f t="shared" si="79"/>
        <v>Schoe</v>
      </c>
      <c r="E1697" t="str">
        <f t="shared" si="80"/>
        <v>ca M.</v>
      </c>
    </row>
    <row r="1698" spans="1:5" ht="15.75" customHeight="1">
      <c r="A1698" s="9" t="s">
        <v>3397</v>
      </c>
      <c r="B1698" s="9" t="s">
        <v>3398</v>
      </c>
      <c r="C1698" t="str">
        <f t="shared" si="78"/>
        <v>r,</v>
      </c>
      <c r="D1698" t="str">
        <f t="shared" si="79"/>
        <v>Muell</v>
      </c>
      <c r="E1698" t="str">
        <f t="shared" si="80"/>
        <v>na K.</v>
      </c>
    </row>
    <row r="1699" spans="1:5" ht="15.75" customHeight="1">
      <c r="A1699" s="9" t="s">
        <v>3399</v>
      </c>
      <c r="B1699" s="9" t="s">
        <v>3400</v>
      </c>
      <c r="C1699" t="str">
        <f t="shared" si="78"/>
        <v>s,</v>
      </c>
      <c r="D1699" t="str">
        <f t="shared" si="79"/>
        <v>Willi</v>
      </c>
      <c r="E1699" t="str">
        <f t="shared" si="80"/>
        <v>ie L.</v>
      </c>
    </row>
    <row r="1700" spans="1:5" ht="15.75" customHeight="1">
      <c r="A1700" s="9" t="s">
        <v>3401</v>
      </c>
      <c r="B1700" s="9" t="s">
        <v>3402</v>
      </c>
      <c r="C1700" t="str">
        <f t="shared" si="78"/>
        <v>, M</v>
      </c>
      <c r="D1700" t="str">
        <f t="shared" si="79"/>
        <v>Syrin</v>
      </c>
      <c r="E1700" t="str">
        <f t="shared" si="80"/>
        <v>Brian</v>
      </c>
    </row>
    <row r="1701" spans="1:5" ht="15.75" customHeight="1">
      <c r="A1701" s="9" t="s">
        <v>3403</v>
      </c>
      <c r="B1701" s="9" t="s">
        <v>3404</v>
      </c>
      <c r="C1701" t="str">
        <f t="shared" si="78"/>
        <v>, M</v>
      </c>
      <c r="D1701" t="str">
        <f t="shared" si="79"/>
        <v>Strik</v>
      </c>
      <c r="E1701" t="str">
        <f t="shared" si="80"/>
        <v>ey L.</v>
      </c>
    </row>
    <row r="1702" spans="1:5" ht="15.75" customHeight="1">
      <c r="A1702" s="9" t="s">
        <v>3405</v>
      </c>
      <c r="B1702" s="9" t="s">
        <v>3406</v>
      </c>
      <c r="C1702" t="str">
        <f t="shared" si="78"/>
        <v>ar,</v>
      </c>
      <c r="D1702" t="str">
        <f t="shared" si="79"/>
        <v>Henni</v>
      </c>
      <c r="E1702" t="str">
        <f t="shared" si="80"/>
        <v>ephen</v>
      </c>
    </row>
    <row r="1703" spans="1:5" ht="15.75" customHeight="1">
      <c r="A1703" s="9" t="s">
        <v>3407</v>
      </c>
      <c r="B1703" s="9" t="s">
        <v>3408</v>
      </c>
      <c r="C1703" t="str">
        <f t="shared" si="78"/>
        <v>r.</v>
      </c>
      <c r="D1703" t="str">
        <f t="shared" si="79"/>
        <v>May,</v>
      </c>
      <c r="E1703" t="str">
        <f t="shared" si="80"/>
        <v>oshua</v>
      </c>
    </row>
    <row r="1704" spans="1:5" ht="15.75" customHeight="1">
      <c r="A1704" s="9" t="s">
        <v>3409</v>
      </c>
      <c r="B1704" s="9" t="s">
        <v>3410</v>
      </c>
      <c r="C1704" t="str">
        <f t="shared" si="78"/>
        <v>f,</v>
      </c>
      <c r="D1704" t="str">
        <f t="shared" si="79"/>
        <v>Metca</v>
      </c>
      <c r="E1704" t="str">
        <f t="shared" si="80"/>
        <v>Josh</v>
      </c>
    </row>
    <row r="1705" spans="1:5" ht="15.75" customHeight="1">
      <c r="A1705" s="9" t="s">
        <v>3411</v>
      </c>
      <c r="B1705" s="9" t="s">
        <v>3412</v>
      </c>
      <c r="C1705" t="str">
        <f t="shared" si="78"/>
        <v>Ms</v>
      </c>
      <c r="D1705" t="str">
        <f t="shared" si="79"/>
        <v>Tiska</v>
      </c>
      <c r="E1705" t="str">
        <f t="shared" si="80"/>
        <v>ather</v>
      </c>
    </row>
    <row r="1706" spans="1:5" ht="15.75" customHeight="1">
      <c r="A1706" s="9" t="s">
        <v>3413</v>
      </c>
      <c r="B1706" s="9" t="s">
        <v>3414</v>
      </c>
      <c r="C1706" t="str">
        <f t="shared" si="78"/>
        <v>ugh</v>
      </c>
      <c r="D1706" t="str">
        <f t="shared" si="79"/>
        <v>McDon</v>
      </c>
      <c r="E1706" t="str">
        <f t="shared" si="80"/>
        <v>es C.</v>
      </c>
    </row>
    <row r="1707" spans="1:5" ht="15.75" customHeight="1">
      <c r="A1707" s="9" t="s">
        <v>3415</v>
      </c>
      <c r="B1707" s="9" t="s">
        <v>3416</v>
      </c>
      <c r="C1707" t="str">
        <f t="shared" si="78"/>
        <v>y,</v>
      </c>
      <c r="D1707" t="str">
        <f t="shared" si="79"/>
        <v>Fairl</v>
      </c>
      <c r="E1707" t="str">
        <f t="shared" si="80"/>
        <v>Kim</v>
      </c>
    </row>
    <row r="1708" spans="1:5" ht="15.75" customHeight="1">
      <c r="A1708" s="9" t="s">
        <v>3417</v>
      </c>
      <c r="B1708" s="9" t="s">
        <v>3418</v>
      </c>
      <c r="C1708" t="str">
        <f t="shared" si="78"/>
        <v>t,</v>
      </c>
      <c r="D1708" t="str">
        <f t="shared" si="79"/>
        <v>Barne</v>
      </c>
      <c r="E1708" t="str">
        <f t="shared" si="80"/>
        <v>ie E.</v>
      </c>
    </row>
    <row r="1709" spans="1:5" ht="15.75" customHeight="1">
      <c r="A1709" s="9" t="s">
        <v>3419</v>
      </c>
      <c r="B1709" s="9" t="s">
        <v>3420</v>
      </c>
      <c r="C1709" t="str">
        <f t="shared" si="78"/>
        <v>, M</v>
      </c>
      <c r="D1709" t="str">
        <f t="shared" si="79"/>
        <v>Piast</v>
      </c>
      <c r="E1709" t="str">
        <f t="shared" si="80"/>
        <v>riusz</v>
      </c>
    </row>
    <row r="1710" spans="1:5" ht="15.75" customHeight="1">
      <c r="A1710" s="9" t="s">
        <v>3421</v>
      </c>
      <c r="B1710" s="9" t="s">
        <v>3422</v>
      </c>
      <c r="C1710" t="str">
        <f t="shared" si="78"/>
        <v>r,</v>
      </c>
      <c r="D1710" t="str">
        <f t="shared" si="79"/>
        <v>Muell</v>
      </c>
      <c r="E1710" t="str">
        <f t="shared" si="80"/>
        <v>ca E.</v>
      </c>
    </row>
    <row r="1711" spans="1:5" ht="15.75" customHeight="1">
      <c r="A1711" s="9" t="s">
        <v>3423</v>
      </c>
      <c r="B1711" s="9" t="s">
        <v>3424</v>
      </c>
      <c r="C1711" t="str">
        <f t="shared" si="78"/>
        <v>Ms</v>
      </c>
      <c r="D1711" t="str">
        <f t="shared" si="79"/>
        <v>Olsen</v>
      </c>
      <c r="E1711" t="str">
        <f t="shared" si="80"/>
        <v>isten</v>
      </c>
    </row>
    <row r="1712" spans="1:5" ht="15.75" customHeight="1">
      <c r="A1712" s="9" t="s">
        <v>3425</v>
      </c>
      <c r="B1712" s="9" t="s">
        <v>3426</v>
      </c>
      <c r="C1712" t="str">
        <f t="shared" si="78"/>
        <v>us,</v>
      </c>
      <c r="D1712" t="str">
        <f t="shared" si="79"/>
        <v>De Je</v>
      </c>
      <c r="E1712" t="str">
        <f t="shared" si="80"/>
        <v>. Sr.</v>
      </c>
    </row>
    <row r="1713" spans="1:5" ht="15.75" customHeight="1">
      <c r="A1713" s="9" t="s">
        <v>3427</v>
      </c>
      <c r="B1713" s="9" t="s">
        <v>3428</v>
      </c>
      <c r="C1713" t="str">
        <f t="shared" si="78"/>
        <v>, M</v>
      </c>
      <c r="D1713" t="str">
        <f t="shared" si="79"/>
        <v>Bartu</v>
      </c>
      <c r="E1713" t="str">
        <f t="shared" si="80"/>
        <v>nthia</v>
      </c>
    </row>
    <row r="1714" spans="1:5" ht="15.75" customHeight="1">
      <c r="A1714" s="9" t="s">
        <v>3429</v>
      </c>
      <c r="B1714" s="9" t="s">
        <v>3430</v>
      </c>
      <c r="C1714" t="str">
        <f t="shared" si="78"/>
        <v>s,</v>
      </c>
      <c r="D1714" t="str">
        <f t="shared" si="79"/>
        <v>Steve</v>
      </c>
      <c r="E1714" t="str">
        <f t="shared" si="80"/>
        <v>Tyler</v>
      </c>
    </row>
    <row r="1715" spans="1:5" ht="15.75" customHeight="1">
      <c r="A1715" s="9" t="s">
        <v>3431</v>
      </c>
      <c r="B1715" s="9" t="s">
        <v>3432</v>
      </c>
      <c r="C1715" t="str">
        <f t="shared" si="78"/>
        <v>Ms.</v>
      </c>
      <c r="D1715" t="str">
        <f t="shared" si="79"/>
        <v>Rich,</v>
      </c>
      <c r="E1715" t="str">
        <f t="shared" si="80"/>
        <v>lly J</v>
      </c>
    </row>
    <row r="1716" spans="1:5" ht="15.75" customHeight="1">
      <c r="A1716" s="9" t="s">
        <v>3433</v>
      </c>
      <c r="B1716" s="9" t="s">
        <v>3434</v>
      </c>
      <c r="C1716" t="str">
        <f t="shared" si="78"/>
        <v>, M</v>
      </c>
      <c r="D1716" t="str">
        <f t="shared" si="79"/>
        <v>Fayte</v>
      </c>
      <c r="E1716" t="str">
        <f t="shared" si="80"/>
        <v>isten</v>
      </c>
    </row>
    <row r="1717" spans="1:5" ht="15.75" customHeight="1">
      <c r="A1717" s="9" t="s">
        <v>3435</v>
      </c>
      <c r="B1717" s="9" t="s">
        <v>3436</v>
      </c>
      <c r="C1717" t="str">
        <f t="shared" si="78"/>
        <v>, M</v>
      </c>
      <c r="D1717" t="str">
        <f t="shared" si="79"/>
        <v>Paris</v>
      </c>
      <c r="E1717" t="str">
        <f t="shared" si="80"/>
        <v>homas</v>
      </c>
    </row>
    <row r="1718" spans="1:5" ht="15.75" customHeight="1">
      <c r="A1718" s="9" t="s">
        <v>3437</v>
      </c>
      <c r="B1718" s="9" t="s">
        <v>3438</v>
      </c>
      <c r="C1718" t="str">
        <f t="shared" si="78"/>
        <v>, M</v>
      </c>
      <c r="D1718" t="str">
        <f t="shared" si="79"/>
        <v>Andre</v>
      </c>
      <c r="E1718" t="str">
        <f t="shared" si="80"/>
        <v>ity M</v>
      </c>
    </row>
    <row r="1719" spans="1:5" ht="15.75" customHeight="1">
      <c r="A1719" s="9" t="s">
        <v>3439</v>
      </c>
      <c r="B1719" s="9" t="s">
        <v>3440</v>
      </c>
      <c r="C1719" t="str">
        <f t="shared" si="78"/>
        <v>wic</v>
      </c>
      <c r="D1719" t="str">
        <f t="shared" si="79"/>
        <v>Gryni</v>
      </c>
      <c r="E1719" t="str">
        <f t="shared" si="80"/>
        <v>rah A</v>
      </c>
    </row>
    <row r="1720" spans="1:5" ht="15.75" customHeight="1">
      <c r="A1720" s="9" t="s">
        <v>3441</v>
      </c>
      <c r="B1720" s="9" t="s">
        <v>3442</v>
      </c>
      <c r="C1720" t="str">
        <f t="shared" si="78"/>
        <v>, M</v>
      </c>
      <c r="D1720" t="str">
        <f t="shared" si="79"/>
        <v>Panor</v>
      </c>
      <c r="E1720" t="str">
        <f t="shared" si="80"/>
        <v>sa M.</v>
      </c>
    </row>
    <row r="1721" spans="1:5" ht="15.75" customHeight="1">
      <c r="A1721" s="9" t="s">
        <v>3443</v>
      </c>
      <c r="B1721" s="9" t="s">
        <v>3444</v>
      </c>
      <c r="C1721" t="str">
        <f t="shared" si="78"/>
        <v>rd,</v>
      </c>
      <c r="D1721" t="str">
        <f t="shared" si="79"/>
        <v>Woodw</v>
      </c>
      <c r="E1721" t="str">
        <f t="shared" si="80"/>
        <v>cy A.</v>
      </c>
    </row>
    <row r="1722" spans="1:5" ht="15.75" customHeight="1">
      <c r="A1722" s="9" t="s">
        <v>3445</v>
      </c>
      <c r="B1722" s="9" t="s">
        <v>3446</v>
      </c>
      <c r="C1722" t="str">
        <f t="shared" si="78"/>
        <v>Mr</v>
      </c>
      <c r="D1722" t="str">
        <f t="shared" si="79"/>
        <v>Lambe</v>
      </c>
      <c r="E1722" t="str">
        <f t="shared" si="80"/>
        <v>trick</v>
      </c>
    </row>
    <row r="1723" spans="1:5" ht="15.75" customHeight="1">
      <c r="A1723" s="9" t="s">
        <v>3447</v>
      </c>
      <c r="B1723" s="9" t="s">
        <v>3448</v>
      </c>
      <c r="C1723" t="str">
        <f t="shared" si="78"/>
        <v>Mr</v>
      </c>
      <c r="D1723" t="str">
        <f t="shared" si="79"/>
        <v>Casto</v>
      </c>
      <c r="E1723" t="str">
        <f t="shared" si="80"/>
        <v>Trent</v>
      </c>
    </row>
    <row r="1724" spans="1:5" ht="15.75" customHeight="1">
      <c r="A1724" s="9" t="s">
        <v>3449</v>
      </c>
      <c r="B1724" s="9" t="s">
        <v>3450</v>
      </c>
      <c r="C1724" t="str">
        <f t="shared" si="78"/>
        <v>li,</v>
      </c>
      <c r="D1724" t="str">
        <f t="shared" si="79"/>
        <v>Marte</v>
      </c>
      <c r="E1724" t="str">
        <f t="shared" si="80"/>
        <v>Julie</v>
      </c>
    </row>
    <row r="1725" spans="1:5" ht="15.75" customHeight="1">
      <c r="A1725" s="9" t="s">
        <v>3451</v>
      </c>
      <c r="B1725" s="9" t="s">
        <v>3452</v>
      </c>
      <c r="C1725" t="str">
        <f t="shared" si="78"/>
        <v>t,</v>
      </c>
      <c r="D1725" t="str">
        <f t="shared" si="79"/>
        <v>Naskr</v>
      </c>
      <c r="E1725" t="str">
        <f t="shared" si="80"/>
        <v>womir</v>
      </c>
    </row>
    <row r="1726" spans="1:5" ht="15.75" customHeight="1">
      <c r="A1726" s="9" t="s">
        <v>3453</v>
      </c>
      <c r="B1726" s="9" t="s">
        <v>3454</v>
      </c>
      <c r="C1726" t="str">
        <f t="shared" si="78"/>
        <v>, M</v>
      </c>
      <c r="D1726" t="str">
        <f t="shared" si="79"/>
        <v>Morga</v>
      </c>
      <c r="E1726" t="str">
        <f t="shared" si="80"/>
        <v>Micah</v>
      </c>
    </row>
    <row r="1727" spans="1:5" ht="15.75" customHeight="1">
      <c r="A1727" s="9" t="s">
        <v>3455</v>
      </c>
      <c r="B1727" s="9" t="s">
        <v>3456</v>
      </c>
      <c r="C1727" t="str">
        <f t="shared" si="78"/>
        <v>y,</v>
      </c>
      <c r="D1727" t="str">
        <f t="shared" si="79"/>
        <v>Malon</v>
      </c>
      <c r="E1727" t="str">
        <f t="shared" si="80"/>
        <v>ly H.</v>
      </c>
    </row>
    <row r="1728" spans="1:5" ht="15.75" customHeight="1">
      <c r="A1728" s="9" t="s">
        <v>3457</v>
      </c>
      <c r="B1728" s="9" t="s">
        <v>3458</v>
      </c>
      <c r="C1728" t="str">
        <f t="shared" si="78"/>
        <v>t,</v>
      </c>
      <c r="D1728" t="str">
        <f t="shared" si="79"/>
        <v>Amher</v>
      </c>
      <c r="E1728" t="str">
        <f t="shared" si="80"/>
        <v>ay M.</v>
      </c>
    </row>
    <row r="1729" spans="1:5" ht="15.75" customHeight="1">
      <c r="A1729" s="9" t="s">
        <v>3459</v>
      </c>
      <c r="B1729" s="9" t="s">
        <v>3460</v>
      </c>
      <c r="C1729" t="str">
        <f t="shared" si="78"/>
        <v>ort</v>
      </c>
      <c r="D1729" t="str">
        <f t="shared" si="79"/>
        <v>Daven</v>
      </c>
      <c r="E1729" t="str">
        <f t="shared" si="80"/>
        <v>ten G</v>
      </c>
    </row>
    <row r="1730" spans="1:5" ht="15.75" customHeight="1">
      <c r="A1730" s="9" t="s">
        <v>3461</v>
      </c>
      <c r="B1730" s="9" t="s">
        <v>3462</v>
      </c>
      <c r="C1730" t="str">
        <f t="shared" si="78"/>
        <v>en,</v>
      </c>
      <c r="D1730" t="str">
        <f t="shared" si="79"/>
        <v>Johan</v>
      </c>
      <c r="E1730" t="str">
        <f t="shared" si="80"/>
        <v>ry J.</v>
      </c>
    </row>
    <row r="1731" spans="1:5" ht="15.75" customHeight="1">
      <c r="A1731" s="9" t="s">
        <v>3463</v>
      </c>
      <c r="B1731" s="9" t="s">
        <v>3464</v>
      </c>
      <c r="C1731" t="str">
        <f t="shared" ref="C1731:C1794" si="81">MID(B1731,7,3)</f>
        <v>Mr.</v>
      </c>
      <c r="D1731" t="str">
        <f t="shared" ref="D1731:D1794" si="82">LEFT(B1731,5)</f>
        <v>Bond,</v>
      </c>
      <c r="E1731" t="str">
        <f t="shared" ref="E1731:E1794" si="83">RIGHT(B1731,5)</f>
        <v>rt J.</v>
      </c>
    </row>
    <row r="1732" spans="1:5" ht="15.75" customHeight="1">
      <c r="A1732" s="9" t="s">
        <v>3465</v>
      </c>
      <c r="B1732" s="9" t="s">
        <v>3466</v>
      </c>
      <c r="C1732" t="str">
        <f t="shared" si="81"/>
        <v>, M</v>
      </c>
      <c r="D1732" t="str">
        <f t="shared" si="82"/>
        <v>Reill</v>
      </c>
      <c r="E1732" t="str">
        <f t="shared" si="83"/>
        <v>Steph</v>
      </c>
    </row>
    <row r="1733" spans="1:5" ht="15.75" customHeight="1">
      <c r="A1733" s="9" t="s">
        <v>3467</v>
      </c>
      <c r="B1733" s="9" t="s">
        <v>3468</v>
      </c>
      <c r="C1733" t="str">
        <f t="shared" si="81"/>
        <v>er,</v>
      </c>
      <c r="D1733" t="str">
        <f t="shared" si="82"/>
        <v>Chand</v>
      </c>
      <c r="E1733" t="str">
        <f t="shared" si="83"/>
        <v>Kate</v>
      </c>
    </row>
    <row r="1734" spans="1:5" ht="15.75" customHeight="1">
      <c r="A1734" s="9" t="s">
        <v>3469</v>
      </c>
      <c r="B1734" s="9" t="s">
        <v>3470</v>
      </c>
      <c r="C1734" t="str">
        <f t="shared" si="81"/>
        <v>nn,</v>
      </c>
      <c r="D1734" t="str">
        <f t="shared" si="82"/>
        <v>Kaufm</v>
      </c>
      <c r="E1734" t="str">
        <f t="shared" si="83"/>
        <v>stina</v>
      </c>
    </row>
    <row r="1735" spans="1:5" ht="15.75" customHeight="1">
      <c r="A1735" s="9" t="s">
        <v>3471</v>
      </c>
      <c r="B1735" s="9" t="s">
        <v>3472</v>
      </c>
      <c r="C1735" t="str">
        <f t="shared" si="81"/>
        <v>-Zu</v>
      </c>
      <c r="D1735" t="str">
        <f t="shared" si="82"/>
        <v>Barne</v>
      </c>
      <c r="E1735" t="str">
        <f t="shared" si="83"/>
        <v>Flo</v>
      </c>
    </row>
    <row r="1736" spans="1:5" ht="15.75" customHeight="1">
      <c r="A1736" s="9" t="s">
        <v>3473</v>
      </c>
      <c r="B1736" s="9" t="s">
        <v>3474</v>
      </c>
      <c r="C1736" t="str">
        <f t="shared" si="81"/>
        <v>, M</v>
      </c>
      <c r="D1736" t="str">
        <f t="shared" si="82"/>
        <v>Wolte</v>
      </c>
      <c r="E1736" t="str">
        <f t="shared" si="83"/>
        <v>ah P.</v>
      </c>
    </row>
    <row r="1737" spans="1:5" ht="15.75" customHeight="1">
      <c r="A1737" s="9" t="s">
        <v>3475</v>
      </c>
      <c r="B1737" s="9" t="s">
        <v>3476</v>
      </c>
      <c r="C1737" t="str">
        <f t="shared" si="81"/>
        <v>n,</v>
      </c>
      <c r="D1737" t="str">
        <f t="shared" si="82"/>
        <v>Pears</v>
      </c>
      <c r="E1737" t="str">
        <f t="shared" si="83"/>
        <v>nabel</v>
      </c>
    </row>
    <row r="1738" spans="1:5" ht="15.75" customHeight="1">
      <c r="A1738" s="9" t="s">
        <v>3477</v>
      </c>
      <c r="B1738" s="9" t="s">
        <v>3478</v>
      </c>
      <c r="C1738" t="str">
        <f t="shared" si="81"/>
        <v>, M</v>
      </c>
      <c r="D1738" t="str">
        <f t="shared" si="82"/>
        <v>Thoma</v>
      </c>
      <c r="E1738" t="str">
        <f t="shared" si="83"/>
        <v>Ian</v>
      </c>
    </row>
    <row r="1739" spans="1:5" ht="15.75" customHeight="1">
      <c r="A1739" s="9" t="s">
        <v>3479</v>
      </c>
      <c r="B1739" s="9" t="s">
        <v>3480</v>
      </c>
      <c r="C1739" t="str">
        <f t="shared" si="81"/>
        <v>Mr.</v>
      </c>
      <c r="D1739" t="str">
        <f t="shared" si="82"/>
        <v>Leon,</v>
      </c>
      <c r="E1739" t="str">
        <f t="shared" si="83"/>
        <v>Alex</v>
      </c>
    </row>
    <row r="1740" spans="1:5" ht="15.75" customHeight="1">
      <c r="A1740" s="9" t="s">
        <v>3481</v>
      </c>
      <c r="B1740" s="9" t="s">
        <v>3482</v>
      </c>
      <c r="C1740" t="str">
        <f t="shared" si="81"/>
        <v>tt,</v>
      </c>
      <c r="D1740" t="str">
        <f t="shared" si="82"/>
        <v>Marri</v>
      </c>
      <c r="E1740" t="str">
        <f t="shared" si="83"/>
        <v>ard J</v>
      </c>
    </row>
    <row r="1741" spans="1:5" ht="15.75" customHeight="1">
      <c r="A1741" s="9" t="s">
        <v>3483</v>
      </c>
      <c r="B1741" s="9" t="s">
        <v>3484</v>
      </c>
      <c r="C1741" t="str">
        <f t="shared" si="81"/>
        <v>s,</v>
      </c>
      <c r="D1741" t="str">
        <f t="shared" si="82"/>
        <v>Wilki</v>
      </c>
      <c r="E1741" t="str">
        <f t="shared" si="83"/>
        <v>ne N.</v>
      </c>
    </row>
    <row r="1742" spans="1:5" ht="15.75" customHeight="1">
      <c r="A1742" s="9" t="s">
        <v>3485</v>
      </c>
      <c r="B1742" s="9" t="s">
        <v>3486</v>
      </c>
      <c r="C1742" t="str">
        <f t="shared" si="81"/>
        <v>, M</v>
      </c>
      <c r="D1742" t="str">
        <f t="shared" si="82"/>
        <v>Saite</v>
      </c>
      <c r="E1742" t="str">
        <f t="shared" si="83"/>
        <v>Cindy</v>
      </c>
    </row>
    <row r="1743" spans="1:5" ht="15.75" customHeight="1">
      <c r="A1743" s="9" t="s">
        <v>3487</v>
      </c>
      <c r="B1743" s="9" t="s">
        <v>3488</v>
      </c>
      <c r="C1743" t="str">
        <f t="shared" si="81"/>
        <v>, M</v>
      </c>
      <c r="D1743" t="str">
        <f t="shared" si="82"/>
        <v>Winro</v>
      </c>
      <c r="E1743" t="str">
        <f t="shared" si="83"/>
        <v>arcia</v>
      </c>
    </row>
    <row r="1744" spans="1:5" ht="15.75" customHeight="1">
      <c r="A1744" s="9" t="s">
        <v>3489</v>
      </c>
      <c r="B1744" s="9" t="s">
        <v>3490</v>
      </c>
      <c r="C1744" t="str">
        <f t="shared" si="81"/>
        <v>Ms</v>
      </c>
      <c r="D1744" t="str">
        <f t="shared" si="82"/>
        <v>Gries</v>
      </c>
      <c r="E1744" t="str">
        <f t="shared" si="83"/>
        <v>ha R.</v>
      </c>
    </row>
    <row r="1745" spans="1:5" ht="15.75" customHeight="1">
      <c r="A1745" s="9" t="s">
        <v>3491</v>
      </c>
      <c r="B1745" s="9" t="s">
        <v>3492</v>
      </c>
      <c r="C1745" t="str">
        <f t="shared" si="81"/>
        <v>che</v>
      </c>
      <c r="D1745" t="str">
        <f t="shared" si="82"/>
        <v>Stroh</v>
      </c>
      <c r="E1745" t="str">
        <f t="shared" si="83"/>
        <v>Katie</v>
      </c>
    </row>
    <row r="1746" spans="1:5" ht="15.75" customHeight="1">
      <c r="A1746" s="9" t="s">
        <v>3493</v>
      </c>
      <c r="B1746" s="9" t="s">
        <v>3494</v>
      </c>
      <c r="C1746" t="str">
        <f t="shared" si="81"/>
        <v>, M</v>
      </c>
      <c r="D1746" t="str">
        <f t="shared" si="82"/>
        <v>Berge</v>
      </c>
      <c r="E1746" t="str">
        <f t="shared" si="83"/>
        <v>ohn P</v>
      </c>
    </row>
    <row r="1747" spans="1:5" ht="15.75" customHeight="1">
      <c r="A1747" s="9" t="s">
        <v>3495</v>
      </c>
      <c r="B1747" s="9" t="s">
        <v>3496</v>
      </c>
      <c r="C1747" t="str">
        <f t="shared" si="81"/>
        <v>, M</v>
      </c>
      <c r="D1747" t="str">
        <f t="shared" si="82"/>
        <v>Cooga</v>
      </c>
      <c r="E1747" t="str">
        <f t="shared" si="83"/>
        <v>achel</v>
      </c>
    </row>
    <row r="1748" spans="1:5" ht="15.75" customHeight="1">
      <c r="A1748" s="9" t="s">
        <v>3497</v>
      </c>
      <c r="B1748" s="9" t="s">
        <v>3498</v>
      </c>
      <c r="C1748" t="str">
        <f t="shared" si="81"/>
        <v>, M</v>
      </c>
      <c r="D1748" t="str">
        <f t="shared" si="82"/>
        <v>Gagno</v>
      </c>
      <c r="E1748" t="str">
        <f t="shared" si="83"/>
        <v>belle</v>
      </c>
    </row>
    <row r="1749" spans="1:5" ht="15.75" customHeight="1">
      <c r="A1749" s="9" t="s">
        <v>3499</v>
      </c>
      <c r="B1749" s="9" t="s">
        <v>3500</v>
      </c>
      <c r="C1749" t="str">
        <f t="shared" si="81"/>
        <v>n,</v>
      </c>
      <c r="D1749" t="str">
        <f t="shared" si="82"/>
        <v>Pears</v>
      </c>
      <c r="E1749" t="str">
        <f t="shared" si="83"/>
        <v>Neil</v>
      </c>
    </row>
    <row r="1750" spans="1:5" ht="15.75" customHeight="1">
      <c r="A1750" s="9" t="s">
        <v>3501</v>
      </c>
      <c r="B1750" s="9" t="s">
        <v>3502</v>
      </c>
      <c r="C1750" t="str">
        <f t="shared" si="81"/>
        <v>Mr</v>
      </c>
      <c r="D1750" t="str">
        <f t="shared" si="82"/>
        <v>Brian</v>
      </c>
      <c r="E1750" t="str">
        <f t="shared" si="83"/>
        <v>Tom</v>
      </c>
    </row>
    <row r="1751" spans="1:5" ht="15.75" customHeight="1">
      <c r="A1751" s="9" t="s">
        <v>3503</v>
      </c>
      <c r="B1751" s="9" t="s">
        <v>3504</v>
      </c>
      <c r="C1751" t="str">
        <f t="shared" si="81"/>
        <v>Mr</v>
      </c>
      <c r="D1751" t="str">
        <f t="shared" si="82"/>
        <v>Brown</v>
      </c>
      <c r="E1751" t="str">
        <f t="shared" si="83"/>
        <v>athan</v>
      </c>
    </row>
    <row r="1752" spans="1:5" ht="15.75" customHeight="1">
      <c r="A1752" s="9" t="s">
        <v>3505</v>
      </c>
      <c r="B1752" s="9" t="s">
        <v>3506</v>
      </c>
      <c r="C1752" t="str">
        <f t="shared" si="81"/>
        <v>rs.</v>
      </c>
      <c r="D1752" t="str">
        <f t="shared" si="82"/>
        <v>Fox,</v>
      </c>
      <c r="E1752" t="str">
        <f t="shared" si="83"/>
        <v>lli N</v>
      </c>
    </row>
    <row r="1753" spans="1:5" ht="15.75" customHeight="1">
      <c r="A1753" s="9" t="s">
        <v>3507</v>
      </c>
      <c r="B1753" s="9" t="s">
        <v>3508</v>
      </c>
      <c r="C1753" t="str">
        <f t="shared" si="81"/>
        <v>, M</v>
      </c>
      <c r="D1753" t="str">
        <f t="shared" si="82"/>
        <v>Trave</v>
      </c>
      <c r="E1753" t="str">
        <f t="shared" si="83"/>
        <v>tt M.</v>
      </c>
    </row>
    <row r="1754" spans="1:5" ht="15.75" customHeight="1">
      <c r="A1754" s="9" t="s">
        <v>3509</v>
      </c>
      <c r="B1754" s="9" t="s">
        <v>3510</v>
      </c>
      <c r="C1754" t="str">
        <f t="shared" si="81"/>
        <v>Mr</v>
      </c>
      <c r="D1754" t="str">
        <f t="shared" si="82"/>
        <v>Quick</v>
      </c>
      <c r="E1754" t="str">
        <f t="shared" si="83"/>
        <v>ant A</v>
      </c>
    </row>
    <row r="1755" spans="1:5" ht="15.75" customHeight="1">
      <c r="A1755" s="9" t="s">
        <v>3511</v>
      </c>
      <c r="B1755" s="9" t="s">
        <v>3512</v>
      </c>
      <c r="C1755" t="str">
        <f t="shared" si="81"/>
        <v>Mr</v>
      </c>
      <c r="D1755" t="str">
        <f t="shared" si="82"/>
        <v>Scott</v>
      </c>
      <c r="E1755" t="str">
        <f t="shared" si="83"/>
        <v>han C</v>
      </c>
    </row>
    <row r="1756" spans="1:5" ht="15.75" customHeight="1">
      <c r="A1756" s="9" t="s">
        <v>3513</v>
      </c>
      <c r="B1756" s="9" t="s">
        <v>3514</v>
      </c>
      <c r="C1756" t="str">
        <f t="shared" si="81"/>
        <v>t,</v>
      </c>
      <c r="D1756" t="str">
        <f t="shared" si="82"/>
        <v>Theri</v>
      </c>
      <c r="E1756" t="str">
        <f t="shared" si="83"/>
        <v>el M.</v>
      </c>
    </row>
    <row r="1757" spans="1:5" ht="15.75" customHeight="1">
      <c r="A1757" s="9" t="s">
        <v>3515</v>
      </c>
      <c r="B1757" s="9" t="s">
        <v>3516</v>
      </c>
      <c r="C1757" t="str">
        <f t="shared" si="81"/>
        <v>is,</v>
      </c>
      <c r="D1757" t="str">
        <f t="shared" si="82"/>
        <v>Micha</v>
      </c>
      <c r="E1757" t="str">
        <f t="shared" si="83"/>
        <v>Pilar</v>
      </c>
    </row>
    <row r="1758" spans="1:5" ht="15.75" customHeight="1">
      <c r="A1758" s="9" t="s">
        <v>3517</v>
      </c>
      <c r="B1758" s="9" t="s">
        <v>3518</v>
      </c>
      <c r="C1758" t="str">
        <f t="shared" si="81"/>
        <v>Mr.</v>
      </c>
      <c r="D1758" t="str">
        <f t="shared" si="82"/>
        <v>Hall,</v>
      </c>
      <c r="E1758" t="str">
        <f t="shared" si="83"/>
        <v>yle M</v>
      </c>
    </row>
    <row r="1759" spans="1:5" ht="15.75" customHeight="1">
      <c r="A1759" s="9" t="s">
        <v>3519</v>
      </c>
      <c r="B1759" s="9" t="s">
        <v>3520</v>
      </c>
      <c r="C1759" t="str">
        <f t="shared" si="81"/>
        <v>Cle</v>
      </c>
      <c r="D1759" t="str">
        <f t="shared" si="82"/>
        <v>Tjong</v>
      </c>
      <c r="E1759" t="str">
        <f t="shared" si="83"/>
        <v>istie</v>
      </c>
    </row>
    <row r="1760" spans="1:5" ht="15.75" customHeight="1">
      <c r="A1760" s="9" t="s">
        <v>3521</v>
      </c>
      <c r="B1760" s="9" t="s">
        <v>3522</v>
      </c>
      <c r="C1760" t="str">
        <f t="shared" si="81"/>
        <v>Mr</v>
      </c>
      <c r="D1760" t="str">
        <f t="shared" si="82"/>
        <v>Palma</v>
      </c>
      <c r="E1760" t="str">
        <f t="shared" si="83"/>
        <v>id A.</v>
      </c>
    </row>
    <row r="1761" spans="1:5" ht="15.75" customHeight="1">
      <c r="A1761" s="9" t="s">
        <v>3523</v>
      </c>
      <c r="B1761" s="9" t="s">
        <v>3524</v>
      </c>
      <c r="C1761" t="str">
        <f t="shared" si="81"/>
        <v>a,</v>
      </c>
      <c r="D1761" t="str">
        <f t="shared" si="82"/>
        <v>Takao</v>
      </c>
      <c r="E1761" t="str">
        <f t="shared" si="83"/>
        <v>ahiro</v>
      </c>
    </row>
    <row r="1762" spans="1:5" ht="15.75" customHeight="1">
      <c r="A1762" s="9" t="s">
        <v>3525</v>
      </c>
      <c r="B1762" s="9" t="s">
        <v>3526</v>
      </c>
      <c r="C1762" t="str">
        <f t="shared" si="81"/>
        <v>n,</v>
      </c>
      <c r="D1762" t="str">
        <f t="shared" si="82"/>
        <v>Sherm</v>
      </c>
      <c r="E1762" t="str">
        <f t="shared" si="83"/>
        <v>an B.</v>
      </c>
    </row>
    <row r="1763" spans="1:5" ht="15.75" customHeight="1">
      <c r="A1763" s="9" t="s">
        <v>3527</v>
      </c>
      <c r="B1763" s="9" t="s">
        <v>3528</v>
      </c>
      <c r="C1763" t="str">
        <f t="shared" si="81"/>
        <v>Ms</v>
      </c>
      <c r="D1763" t="str">
        <f t="shared" si="82"/>
        <v>Andre</v>
      </c>
      <c r="E1763" t="str">
        <f t="shared" si="83"/>
        <v>ie L.</v>
      </c>
    </row>
    <row r="1764" spans="1:5" ht="15.75" customHeight="1">
      <c r="A1764" s="9" t="s">
        <v>3529</v>
      </c>
      <c r="B1764" s="9" t="s">
        <v>3530</v>
      </c>
      <c r="C1764" t="str">
        <f t="shared" si="81"/>
        <v>Ms</v>
      </c>
      <c r="D1764" t="str">
        <f t="shared" si="82"/>
        <v>Switt</v>
      </c>
      <c r="E1764" t="str">
        <f t="shared" si="83"/>
        <v>ela H</v>
      </c>
    </row>
    <row r="1765" spans="1:5" ht="15.75" customHeight="1">
      <c r="A1765" s="9" t="s">
        <v>3531</v>
      </c>
      <c r="B1765" s="9" t="s">
        <v>3532</v>
      </c>
      <c r="C1765" t="str">
        <f t="shared" si="81"/>
        <v>on,</v>
      </c>
      <c r="D1765" t="str">
        <f t="shared" si="82"/>
        <v>Erick</v>
      </c>
      <c r="E1765" t="str">
        <f t="shared" si="83"/>
        <v>itt K</v>
      </c>
    </row>
    <row r="1766" spans="1:5" ht="15.75" customHeight="1">
      <c r="A1766" s="9" t="s">
        <v>3533</v>
      </c>
      <c r="B1766" s="9" t="s">
        <v>3534</v>
      </c>
      <c r="C1766" t="str">
        <f t="shared" si="81"/>
        <v>, M</v>
      </c>
      <c r="D1766" t="str">
        <f t="shared" si="82"/>
        <v>Mille</v>
      </c>
      <c r="E1766" t="str">
        <f t="shared" si="83"/>
        <v>ce R.</v>
      </c>
    </row>
    <row r="1767" spans="1:5" ht="15.75" customHeight="1">
      <c r="A1767" s="9" t="s">
        <v>3535</v>
      </c>
      <c r="B1767" s="9" t="s">
        <v>3536</v>
      </c>
      <c r="C1767" t="str">
        <f t="shared" si="81"/>
        <v>ck,</v>
      </c>
      <c r="D1767" t="str">
        <f t="shared" si="82"/>
        <v>Whitb</v>
      </c>
      <c r="E1767" t="str">
        <f t="shared" si="83"/>
        <v>Ben</v>
      </c>
    </row>
    <row r="1768" spans="1:5" ht="15.75" customHeight="1">
      <c r="A1768" s="9" t="s">
        <v>3537</v>
      </c>
      <c r="B1768" s="9" t="s">
        <v>3538</v>
      </c>
      <c r="C1768" t="str">
        <f t="shared" si="81"/>
        <v>Ms.</v>
      </c>
      <c r="D1768" t="str">
        <f t="shared" si="82"/>
        <v>Auer,</v>
      </c>
      <c r="E1768" t="str">
        <f t="shared" si="83"/>
        <v>ah M.</v>
      </c>
    </row>
    <row r="1769" spans="1:5" ht="15.75" customHeight="1">
      <c r="A1769" s="9" t="s">
        <v>3539</v>
      </c>
      <c r="B1769" s="9" t="s">
        <v>3540</v>
      </c>
      <c r="C1769" t="str">
        <f t="shared" si="81"/>
        <v>Ms</v>
      </c>
      <c r="D1769" t="str">
        <f t="shared" si="82"/>
        <v>Attar</v>
      </c>
      <c r="E1769" t="str">
        <f t="shared" si="83"/>
        <v>Sarah</v>
      </c>
    </row>
    <row r="1770" spans="1:5" ht="15.75" customHeight="1">
      <c r="A1770" s="9" t="s">
        <v>3541</v>
      </c>
      <c r="B1770" s="9" t="s">
        <v>3542</v>
      </c>
      <c r="C1770" t="str">
        <f t="shared" si="81"/>
        <v>ca,</v>
      </c>
      <c r="D1770" t="str">
        <f t="shared" si="82"/>
        <v>Misur</v>
      </c>
      <c r="E1770" t="str">
        <f t="shared" si="83"/>
        <v>Katie</v>
      </c>
    </row>
    <row r="1771" spans="1:5" ht="15.75" customHeight="1">
      <c r="A1771" s="9" t="s">
        <v>3543</v>
      </c>
      <c r="B1771" s="9" t="s">
        <v>3544</v>
      </c>
      <c r="C1771" t="str">
        <f t="shared" si="81"/>
        <v>us,</v>
      </c>
      <c r="D1771" t="str">
        <f t="shared" si="82"/>
        <v>Spann</v>
      </c>
      <c r="E1771" t="str">
        <f t="shared" si="83"/>
        <v>ela L</v>
      </c>
    </row>
    <row r="1772" spans="1:5" ht="15.75" customHeight="1">
      <c r="A1772" s="9" t="s">
        <v>3545</v>
      </c>
      <c r="B1772" s="9" t="s">
        <v>3546</v>
      </c>
      <c r="C1772" t="str">
        <f t="shared" si="81"/>
        <v>t,</v>
      </c>
      <c r="D1772" t="str">
        <f t="shared" si="82"/>
        <v>Tarbi</v>
      </c>
      <c r="E1772" t="str">
        <f t="shared" si="83"/>
        <v>laleh</v>
      </c>
    </row>
    <row r="1773" spans="1:5" ht="15.75" customHeight="1">
      <c r="A1773" s="9" t="s">
        <v>3547</v>
      </c>
      <c r="B1773" s="9" t="s">
        <v>3548</v>
      </c>
      <c r="C1773" t="str">
        <f t="shared" si="81"/>
        <v>nen</v>
      </c>
      <c r="D1773" t="str">
        <f t="shared" si="82"/>
        <v>Pulkk</v>
      </c>
      <c r="E1773" t="str">
        <f t="shared" si="83"/>
        <v>Karen</v>
      </c>
    </row>
    <row r="1774" spans="1:5" ht="15.75" customHeight="1">
      <c r="A1774" s="9" t="s">
        <v>3549</v>
      </c>
      <c r="B1774" s="9" t="s">
        <v>3550</v>
      </c>
      <c r="C1774" t="str">
        <f t="shared" si="81"/>
        <v>ova</v>
      </c>
      <c r="D1774" t="str">
        <f t="shared" si="82"/>
        <v>Trnov</v>
      </c>
      <c r="E1774" t="str">
        <f t="shared" si="83"/>
        <v>uzana</v>
      </c>
    </row>
    <row r="1775" spans="1:5" ht="15.75" customHeight="1">
      <c r="A1775" s="9" t="s">
        <v>3551</v>
      </c>
      <c r="B1775" s="9" t="s">
        <v>3552</v>
      </c>
      <c r="C1775" t="str">
        <f t="shared" si="81"/>
        <v>y,</v>
      </c>
      <c r="D1775" t="str">
        <f t="shared" si="82"/>
        <v>Antho</v>
      </c>
      <c r="E1775" t="str">
        <f t="shared" si="83"/>
        <v>el J.</v>
      </c>
    </row>
    <row r="1776" spans="1:5" ht="15.75" customHeight="1">
      <c r="A1776" s="9" t="s">
        <v>3553</v>
      </c>
      <c r="B1776" s="9" t="s">
        <v>3554</v>
      </c>
      <c r="C1776" t="str">
        <f t="shared" si="81"/>
        <v>k,</v>
      </c>
      <c r="D1776" t="str">
        <f t="shared" si="82"/>
        <v>Hetri</v>
      </c>
      <c r="E1776" t="str">
        <f t="shared" si="83"/>
        <v>andra</v>
      </c>
    </row>
    <row r="1777" spans="1:5" ht="15.75" customHeight="1">
      <c r="A1777" s="9" t="s">
        <v>3555</v>
      </c>
      <c r="B1777" s="9" t="s">
        <v>3556</v>
      </c>
      <c r="C1777" t="str">
        <f t="shared" si="81"/>
        <v>Ms</v>
      </c>
      <c r="D1777" t="str">
        <f t="shared" si="82"/>
        <v>Stern</v>
      </c>
      <c r="E1777" t="str">
        <f t="shared" si="83"/>
        <v>ssica</v>
      </c>
    </row>
    <row r="1778" spans="1:5" ht="15.75" customHeight="1">
      <c r="A1778" s="9" t="s">
        <v>3557</v>
      </c>
      <c r="B1778" s="9" t="s">
        <v>3558</v>
      </c>
      <c r="C1778" t="str">
        <f t="shared" si="81"/>
        <v>, M</v>
      </c>
      <c r="D1778" t="str">
        <f t="shared" si="82"/>
        <v>Newma</v>
      </c>
      <c r="E1778" t="str">
        <f t="shared" si="83"/>
        <v>hew M</v>
      </c>
    </row>
    <row r="1779" spans="1:5" ht="15.75" customHeight="1">
      <c r="A1779" s="9" t="s">
        <v>3559</v>
      </c>
      <c r="B1779" s="9" t="s">
        <v>3560</v>
      </c>
      <c r="C1779" t="str">
        <f t="shared" si="81"/>
        <v>er,</v>
      </c>
      <c r="D1779" t="str">
        <f t="shared" si="82"/>
        <v>Reaso</v>
      </c>
      <c r="E1779" t="str">
        <f t="shared" si="83"/>
        <v>ne A.</v>
      </c>
    </row>
    <row r="1780" spans="1:5" ht="15.75" customHeight="1">
      <c r="A1780" s="9" t="s">
        <v>3561</v>
      </c>
      <c r="B1780" s="9" t="s">
        <v>3562</v>
      </c>
      <c r="C1780" t="str">
        <f t="shared" si="81"/>
        <v>Mr.</v>
      </c>
      <c r="D1780" t="str">
        <f t="shared" si="82"/>
        <v>Mone,</v>
      </c>
      <c r="E1780" t="str">
        <f t="shared" si="83"/>
        <v>. Jr.</v>
      </c>
    </row>
    <row r="1781" spans="1:5" ht="15.75" customHeight="1">
      <c r="A1781" s="9" t="s">
        <v>3563</v>
      </c>
      <c r="B1781" s="9" t="s">
        <v>3564</v>
      </c>
      <c r="C1781" t="str">
        <f t="shared" si="81"/>
        <v>, M</v>
      </c>
      <c r="D1781" t="str">
        <f t="shared" si="82"/>
        <v>Power</v>
      </c>
      <c r="E1781" t="str">
        <f t="shared" si="83"/>
        <v>een M</v>
      </c>
    </row>
    <row r="1782" spans="1:5" ht="15.75" customHeight="1">
      <c r="A1782" s="9" t="s">
        <v>3565</v>
      </c>
      <c r="B1782" s="9" t="s">
        <v>3566</v>
      </c>
      <c r="C1782" t="str">
        <f t="shared" si="81"/>
        <v>Ms</v>
      </c>
      <c r="D1782" t="str">
        <f t="shared" si="82"/>
        <v>Ulery</v>
      </c>
      <c r="E1782" t="str">
        <f t="shared" si="83"/>
        <v>ie A.</v>
      </c>
    </row>
    <row r="1783" spans="1:5" ht="15.75" customHeight="1">
      <c r="A1783" s="9" t="s">
        <v>3567</v>
      </c>
      <c r="B1783" s="9" t="s">
        <v>3568</v>
      </c>
      <c r="C1783" t="str">
        <f t="shared" si="81"/>
        <v>, M</v>
      </c>
      <c r="D1783" t="str">
        <f t="shared" si="82"/>
        <v>Haine</v>
      </c>
      <c r="E1783" t="str">
        <f t="shared" si="83"/>
        <v>las W</v>
      </c>
    </row>
    <row r="1784" spans="1:5" ht="15.75" customHeight="1">
      <c r="A1784" s="9" t="s">
        <v>3569</v>
      </c>
      <c r="B1784" s="9" t="s">
        <v>3570</v>
      </c>
      <c r="C1784" t="str">
        <f t="shared" si="81"/>
        <v>i,</v>
      </c>
      <c r="D1784" t="str">
        <f t="shared" si="82"/>
        <v>Airol</v>
      </c>
      <c r="E1784" t="str">
        <f t="shared" si="83"/>
        <v>erine</v>
      </c>
    </row>
    <row r="1785" spans="1:5" ht="15.75" customHeight="1">
      <c r="A1785" s="9" t="s">
        <v>3571</v>
      </c>
      <c r="B1785" s="9" t="s">
        <v>3572</v>
      </c>
      <c r="C1785" t="str">
        <f t="shared" si="81"/>
        <v>, M</v>
      </c>
      <c r="D1785" t="str">
        <f t="shared" si="82"/>
        <v>Matti</v>
      </c>
      <c r="E1785" t="str">
        <f t="shared" si="83"/>
        <v>mes A</v>
      </c>
    </row>
    <row r="1786" spans="1:5" ht="15.75" customHeight="1">
      <c r="A1786" s="9" t="s">
        <v>3573</v>
      </c>
      <c r="B1786" s="9" t="s">
        <v>3574</v>
      </c>
      <c r="C1786" t="str">
        <f t="shared" si="81"/>
        <v>r.</v>
      </c>
      <c r="D1786" t="str">
        <f t="shared" si="82"/>
        <v>Cho,</v>
      </c>
      <c r="E1786" t="str">
        <f t="shared" si="83"/>
        <v>seong</v>
      </c>
    </row>
    <row r="1787" spans="1:5" ht="15.75" customHeight="1">
      <c r="A1787" s="9" t="s">
        <v>3575</v>
      </c>
      <c r="B1787" s="9" t="s">
        <v>3576</v>
      </c>
      <c r="C1787" t="str">
        <f t="shared" si="81"/>
        <v>n,</v>
      </c>
      <c r="D1787" t="str">
        <f t="shared" si="82"/>
        <v>Reuma</v>
      </c>
      <c r="E1787" t="str">
        <f t="shared" si="83"/>
        <v>John</v>
      </c>
    </row>
    <row r="1788" spans="1:5" ht="15.75" customHeight="1">
      <c r="A1788" s="9" t="s">
        <v>3577</v>
      </c>
      <c r="B1788" s="9" t="s">
        <v>3578</v>
      </c>
      <c r="C1788" t="str">
        <f t="shared" si="81"/>
        <v>, M</v>
      </c>
      <c r="D1788" t="str">
        <f t="shared" si="82"/>
        <v>Coope</v>
      </c>
      <c r="E1788" t="str">
        <f t="shared" si="83"/>
        <v>on S.</v>
      </c>
    </row>
    <row r="1789" spans="1:5" ht="15.75" customHeight="1">
      <c r="A1789" s="9" t="s">
        <v>3579</v>
      </c>
      <c r="B1789" s="9" t="s">
        <v>3580</v>
      </c>
      <c r="C1789" t="str">
        <f t="shared" si="81"/>
        <v>y,</v>
      </c>
      <c r="D1789" t="str">
        <f t="shared" si="82"/>
        <v>Kenne</v>
      </c>
      <c r="E1789" t="str">
        <f t="shared" si="83"/>
        <v>ean P</v>
      </c>
    </row>
    <row r="1790" spans="1:5" ht="15.75" customHeight="1">
      <c r="A1790" s="9" t="s">
        <v>3581</v>
      </c>
      <c r="B1790" s="9" t="s">
        <v>3582</v>
      </c>
      <c r="C1790" t="str">
        <f t="shared" si="81"/>
        <v>, M</v>
      </c>
      <c r="D1790" t="str">
        <f t="shared" si="82"/>
        <v>Cicho</v>
      </c>
      <c r="E1790" t="str">
        <f t="shared" si="83"/>
        <v>Scott</v>
      </c>
    </row>
    <row r="1791" spans="1:5" ht="15.75" customHeight="1">
      <c r="A1791" s="9" t="s">
        <v>3583</v>
      </c>
      <c r="B1791" s="9" t="s">
        <v>3584</v>
      </c>
      <c r="C1791" t="str">
        <f t="shared" si="81"/>
        <v>ic,</v>
      </c>
      <c r="D1791" t="str">
        <f t="shared" si="82"/>
        <v>Maroe</v>
      </c>
      <c r="E1791" t="str">
        <f t="shared" si="83"/>
        <v>Janez</v>
      </c>
    </row>
    <row r="1792" spans="1:5" ht="15.75" customHeight="1">
      <c r="A1792" s="9" t="s">
        <v>3585</v>
      </c>
      <c r="B1792" s="9" t="s">
        <v>3586</v>
      </c>
      <c r="C1792" t="str">
        <f t="shared" si="81"/>
        <v>, M</v>
      </c>
      <c r="D1792" t="str">
        <f t="shared" si="82"/>
        <v>Marti</v>
      </c>
      <c r="E1792" t="str">
        <f t="shared" si="83"/>
        <v>. Jr.</v>
      </c>
    </row>
    <row r="1793" spans="1:5" ht="15.75" customHeight="1">
      <c r="A1793" s="9" t="s">
        <v>3587</v>
      </c>
      <c r="B1793" s="9" t="s">
        <v>3588</v>
      </c>
      <c r="C1793" t="str">
        <f t="shared" si="81"/>
        <v>, M</v>
      </c>
      <c r="D1793" t="str">
        <f t="shared" si="82"/>
        <v>Schul</v>
      </c>
      <c r="E1793" t="str">
        <f t="shared" si="83"/>
        <v>ather</v>
      </c>
    </row>
    <row r="1794" spans="1:5" ht="15.75" customHeight="1">
      <c r="A1794" s="9" t="s">
        <v>3589</v>
      </c>
      <c r="B1794" s="9" t="s">
        <v>3590</v>
      </c>
      <c r="C1794" t="str">
        <f t="shared" si="81"/>
        <v>lo,</v>
      </c>
      <c r="D1794" t="str">
        <f t="shared" si="82"/>
        <v>Capri</v>
      </c>
      <c r="E1794" t="str">
        <f t="shared" si="83"/>
        <v>chael</v>
      </c>
    </row>
    <row r="1795" spans="1:5" ht="15.75" customHeight="1">
      <c r="A1795" s="9" t="s">
        <v>3591</v>
      </c>
      <c r="B1795" s="9" t="s">
        <v>3592</v>
      </c>
      <c r="C1795" t="str">
        <f t="shared" ref="C1795:C1858" si="84">MID(B1795,7,3)</f>
        <v>s,</v>
      </c>
      <c r="D1795" t="str">
        <f t="shared" ref="D1795:D1858" si="85">LEFT(B1795,5)</f>
        <v>Borle</v>
      </c>
      <c r="E1795" t="str">
        <f t="shared" ref="E1795:E1858" si="86">RIGHT(B1795,5)</f>
        <v>hleen</v>
      </c>
    </row>
    <row r="1796" spans="1:5" ht="15.75" customHeight="1">
      <c r="A1796" s="9" t="s">
        <v>3593</v>
      </c>
      <c r="B1796" s="9" t="s">
        <v>3594</v>
      </c>
      <c r="C1796" t="str">
        <f t="shared" si="84"/>
        <v>, M</v>
      </c>
      <c r="D1796" t="str">
        <f t="shared" si="85"/>
        <v>Krame</v>
      </c>
      <c r="E1796" t="str">
        <f t="shared" si="86"/>
        <v>yan M</v>
      </c>
    </row>
    <row r="1797" spans="1:5" ht="15.75" customHeight="1">
      <c r="A1797" s="9" t="s">
        <v>3595</v>
      </c>
      <c r="B1797" s="9" t="s">
        <v>3596</v>
      </c>
      <c r="C1797" t="str">
        <f t="shared" si="84"/>
        <v>, M</v>
      </c>
      <c r="D1797" t="str">
        <f t="shared" si="85"/>
        <v>Conra</v>
      </c>
      <c r="E1797" t="str">
        <f t="shared" si="86"/>
        <v>Sara</v>
      </c>
    </row>
    <row r="1798" spans="1:5" ht="15.75" customHeight="1">
      <c r="A1798" s="9" t="s">
        <v>3597</v>
      </c>
      <c r="B1798" s="9" t="s">
        <v>3598</v>
      </c>
      <c r="C1798" t="str">
        <f t="shared" si="84"/>
        <v>yun</v>
      </c>
      <c r="D1798" t="str">
        <f t="shared" si="85"/>
        <v>Karak</v>
      </c>
      <c r="E1798" t="str">
        <f t="shared" si="86"/>
        <v>Deniz</v>
      </c>
    </row>
    <row r="1799" spans="1:5" ht="15.75" customHeight="1">
      <c r="A1799" s="9" t="s">
        <v>3599</v>
      </c>
      <c r="B1799" s="9" t="s">
        <v>3600</v>
      </c>
      <c r="C1799" t="str">
        <f t="shared" si="84"/>
        <v>ier</v>
      </c>
      <c r="D1799" t="str">
        <f t="shared" si="85"/>
        <v>Desro</v>
      </c>
      <c r="E1799" t="str">
        <f t="shared" si="86"/>
        <v>on L.</v>
      </c>
    </row>
    <row r="1800" spans="1:5" ht="15.75" customHeight="1">
      <c r="A1800" s="9" t="s">
        <v>3601</v>
      </c>
      <c r="B1800" s="9" t="s">
        <v>3602</v>
      </c>
      <c r="C1800" t="str">
        <f t="shared" si="84"/>
        <v>, M</v>
      </c>
      <c r="D1800" t="str">
        <f t="shared" si="85"/>
        <v>O'Mar</v>
      </c>
      <c r="E1800" t="str">
        <f t="shared" si="86"/>
        <v>in M.</v>
      </c>
    </row>
    <row r="1801" spans="1:5" ht="15.75" customHeight="1">
      <c r="A1801" s="9" t="s">
        <v>3603</v>
      </c>
      <c r="B1801" s="9" t="s">
        <v>3604</v>
      </c>
      <c r="C1801" t="str">
        <f t="shared" si="84"/>
        <v>Ma</v>
      </c>
      <c r="D1801" t="str">
        <f t="shared" si="85"/>
        <v>Shabo</v>
      </c>
      <c r="E1801" t="str">
        <f t="shared" si="86"/>
        <v>fredo</v>
      </c>
    </row>
    <row r="1802" spans="1:5" ht="15.75" customHeight="1">
      <c r="A1802" s="9" t="s">
        <v>3605</v>
      </c>
      <c r="B1802" s="9" t="s">
        <v>3606</v>
      </c>
      <c r="C1802" t="str">
        <f t="shared" si="84"/>
        <v>t,</v>
      </c>
      <c r="D1802" t="str">
        <f t="shared" si="85"/>
        <v>Comme</v>
      </c>
      <c r="E1802" t="str">
        <f t="shared" si="86"/>
        <v>isten</v>
      </c>
    </row>
    <row r="1803" spans="1:5" ht="15.75" customHeight="1">
      <c r="A1803" s="9" t="s">
        <v>3607</v>
      </c>
      <c r="B1803" s="9" t="s">
        <v>3608</v>
      </c>
      <c r="C1803" t="str">
        <f t="shared" si="84"/>
        <v>Mr.</v>
      </c>
      <c r="D1803" t="str">
        <f t="shared" si="85"/>
        <v>Moss,</v>
      </c>
      <c r="E1803" t="str">
        <f t="shared" si="86"/>
        <v>aniel</v>
      </c>
    </row>
    <row r="1804" spans="1:5" ht="15.75" customHeight="1">
      <c r="A1804" s="9" t="s">
        <v>3609</v>
      </c>
      <c r="B1804" s="9" t="s">
        <v>3610</v>
      </c>
      <c r="C1804" t="str">
        <f t="shared" si="84"/>
        <v>, M</v>
      </c>
      <c r="D1804" t="str">
        <f t="shared" si="85"/>
        <v>Guzma</v>
      </c>
      <c r="E1804" t="str">
        <f t="shared" si="86"/>
        <v>athan</v>
      </c>
    </row>
    <row r="1805" spans="1:5" ht="15.75" customHeight="1">
      <c r="A1805" s="9" t="s">
        <v>3611</v>
      </c>
      <c r="B1805" s="9" t="s">
        <v>3612</v>
      </c>
      <c r="C1805" t="str">
        <f t="shared" si="84"/>
        <v>r.</v>
      </c>
      <c r="D1805" t="str">
        <f t="shared" si="85"/>
        <v>Cox,</v>
      </c>
      <c r="E1805" t="str">
        <f t="shared" si="86"/>
        <v>Troy</v>
      </c>
    </row>
    <row r="1806" spans="1:5" ht="15.75" customHeight="1">
      <c r="A1806" s="9" t="s">
        <v>3613</v>
      </c>
      <c r="B1806" s="9" t="s">
        <v>3614</v>
      </c>
      <c r="C1806" t="str">
        <f t="shared" si="84"/>
        <v>Mr</v>
      </c>
      <c r="D1806" t="str">
        <f t="shared" si="85"/>
        <v>Clash</v>
      </c>
      <c r="E1806" t="str">
        <f t="shared" si="86"/>
        <v>iel C</v>
      </c>
    </row>
    <row r="1807" spans="1:5" ht="15.75" customHeight="1">
      <c r="A1807" s="9" t="s">
        <v>3615</v>
      </c>
      <c r="B1807" s="9" t="s">
        <v>3616</v>
      </c>
      <c r="C1807" t="str">
        <f t="shared" si="84"/>
        <v>nsh</v>
      </c>
      <c r="D1807" t="str">
        <f t="shared" si="85"/>
        <v>Blank</v>
      </c>
      <c r="E1807" t="str">
        <f t="shared" si="86"/>
        <v>auren</v>
      </c>
    </row>
    <row r="1808" spans="1:5" ht="15.75" customHeight="1">
      <c r="A1808" s="9" t="s">
        <v>3617</v>
      </c>
      <c r="B1808" s="9" t="s">
        <v>3618</v>
      </c>
      <c r="C1808" t="str">
        <f t="shared" si="84"/>
        <v>Ms</v>
      </c>
      <c r="D1808" t="str">
        <f t="shared" si="85"/>
        <v>Lloyd</v>
      </c>
      <c r="E1808" t="str">
        <f t="shared" si="86"/>
        <v>nefer</v>
      </c>
    </row>
    <row r="1809" spans="1:5" ht="15.75" customHeight="1">
      <c r="A1809" s="9" t="s">
        <v>3619</v>
      </c>
      <c r="B1809" s="9" t="s">
        <v>3620</v>
      </c>
      <c r="C1809" t="str">
        <f t="shared" si="84"/>
        <v>Ms.</v>
      </c>
      <c r="D1809" t="str">
        <f t="shared" si="85"/>
        <v>Kong,</v>
      </c>
      <c r="E1809" t="str">
        <f t="shared" si="86"/>
        <v>ey L.</v>
      </c>
    </row>
    <row r="1810" spans="1:5" ht="15.75" customHeight="1">
      <c r="A1810" s="9" t="s">
        <v>3621</v>
      </c>
      <c r="B1810" s="9" t="s">
        <v>3622</v>
      </c>
      <c r="C1810" t="str">
        <f t="shared" si="84"/>
        <v>, M</v>
      </c>
      <c r="D1810" t="str">
        <f t="shared" si="85"/>
        <v>Benso</v>
      </c>
      <c r="E1810" t="str">
        <f t="shared" si="86"/>
        <v>shley</v>
      </c>
    </row>
    <row r="1811" spans="1:5" ht="15.75" customHeight="1">
      <c r="A1811" s="9" t="s">
        <v>3623</v>
      </c>
      <c r="B1811" s="9" t="s">
        <v>3624</v>
      </c>
      <c r="C1811" t="str">
        <f t="shared" si="84"/>
        <v>gto</v>
      </c>
      <c r="D1811" t="str">
        <f t="shared" si="85"/>
        <v>Hunti</v>
      </c>
      <c r="E1811" t="str">
        <f t="shared" si="86"/>
        <v>Cindy</v>
      </c>
    </row>
    <row r="1812" spans="1:5" ht="15.75" customHeight="1">
      <c r="A1812" s="9" t="s">
        <v>3625</v>
      </c>
      <c r="B1812" s="9" t="s">
        <v>3626</v>
      </c>
      <c r="C1812" t="str">
        <f t="shared" si="84"/>
        <v>l,</v>
      </c>
      <c r="D1812" t="str">
        <f t="shared" si="85"/>
        <v>Kenda</v>
      </c>
      <c r="E1812" t="str">
        <f t="shared" si="86"/>
        <v>sther</v>
      </c>
    </row>
    <row r="1813" spans="1:5" ht="15.75" customHeight="1">
      <c r="A1813" s="9" t="s">
        <v>3627</v>
      </c>
      <c r="B1813" s="9" t="s">
        <v>3628</v>
      </c>
      <c r="C1813" t="str">
        <f t="shared" si="84"/>
        <v>Ms.</v>
      </c>
      <c r="D1813" t="str">
        <f t="shared" si="85"/>
        <v>Gast,</v>
      </c>
      <c r="E1813" t="str">
        <f t="shared" si="86"/>
        <v>ackie</v>
      </c>
    </row>
    <row r="1814" spans="1:5" ht="15.75" customHeight="1">
      <c r="A1814" s="9" t="s">
        <v>3629</v>
      </c>
      <c r="B1814" s="9" t="s">
        <v>3630</v>
      </c>
      <c r="C1814" t="str">
        <f t="shared" si="84"/>
        <v>n,</v>
      </c>
      <c r="D1814" t="str">
        <f t="shared" si="85"/>
        <v>Scanl</v>
      </c>
      <c r="E1814" t="str">
        <f t="shared" si="86"/>
        <v>hy P.</v>
      </c>
    </row>
    <row r="1815" spans="1:5" ht="15.75" customHeight="1">
      <c r="A1815" s="9" t="s">
        <v>3631</v>
      </c>
      <c r="B1815" s="9" t="s">
        <v>3632</v>
      </c>
      <c r="C1815" t="str">
        <f t="shared" si="84"/>
        <v>ook</v>
      </c>
      <c r="D1815" t="str">
        <f t="shared" si="85"/>
        <v>Philb</v>
      </c>
      <c r="E1815" t="str">
        <f t="shared" si="86"/>
        <v>auren</v>
      </c>
    </row>
    <row r="1816" spans="1:5" ht="15.75" customHeight="1">
      <c r="A1816" s="9" t="s">
        <v>3633</v>
      </c>
      <c r="B1816" s="9" t="s">
        <v>3634</v>
      </c>
      <c r="C1816" t="str">
        <f t="shared" si="84"/>
        <v>Mr</v>
      </c>
      <c r="D1816" t="str">
        <f t="shared" si="85"/>
        <v>Cowan</v>
      </c>
      <c r="E1816" t="str">
        <f t="shared" si="86"/>
        <v>jamin</v>
      </c>
    </row>
    <row r="1817" spans="1:5" ht="15.75" customHeight="1">
      <c r="A1817" s="9" t="s">
        <v>3635</v>
      </c>
      <c r="B1817" s="9" t="s">
        <v>3636</v>
      </c>
      <c r="C1817" t="str">
        <f t="shared" si="84"/>
        <v>Mr</v>
      </c>
      <c r="D1817" t="str">
        <f t="shared" si="85"/>
        <v>Sousa</v>
      </c>
      <c r="E1817" t="str">
        <f t="shared" si="86"/>
        <v>ugo M</v>
      </c>
    </row>
    <row r="1818" spans="1:5" ht="15.75" customHeight="1">
      <c r="A1818" s="9" t="s">
        <v>3637</v>
      </c>
      <c r="B1818" s="9" t="s">
        <v>3638</v>
      </c>
      <c r="C1818" t="str">
        <f t="shared" si="84"/>
        <v>n,</v>
      </c>
      <c r="D1818" t="str">
        <f t="shared" si="85"/>
        <v>Stant</v>
      </c>
      <c r="E1818" t="str">
        <f t="shared" si="86"/>
        <v>. Jr.</v>
      </c>
    </row>
    <row r="1819" spans="1:5" ht="15.75" customHeight="1">
      <c r="A1819" s="9" t="s">
        <v>3639</v>
      </c>
      <c r="B1819" s="9" t="s">
        <v>3640</v>
      </c>
      <c r="C1819" t="str">
        <f t="shared" si="84"/>
        <v>, M</v>
      </c>
      <c r="D1819" t="str">
        <f t="shared" si="85"/>
        <v>Molla</v>
      </c>
      <c r="E1819" t="str">
        <f t="shared" si="86"/>
        <v>tin R</v>
      </c>
    </row>
    <row r="1820" spans="1:5" ht="15.75" customHeight="1">
      <c r="A1820" s="9" t="s">
        <v>3641</v>
      </c>
      <c r="B1820" s="9" t="s">
        <v>3642</v>
      </c>
      <c r="C1820" t="str">
        <f t="shared" si="84"/>
        <v>Mr.</v>
      </c>
      <c r="D1820" t="str">
        <f t="shared" si="85"/>
        <v>Bell,</v>
      </c>
      <c r="E1820" t="str">
        <f t="shared" si="86"/>
        <v>Colin</v>
      </c>
    </row>
    <row r="1821" spans="1:5" ht="15.75" customHeight="1">
      <c r="A1821" s="9" t="s">
        <v>3643</v>
      </c>
      <c r="B1821" s="9" t="s">
        <v>3644</v>
      </c>
      <c r="C1821" t="str">
        <f t="shared" si="84"/>
        <v>, M</v>
      </c>
      <c r="D1821" t="str">
        <f t="shared" si="85"/>
        <v>Westo</v>
      </c>
      <c r="E1821" t="str">
        <f t="shared" si="86"/>
        <v>Rob</v>
      </c>
    </row>
    <row r="1822" spans="1:5" ht="15.75" customHeight="1">
      <c r="A1822" s="9" t="s">
        <v>3645</v>
      </c>
      <c r="B1822" s="9" t="s">
        <v>3646</v>
      </c>
      <c r="C1822" t="str">
        <f t="shared" si="84"/>
        <v>i,</v>
      </c>
      <c r="D1822" t="str">
        <f t="shared" si="85"/>
        <v>Rabuz</v>
      </c>
      <c r="E1822" t="str">
        <f t="shared" si="86"/>
        <v>trick</v>
      </c>
    </row>
    <row r="1823" spans="1:5" ht="15.75" customHeight="1">
      <c r="A1823" s="9" t="s">
        <v>3647</v>
      </c>
      <c r="B1823" s="9" t="s">
        <v>3648</v>
      </c>
      <c r="C1823" t="str">
        <f t="shared" si="84"/>
        <v>x,</v>
      </c>
      <c r="D1823" t="str">
        <f t="shared" si="85"/>
        <v>Hendr</v>
      </c>
      <c r="E1823" t="str">
        <f t="shared" si="86"/>
        <v>tin D</v>
      </c>
    </row>
    <row r="1824" spans="1:5" ht="15.75" customHeight="1">
      <c r="A1824" s="9" t="s">
        <v>3649</v>
      </c>
      <c r="B1824" s="9" t="s">
        <v>3650</v>
      </c>
      <c r="C1824" t="str">
        <f t="shared" si="84"/>
        <v>ele</v>
      </c>
      <c r="D1824" t="str">
        <f t="shared" si="85"/>
        <v>Van N</v>
      </c>
      <c r="E1824" t="str">
        <f t="shared" si="86"/>
        <v>ttany</v>
      </c>
    </row>
    <row r="1825" spans="1:5" ht="15.75" customHeight="1">
      <c r="A1825" s="9" t="s">
        <v>3651</v>
      </c>
      <c r="B1825" s="9" t="s">
        <v>3652</v>
      </c>
      <c r="C1825" t="str">
        <f t="shared" si="84"/>
        <v>n,</v>
      </c>
      <c r="D1825" t="str">
        <f t="shared" si="85"/>
        <v>Blant</v>
      </c>
      <c r="E1825" t="str">
        <f t="shared" si="86"/>
        <v>hew T</v>
      </c>
    </row>
    <row r="1826" spans="1:5" ht="15.75" customHeight="1">
      <c r="A1826" s="9" t="s">
        <v>3653</v>
      </c>
      <c r="B1826" s="9" t="s">
        <v>3654</v>
      </c>
      <c r="C1826" t="str">
        <f t="shared" si="84"/>
        <v>, M</v>
      </c>
      <c r="D1826" t="str">
        <f t="shared" si="85"/>
        <v>Schou</v>
      </c>
      <c r="E1826" t="str">
        <f t="shared" si="86"/>
        <v>ky G.</v>
      </c>
    </row>
    <row r="1827" spans="1:5" ht="15.75" customHeight="1">
      <c r="A1827" s="9" t="s">
        <v>3655</v>
      </c>
      <c r="B1827" s="9" t="s">
        <v>3656</v>
      </c>
      <c r="C1827" t="str">
        <f t="shared" si="84"/>
        <v>tz,</v>
      </c>
      <c r="D1827" t="str">
        <f t="shared" si="85"/>
        <v>Schma</v>
      </c>
      <c r="E1827" t="str">
        <f t="shared" si="86"/>
        <v>ginie</v>
      </c>
    </row>
    <row r="1828" spans="1:5" ht="15.75" customHeight="1">
      <c r="A1828" s="9" t="s">
        <v>3657</v>
      </c>
      <c r="B1828" s="9" t="s">
        <v>3658</v>
      </c>
      <c r="C1828" t="str">
        <f t="shared" si="84"/>
        <v>Ms</v>
      </c>
      <c r="D1828" t="str">
        <f t="shared" si="85"/>
        <v>Eagen</v>
      </c>
      <c r="E1828" t="str">
        <f t="shared" si="86"/>
        <v>son A</v>
      </c>
    </row>
    <row r="1829" spans="1:5" ht="15.75" customHeight="1">
      <c r="A1829" s="9" t="s">
        <v>3659</v>
      </c>
      <c r="B1829" s="9" t="s">
        <v>3660</v>
      </c>
      <c r="C1829" t="str">
        <f t="shared" si="84"/>
        <v>el,</v>
      </c>
      <c r="D1829" t="str">
        <f t="shared" si="85"/>
        <v>Rotra</v>
      </c>
      <c r="E1829" t="str">
        <f t="shared" si="86"/>
        <v>Julie</v>
      </c>
    </row>
    <row r="1830" spans="1:5" ht="15.75" customHeight="1">
      <c r="A1830" s="9" t="s">
        <v>3661</v>
      </c>
      <c r="B1830" s="9" t="s">
        <v>3662</v>
      </c>
      <c r="C1830" t="str">
        <f t="shared" si="84"/>
        <v>t,</v>
      </c>
      <c r="D1830" t="str">
        <f t="shared" si="85"/>
        <v>Prevo</v>
      </c>
      <c r="E1830" t="str">
        <f t="shared" si="86"/>
        <v>erine</v>
      </c>
    </row>
    <row r="1831" spans="1:5" ht="15.75" customHeight="1">
      <c r="A1831" s="9" t="s">
        <v>3663</v>
      </c>
      <c r="B1831" s="9" t="s">
        <v>3664</v>
      </c>
      <c r="C1831" t="str">
        <f t="shared" si="84"/>
        <v>Mr.</v>
      </c>
      <c r="D1831" t="str">
        <f t="shared" si="85"/>
        <v>Boyd,</v>
      </c>
      <c r="E1831" t="str">
        <f t="shared" si="86"/>
        <v>Caleb</v>
      </c>
    </row>
    <row r="1832" spans="1:5" ht="15.75" customHeight="1">
      <c r="A1832" s="9" t="s">
        <v>3665</v>
      </c>
      <c r="B1832" s="9" t="s">
        <v>3666</v>
      </c>
      <c r="C1832" t="str">
        <f t="shared" si="84"/>
        <v>Ms</v>
      </c>
      <c r="D1832" t="str">
        <f t="shared" si="85"/>
        <v>Dawes</v>
      </c>
      <c r="E1832" t="str">
        <f t="shared" si="86"/>
        <v>Jaime</v>
      </c>
    </row>
    <row r="1833" spans="1:5" ht="15.75" customHeight="1">
      <c r="A1833" s="9" t="s">
        <v>3667</v>
      </c>
      <c r="B1833" s="9" t="s">
        <v>3668</v>
      </c>
      <c r="C1833" t="str">
        <f t="shared" si="84"/>
        <v>gs,</v>
      </c>
      <c r="D1833" t="str">
        <f t="shared" si="85"/>
        <v>Jenni</v>
      </c>
      <c r="E1833" t="str">
        <f t="shared" si="86"/>
        <v>annah</v>
      </c>
    </row>
    <row r="1834" spans="1:5" ht="15.75" customHeight="1">
      <c r="A1834" s="9" t="s">
        <v>3669</v>
      </c>
      <c r="B1834" s="9" t="s">
        <v>3670</v>
      </c>
      <c r="C1834" t="str">
        <f t="shared" si="84"/>
        <v>so,</v>
      </c>
      <c r="D1834" t="str">
        <f t="shared" si="85"/>
        <v>Nyamb</v>
      </c>
      <c r="E1834" t="str">
        <f t="shared" si="86"/>
        <v>ariah</v>
      </c>
    </row>
    <row r="1835" spans="1:5" ht="15.75" customHeight="1">
      <c r="A1835" s="9" t="s">
        <v>3671</v>
      </c>
      <c r="B1835" s="9" t="s">
        <v>3672</v>
      </c>
      <c r="C1835" t="str">
        <f t="shared" si="84"/>
        <v>r,</v>
      </c>
      <c r="D1835" t="str">
        <f t="shared" si="85"/>
        <v>Shaff</v>
      </c>
      <c r="E1835" t="str">
        <f t="shared" si="86"/>
        <v>cia A</v>
      </c>
    </row>
    <row r="1836" spans="1:5" ht="15.75" customHeight="1">
      <c r="A1836" s="9" t="s">
        <v>3673</v>
      </c>
      <c r="B1836" s="9" t="s">
        <v>3674</v>
      </c>
      <c r="C1836" t="str">
        <f t="shared" si="84"/>
        <v>, M</v>
      </c>
      <c r="D1836" t="str">
        <f t="shared" si="85"/>
        <v>Corku</v>
      </c>
      <c r="E1836" t="str">
        <f t="shared" si="86"/>
        <v>th A.</v>
      </c>
    </row>
    <row r="1837" spans="1:5" ht="15.75" customHeight="1">
      <c r="A1837" s="9" t="s">
        <v>3675</v>
      </c>
      <c r="B1837" s="9" t="s">
        <v>3676</v>
      </c>
      <c r="C1837" t="str">
        <f t="shared" si="84"/>
        <v>en,</v>
      </c>
      <c r="D1837" t="str">
        <f t="shared" si="85"/>
        <v>Peder</v>
      </c>
      <c r="E1837" t="str">
        <f t="shared" si="86"/>
        <v>jamin</v>
      </c>
    </row>
    <row r="1838" spans="1:5" ht="15.75" customHeight="1">
      <c r="A1838" s="9" t="s">
        <v>3677</v>
      </c>
      <c r="B1838" s="9" t="s">
        <v>3678</v>
      </c>
      <c r="C1838" t="str">
        <f t="shared" si="84"/>
        <v>Mr.</v>
      </c>
      <c r="D1838" t="str">
        <f t="shared" si="85"/>
        <v>Melo,</v>
      </c>
      <c r="E1838" t="str">
        <f t="shared" si="86"/>
        <v>Breno</v>
      </c>
    </row>
    <row r="1839" spans="1:5" ht="15.75" customHeight="1">
      <c r="A1839" s="9" t="s">
        <v>3679</v>
      </c>
      <c r="B1839" s="9" t="s">
        <v>3680</v>
      </c>
      <c r="C1839" t="str">
        <f t="shared" si="84"/>
        <v>to,</v>
      </c>
      <c r="D1839" t="str">
        <f t="shared" si="85"/>
        <v>Sakam</v>
      </c>
      <c r="E1839" t="str">
        <f t="shared" si="86"/>
        <v>akaya</v>
      </c>
    </row>
    <row r="1840" spans="1:5" ht="15.75" customHeight="1">
      <c r="A1840" s="9" t="s">
        <v>3681</v>
      </c>
      <c r="B1840" s="9" t="s">
        <v>3682</v>
      </c>
      <c r="C1840" t="str">
        <f t="shared" si="84"/>
        <v>n,</v>
      </c>
      <c r="D1840" t="str">
        <f t="shared" si="85"/>
        <v>McMah</v>
      </c>
      <c r="E1840" t="str">
        <f t="shared" si="86"/>
        <v>as IV</v>
      </c>
    </row>
    <row r="1841" spans="1:5" ht="15.75" customHeight="1">
      <c r="A1841" s="9" t="s">
        <v>3683</v>
      </c>
      <c r="B1841" s="9" t="s">
        <v>3684</v>
      </c>
      <c r="C1841" t="str">
        <f t="shared" si="84"/>
        <v>, M</v>
      </c>
      <c r="D1841" t="str">
        <f t="shared" si="85"/>
        <v>Harri</v>
      </c>
      <c r="E1841" t="str">
        <f t="shared" si="86"/>
        <v>ley E</v>
      </c>
    </row>
    <row r="1842" spans="1:5" ht="15.75" customHeight="1">
      <c r="A1842" s="9" t="s">
        <v>3685</v>
      </c>
      <c r="B1842" s="9" t="s">
        <v>3686</v>
      </c>
      <c r="C1842" t="str">
        <f t="shared" si="84"/>
        <v>do,</v>
      </c>
      <c r="D1842" t="str">
        <f t="shared" si="85"/>
        <v>Lomba</v>
      </c>
      <c r="E1842" t="str">
        <f t="shared" si="86"/>
        <v>Megan</v>
      </c>
    </row>
    <row r="1843" spans="1:5" ht="15.75" customHeight="1">
      <c r="A1843" s="9" t="s">
        <v>3687</v>
      </c>
      <c r="B1843" s="9" t="s">
        <v>3688</v>
      </c>
      <c r="C1843" t="str">
        <f t="shared" si="84"/>
        <v>Ms.</v>
      </c>
      <c r="D1843" t="str">
        <f t="shared" si="85"/>
        <v>Bode,</v>
      </c>
      <c r="E1843" t="str">
        <f t="shared" si="86"/>
        <v>uby J</v>
      </c>
    </row>
    <row r="1844" spans="1:5" ht="15.75" customHeight="1">
      <c r="A1844" s="9" t="s">
        <v>3689</v>
      </c>
      <c r="B1844" s="9" t="s">
        <v>3690</v>
      </c>
      <c r="C1844" t="str">
        <f t="shared" si="84"/>
        <v>n,</v>
      </c>
      <c r="D1844" t="str">
        <f t="shared" si="85"/>
        <v>Johns</v>
      </c>
      <c r="E1844" t="str">
        <f t="shared" si="86"/>
        <v>Bart</v>
      </c>
    </row>
    <row r="1845" spans="1:5" ht="15.75" customHeight="1">
      <c r="A1845" s="9" t="s">
        <v>3691</v>
      </c>
      <c r="B1845" s="9" t="s">
        <v>3692</v>
      </c>
      <c r="C1845" t="str">
        <f t="shared" si="84"/>
        <v>ss,</v>
      </c>
      <c r="D1845" t="str">
        <f t="shared" si="85"/>
        <v>Norcr</v>
      </c>
      <c r="E1845" t="str">
        <f t="shared" si="86"/>
        <v>rt A.</v>
      </c>
    </row>
    <row r="1846" spans="1:5" ht="15.75" customHeight="1">
      <c r="A1846" s="9" t="s">
        <v>3693</v>
      </c>
      <c r="B1846" s="9" t="s">
        <v>3694</v>
      </c>
      <c r="C1846" t="str">
        <f t="shared" si="84"/>
        <v>, M</v>
      </c>
      <c r="D1846" t="str">
        <f t="shared" si="85"/>
        <v>Lazru</v>
      </c>
      <c r="E1846" t="str">
        <f t="shared" si="86"/>
        <v>Adam</v>
      </c>
    </row>
    <row r="1847" spans="1:5" ht="15.75" customHeight="1">
      <c r="A1847" s="9" t="s">
        <v>3695</v>
      </c>
      <c r="B1847" s="9" t="s">
        <v>3696</v>
      </c>
      <c r="C1847" t="str">
        <f t="shared" si="84"/>
        <v>, M</v>
      </c>
      <c r="D1847" t="str">
        <f t="shared" si="85"/>
        <v>Tsega</v>
      </c>
      <c r="E1847" t="str">
        <f t="shared" si="86"/>
        <v>dhane</v>
      </c>
    </row>
    <row r="1848" spans="1:5" ht="15.75" customHeight="1">
      <c r="A1848" s="9" t="s">
        <v>3697</v>
      </c>
      <c r="B1848" s="9" t="s">
        <v>3698</v>
      </c>
      <c r="C1848" t="str">
        <f t="shared" si="84"/>
        <v>der</v>
      </c>
      <c r="D1848" t="str">
        <f t="shared" si="85"/>
        <v>Schne</v>
      </c>
      <c r="E1848" t="str">
        <f t="shared" si="86"/>
        <v>se A.</v>
      </c>
    </row>
    <row r="1849" spans="1:5" ht="15.75" customHeight="1">
      <c r="A1849" s="9" t="s">
        <v>3699</v>
      </c>
      <c r="B1849" s="9" t="s">
        <v>3700</v>
      </c>
      <c r="C1849" t="str">
        <f t="shared" si="84"/>
        <v>, M</v>
      </c>
      <c r="D1849" t="str">
        <f t="shared" si="85"/>
        <v>Loret</v>
      </c>
      <c r="E1849" t="str">
        <f t="shared" si="86"/>
        <v>Bird</v>
      </c>
    </row>
    <row r="1850" spans="1:5" ht="15.75" customHeight="1">
      <c r="A1850" s="9" t="s">
        <v>3701</v>
      </c>
      <c r="B1850" s="9" t="s">
        <v>3702</v>
      </c>
      <c r="C1850" t="str">
        <f t="shared" si="84"/>
        <v>an,</v>
      </c>
      <c r="D1850" t="str">
        <f t="shared" si="85"/>
        <v>Calla</v>
      </c>
      <c r="E1850" t="str">
        <f t="shared" si="86"/>
        <v>ck M.</v>
      </c>
    </row>
    <row r="1851" spans="1:5" ht="15.75" customHeight="1">
      <c r="A1851" s="9" t="s">
        <v>3703</v>
      </c>
      <c r="B1851" s="9" t="s">
        <v>3704</v>
      </c>
      <c r="C1851" t="str">
        <f t="shared" si="84"/>
        <v>Mr</v>
      </c>
      <c r="D1851" t="str">
        <f t="shared" si="85"/>
        <v>Timko</v>
      </c>
      <c r="E1851" t="str">
        <f t="shared" si="86"/>
        <v>Kyle</v>
      </c>
    </row>
    <row r="1852" spans="1:5" ht="15.75" customHeight="1">
      <c r="A1852" s="9" t="s">
        <v>3705</v>
      </c>
      <c r="B1852" s="9" t="s">
        <v>3706</v>
      </c>
      <c r="C1852" t="str">
        <f t="shared" si="84"/>
        <v>, M</v>
      </c>
      <c r="D1852" t="str">
        <f t="shared" si="85"/>
        <v>Achat</v>
      </c>
      <c r="E1852" t="str">
        <f t="shared" si="86"/>
        <v>Ryan</v>
      </c>
    </row>
    <row r="1853" spans="1:5" ht="15.75" customHeight="1">
      <c r="A1853" s="9" t="s">
        <v>3707</v>
      </c>
      <c r="B1853" s="9" t="s">
        <v>3708</v>
      </c>
      <c r="C1853" t="str">
        <f t="shared" si="84"/>
        <v>z,</v>
      </c>
      <c r="D1853" t="str">
        <f t="shared" si="85"/>
        <v>Horwi</v>
      </c>
      <c r="E1853" t="str">
        <f t="shared" si="86"/>
        <v>Yuri</v>
      </c>
    </row>
    <row r="1854" spans="1:5" ht="15.75" customHeight="1">
      <c r="A1854" s="9" t="s">
        <v>3709</v>
      </c>
      <c r="B1854" s="9" t="s">
        <v>3710</v>
      </c>
      <c r="C1854" t="str">
        <f t="shared" si="84"/>
        <v>n,</v>
      </c>
      <c r="D1854" t="str">
        <f t="shared" si="85"/>
        <v>Gordy</v>
      </c>
      <c r="E1854" t="str">
        <f t="shared" si="86"/>
        <v>Ryan</v>
      </c>
    </row>
    <row r="1855" spans="1:5" ht="15.75" customHeight="1">
      <c r="A1855" s="9" t="s">
        <v>3711</v>
      </c>
      <c r="B1855" s="9" t="s">
        <v>3712</v>
      </c>
      <c r="C1855" t="str">
        <f t="shared" si="84"/>
        <v>ing</v>
      </c>
      <c r="D1855" t="str">
        <f t="shared" si="85"/>
        <v>Hethe</v>
      </c>
      <c r="E1855" t="str">
        <f t="shared" si="86"/>
        <v>ebbie</v>
      </c>
    </row>
    <row r="1856" spans="1:5" ht="15.75" customHeight="1">
      <c r="A1856" s="9" t="s">
        <v>3713</v>
      </c>
      <c r="B1856" s="9" t="s">
        <v>3714</v>
      </c>
      <c r="C1856" t="str">
        <f t="shared" si="84"/>
        <v>on,</v>
      </c>
      <c r="D1856" t="str">
        <f t="shared" si="85"/>
        <v>Thomp</v>
      </c>
      <c r="E1856" t="str">
        <f t="shared" si="86"/>
        <v>ark D</v>
      </c>
    </row>
    <row r="1857" spans="1:5" ht="15.75" customHeight="1">
      <c r="A1857" s="9" t="s">
        <v>3715</v>
      </c>
      <c r="B1857" s="9" t="s">
        <v>3716</v>
      </c>
      <c r="C1857" t="str">
        <f t="shared" si="84"/>
        <v>, M</v>
      </c>
      <c r="D1857" t="str">
        <f t="shared" si="85"/>
        <v>Batto</v>
      </c>
      <c r="E1857" t="str">
        <f t="shared" si="86"/>
        <v>opher</v>
      </c>
    </row>
    <row r="1858" spans="1:5" ht="15.75" customHeight="1">
      <c r="A1858" s="9" t="s">
        <v>3717</v>
      </c>
      <c r="B1858" s="9" t="s">
        <v>3718</v>
      </c>
      <c r="C1858" t="str">
        <f t="shared" si="84"/>
        <v>, M</v>
      </c>
      <c r="D1858" t="str">
        <f t="shared" si="85"/>
        <v>Barke</v>
      </c>
      <c r="E1858" t="str">
        <f t="shared" si="86"/>
        <v>ell L</v>
      </c>
    </row>
    <row r="1859" spans="1:5" ht="15.75" customHeight="1">
      <c r="A1859" s="9" t="s">
        <v>3719</v>
      </c>
      <c r="B1859" s="9" t="s">
        <v>3720</v>
      </c>
      <c r="C1859" t="str">
        <f t="shared" ref="C1859:C1922" si="87">MID(B1859,7,3)</f>
        <v>leh</v>
      </c>
      <c r="D1859" t="str">
        <f t="shared" ref="D1859:D1922" si="88">LEFT(B1859,5)</f>
        <v>Saarn</v>
      </c>
      <c r="E1859" t="str">
        <f t="shared" ref="E1859:E1922" si="89">RIGHT(B1859,5)</f>
        <v>Janne</v>
      </c>
    </row>
    <row r="1860" spans="1:5" ht="15.75" customHeight="1">
      <c r="A1860" s="9" t="s">
        <v>3721</v>
      </c>
      <c r="B1860" s="9" t="s">
        <v>3722</v>
      </c>
      <c r="C1860" t="str">
        <f t="shared" si="87"/>
        <v>, M</v>
      </c>
      <c r="D1860" t="str">
        <f t="shared" si="88"/>
        <v>Morto</v>
      </c>
      <c r="E1860" t="str">
        <f t="shared" si="89"/>
        <v>rtina</v>
      </c>
    </row>
    <row r="1861" spans="1:5" ht="15.75" customHeight="1">
      <c r="A1861" s="9" t="s">
        <v>3723</v>
      </c>
      <c r="B1861" s="9" t="s">
        <v>3724</v>
      </c>
      <c r="C1861" t="str">
        <f t="shared" si="87"/>
        <v>, M</v>
      </c>
      <c r="D1861" t="str">
        <f t="shared" si="88"/>
        <v>Thoma</v>
      </c>
      <c r="E1861" t="str">
        <f t="shared" si="89"/>
        <v>eth L</v>
      </c>
    </row>
    <row r="1862" spans="1:5" ht="15.75" customHeight="1">
      <c r="A1862" s="9" t="s">
        <v>3725</v>
      </c>
      <c r="B1862" s="9" t="s">
        <v>3726</v>
      </c>
      <c r="C1862" t="str">
        <f t="shared" si="87"/>
        <v>n,</v>
      </c>
      <c r="D1862" t="str">
        <f t="shared" si="88"/>
        <v>Hillm</v>
      </c>
      <c r="E1862" t="str">
        <f t="shared" si="89"/>
        <v>ie C.</v>
      </c>
    </row>
    <row r="1863" spans="1:5" ht="15.75" customHeight="1">
      <c r="A1863" s="9" t="s">
        <v>3727</v>
      </c>
      <c r="B1863" s="9" t="s">
        <v>3728</v>
      </c>
      <c r="C1863" t="str">
        <f t="shared" si="87"/>
        <v>s,</v>
      </c>
      <c r="D1863" t="str">
        <f t="shared" si="88"/>
        <v>Edwar</v>
      </c>
      <c r="E1863" t="str">
        <f t="shared" si="89"/>
        <v>Katie</v>
      </c>
    </row>
    <row r="1864" spans="1:5" ht="15.75" customHeight="1">
      <c r="A1864" s="9" t="s">
        <v>3729</v>
      </c>
      <c r="B1864" s="9" t="s">
        <v>3730</v>
      </c>
      <c r="C1864" t="str">
        <f t="shared" si="87"/>
        <v>, M</v>
      </c>
      <c r="D1864" t="str">
        <f t="shared" si="88"/>
        <v>Barte</v>
      </c>
      <c r="E1864" t="str">
        <f t="shared" si="89"/>
        <v>allie</v>
      </c>
    </row>
    <row r="1865" spans="1:5" ht="15.75" customHeight="1">
      <c r="A1865" s="9" t="s">
        <v>3731</v>
      </c>
      <c r="B1865" s="9" t="s">
        <v>3732</v>
      </c>
      <c r="C1865" t="str">
        <f t="shared" si="87"/>
        <v>ina</v>
      </c>
      <c r="D1865" t="str">
        <f t="shared" si="88"/>
        <v>Potek</v>
      </c>
      <c r="E1865" t="str">
        <f t="shared" si="89"/>
        <v>Inna</v>
      </c>
    </row>
    <row r="1866" spans="1:5" ht="15.75" customHeight="1">
      <c r="A1866" s="9" t="s">
        <v>3733</v>
      </c>
      <c r="B1866" s="9" t="s">
        <v>3734</v>
      </c>
      <c r="C1866" t="str">
        <f t="shared" si="87"/>
        <v>Ms</v>
      </c>
      <c r="D1866" t="str">
        <f t="shared" si="88"/>
        <v>Kelly</v>
      </c>
      <c r="E1866" t="str">
        <f t="shared" si="89"/>
        <v>ry K.</v>
      </c>
    </row>
    <row r="1867" spans="1:5" ht="15.75" customHeight="1">
      <c r="A1867" s="9" t="s">
        <v>3735</v>
      </c>
      <c r="B1867" s="9" t="s">
        <v>3736</v>
      </c>
      <c r="C1867" t="str">
        <f t="shared" si="87"/>
        <v>Mr.</v>
      </c>
      <c r="D1867" t="str">
        <f t="shared" si="88"/>
        <v>Lapp,</v>
      </c>
      <c r="E1867" t="str">
        <f t="shared" si="89"/>
        <v>el M.</v>
      </c>
    </row>
    <row r="1868" spans="1:5" ht="15.75" customHeight="1">
      <c r="A1868" s="9" t="s">
        <v>3737</v>
      </c>
      <c r="B1868" s="9" t="s">
        <v>3738</v>
      </c>
      <c r="C1868" t="str">
        <f t="shared" si="87"/>
        <v>Ms</v>
      </c>
      <c r="D1868" t="str">
        <f t="shared" si="88"/>
        <v>Burke</v>
      </c>
      <c r="E1868" t="str">
        <f t="shared" si="89"/>
        <v>berly</v>
      </c>
    </row>
    <row r="1869" spans="1:5" ht="15.75" customHeight="1">
      <c r="A1869" s="9" t="s">
        <v>3739</v>
      </c>
      <c r="B1869" s="9" t="s">
        <v>3740</v>
      </c>
      <c r="C1869" t="str">
        <f t="shared" si="87"/>
        <v>Mr</v>
      </c>
      <c r="D1869" t="str">
        <f t="shared" si="88"/>
        <v>Barry</v>
      </c>
      <c r="E1869" t="str">
        <f t="shared" si="89"/>
        <v>om J.</v>
      </c>
    </row>
    <row r="1870" spans="1:5" ht="15.75" customHeight="1">
      <c r="A1870" s="9" t="s">
        <v>3741</v>
      </c>
      <c r="B1870" s="9" t="s">
        <v>3742</v>
      </c>
      <c r="C1870" t="str">
        <f t="shared" si="87"/>
        <v>ick</v>
      </c>
      <c r="D1870" t="str">
        <f t="shared" si="88"/>
        <v>McCor</v>
      </c>
      <c r="E1870" t="str">
        <f t="shared" si="89"/>
        <v>chary</v>
      </c>
    </row>
    <row r="1871" spans="1:5" ht="15.75" customHeight="1">
      <c r="A1871" s="9" t="s">
        <v>3743</v>
      </c>
      <c r="B1871" s="9" t="s">
        <v>3744</v>
      </c>
      <c r="C1871" t="str">
        <f t="shared" si="87"/>
        <v>y,</v>
      </c>
      <c r="D1871" t="str">
        <f t="shared" si="88"/>
        <v>McElr</v>
      </c>
      <c r="E1871" t="str">
        <f t="shared" si="89"/>
        <v>Dane</v>
      </c>
    </row>
    <row r="1872" spans="1:5" ht="15.75" customHeight="1">
      <c r="A1872" s="9" t="s">
        <v>3745</v>
      </c>
      <c r="B1872" s="9" t="s">
        <v>3746</v>
      </c>
      <c r="C1872" t="str">
        <f t="shared" si="87"/>
        <v>, M</v>
      </c>
      <c r="D1872" t="str">
        <f t="shared" si="88"/>
        <v>Coffe</v>
      </c>
      <c r="E1872" t="str">
        <f t="shared" si="89"/>
        <v>gie J</v>
      </c>
    </row>
    <row r="1873" spans="1:5" ht="15.75" customHeight="1">
      <c r="A1873" s="9" t="s">
        <v>3747</v>
      </c>
      <c r="B1873" s="9" t="s">
        <v>3748</v>
      </c>
      <c r="C1873" t="str">
        <f t="shared" si="87"/>
        <v>Mr</v>
      </c>
      <c r="D1873" t="str">
        <f t="shared" si="88"/>
        <v>Estes</v>
      </c>
      <c r="E1873" t="str">
        <f t="shared" si="89"/>
        <v>iah H</v>
      </c>
    </row>
    <row r="1874" spans="1:5" ht="15.75" customHeight="1">
      <c r="A1874" s="9" t="s">
        <v>3749</v>
      </c>
      <c r="B1874" s="9" t="s">
        <v>3750</v>
      </c>
      <c r="C1874" t="str">
        <f t="shared" si="87"/>
        <v>Mr</v>
      </c>
      <c r="D1874" t="str">
        <f t="shared" si="88"/>
        <v>Miles</v>
      </c>
      <c r="E1874" t="str">
        <f t="shared" si="89"/>
        <v>ey J.</v>
      </c>
    </row>
    <row r="1875" spans="1:5" ht="15.75" customHeight="1">
      <c r="A1875" s="9" t="s">
        <v>3751</v>
      </c>
      <c r="B1875" s="9" t="s">
        <v>3752</v>
      </c>
      <c r="C1875" t="str">
        <f t="shared" si="87"/>
        <v>, M</v>
      </c>
      <c r="D1875" t="str">
        <f t="shared" si="88"/>
        <v>Zamor</v>
      </c>
      <c r="E1875" t="str">
        <f t="shared" si="89"/>
        <v>er J.</v>
      </c>
    </row>
    <row r="1876" spans="1:5" ht="15.75" customHeight="1">
      <c r="A1876" s="9" t="s">
        <v>3753</v>
      </c>
      <c r="B1876" s="9" t="s">
        <v>3754</v>
      </c>
      <c r="C1876" t="str">
        <f t="shared" si="87"/>
        <v>y,</v>
      </c>
      <c r="D1876" t="str">
        <f t="shared" si="88"/>
        <v>Donag</v>
      </c>
      <c r="E1876" t="str">
        <f t="shared" si="89"/>
        <v>Roger</v>
      </c>
    </row>
    <row r="1877" spans="1:5" ht="15.75" customHeight="1">
      <c r="A1877" s="9" t="s">
        <v>3755</v>
      </c>
      <c r="B1877" s="9" t="s">
        <v>3756</v>
      </c>
      <c r="C1877" t="str">
        <f t="shared" si="87"/>
        <v>y,</v>
      </c>
      <c r="D1877" t="str">
        <f t="shared" si="88"/>
        <v>Kenne</v>
      </c>
      <c r="E1877" t="str">
        <f t="shared" si="89"/>
        <v>amela</v>
      </c>
    </row>
    <row r="1878" spans="1:5" ht="15.75" customHeight="1">
      <c r="A1878" s="9" t="s">
        <v>3757</v>
      </c>
      <c r="B1878" s="9" t="s">
        <v>3758</v>
      </c>
      <c r="C1878" t="str">
        <f t="shared" si="87"/>
        <v>i,</v>
      </c>
      <c r="D1878" t="str">
        <f t="shared" si="88"/>
        <v>Fiori</v>
      </c>
      <c r="E1878" t="str">
        <f t="shared" si="89"/>
        <v>on M.</v>
      </c>
    </row>
    <row r="1879" spans="1:5" ht="15.75" customHeight="1">
      <c r="A1879" s="9" t="s">
        <v>3759</v>
      </c>
      <c r="B1879" s="9" t="s">
        <v>3760</v>
      </c>
      <c r="C1879" t="str">
        <f t="shared" si="87"/>
        <v>der</v>
      </c>
      <c r="D1879" t="str">
        <f t="shared" si="88"/>
        <v>Alexa</v>
      </c>
      <c r="E1879" t="str">
        <f t="shared" si="89"/>
        <v>ne H.</v>
      </c>
    </row>
    <row r="1880" spans="1:5" ht="15.75" customHeight="1">
      <c r="A1880" s="9" t="s">
        <v>3761</v>
      </c>
      <c r="B1880" s="9" t="s">
        <v>3762</v>
      </c>
      <c r="C1880" t="str">
        <f t="shared" si="87"/>
        <v>s,</v>
      </c>
      <c r="D1880" t="str">
        <f t="shared" si="88"/>
        <v>Watki</v>
      </c>
      <c r="E1880" t="str">
        <f t="shared" si="89"/>
        <v>Robin</v>
      </c>
    </row>
    <row r="1881" spans="1:5" ht="15.75" customHeight="1">
      <c r="A1881" s="9" t="s">
        <v>3763</v>
      </c>
      <c r="B1881" s="9" t="s">
        <v>3764</v>
      </c>
      <c r="C1881" t="str">
        <f t="shared" si="87"/>
        <v>, M</v>
      </c>
      <c r="D1881" t="str">
        <f t="shared" si="88"/>
        <v>Casse</v>
      </c>
      <c r="E1881" t="str">
        <f t="shared" si="89"/>
        <v>Terri</v>
      </c>
    </row>
    <row r="1882" spans="1:5" ht="15.75" customHeight="1">
      <c r="A1882" s="9" t="s">
        <v>3765</v>
      </c>
      <c r="B1882" s="9" t="s">
        <v>3766</v>
      </c>
      <c r="C1882" t="str">
        <f t="shared" si="87"/>
        <v>on,</v>
      </c>
      <c r="D1882" t="str">
        <f t="shared" si="88"/>
        <v>Fergu</v>
      </c>
      <c r="E1882" t="str">
        <f t="shared" si="89"/>
        <v>Eddie</v>
      </c>
    </row>
    <row r="1883" spans="1:5" ht="15.75" customHeight="1">
      <c r="A1883" s="9" t="s">
        <v>3767</v>
      </c>
      <c r="B1883" s="9" t="s">
        <v>3768</v>
      </c>
      <c r="C1883" t="str">
        <f t="shared" si="87"/>
        <v>iva</v>
      </c>
      <c r="D1883" t="str">
        <f t="shared" si="88"/>
        <v>O'Sul</v>
      </c>
      <c r="E1883" t="str">
        <f t="shared" si="89"/>
        <v>amela</v>
      </c>
    </row>
    <row r="1884" spans="1:5" ht="15.75" customHeight="1">
      <c r="A1884" s="9" t="s">
        <v>3769</v>
      </c>
      <c r="B1884" s="9" t="s">
        <v>3770</v>
      </c>
      <c r="C1884" t="str">
        <f t="shared" si="87"/>
        <v>rui</v>
      </c>
      <c r="D1884" t="str">
        <f t="shared" si="88"/>
        <v>Chepk</v>
      </c>
      <c r="E1884" t="str">
        <f t="shared" si="89"/>
        <v>Joyce</v>
      </c>
    </row>
    <row r="1885" spans="1:5" ht="15.75" customHeight="1">
      <c r="A1885" s="9" t="s">
        <v>3771</v>
      </c>
      <c r="B1885" s="9" t="s">
        <v>3772</v>
      </c>
      <c r="C1885" t="str">
        <f t="shared" si="87"/>
        <v>, M</v>
      </c>
      <c r="D1885" t="str">
        <f t="shared" si="88"/>
        <v>Gurne</v>
      </c>
      <c r="E1885" t="str">
        <f t="shared" si="89"/>
        <v>on W.</v>
      </c>
    </row>
    <row r="1886" spans="1:5" ht="15.75" customHeight="1">
      <c r="A1886" s="9" t="s">
        <v>3773</v>
      </c>
      <c r="B1886" s="9" t="s">
        <v>3774</v>
      </c>
      <c r="C1886" t="str">
        <f t="shared" si="87"/>
        <v>s,</v>
      </c>
      <c r="D1886" t="str">
        <f t="shared" si="88"/>
        <v>Franc</v>
      </c>
      <c r="E1886" t="str">
        <f t="shared" si="89"/>
        <v>ara C</v>
      </c>
    </row>
    <row r="1887" spans="1:5" ht="15.75" customHeight="1">
      <c r="A1887" s="9" t="s">
        <v>3775</v>
      </c>
      <c r="B1887" s="9" t="s">
        <v>3776</v>
      </c>
      <c r="C1887" t="str">
        <f t="shared" si="87"/>
        <v>Ms</v>
      </c>
      <c r="D1887" t="str">
        <f t="shared" si="88"/>
        <v>Gruca</v>
      </c>
      <c r="E1887" t="str">
        <f t="shared" si="89"/>
        <v>orota</v>
      </c>
    </row>
    <row r="1888" spans="1:5" ht="15.75" customHeight="1">
      <c r="A1888" s="9" t="s">
        <v>3777</v>
      </c>
      <c r="B1888" s="9" t="s">
        <v>3778</v>
      </c>
      <c r="C1888" t="str">
        <f t="shared" si="87"/>
        <v>Alv</v>
      </c>
      <c r="D1888" t="str">
        <f t="shared" si="88"/>
        <v>Rojas</v>
      </c>
      <c r="E1888" t="str">
        <f t="shared" si="89"/>
        <v>o Sr.</v>
      </c>
    </row>
    <row r="1889" spans="1:5" ht="15.75" customHeight="1">
      <c r="A1889" s="9" t="s">
        <v>3779</v>
      </c>
      <c r="B1889" s="9" t="s">
        <v>3780</v>
      </c>
      <c r="C1889" t="str">
        <f t="shared" si="87"/>
        <v>, M</v>
      </c>
      <c r="D1889" t="str">
        <f t="shared" si="88"/>
        <v>Dento</v>
      </c>
      <c r="E1889" t="str">
        <f t="shared" si="89"/>
        <v>Peter</v>
      </c>
    </row>
    <row r="1890" spans="1:5" ht="15.75" customHeight="1">
      <c r="A1890" s="9" t="s">
        <v>3781</v>
      </c>
      <c r="B1890" s="9" t="s">
        <v>3782</v>
      </c>
      <c r="C1890" t="str">
        <f t="shared" si="87"/>
        <v>Mr</v>
      </c>
      <c r="D1890" t="str">
        <f t="shared" si="88"/>
        <v>Mason</v>
      </c>
      <c r="E1890" t="str">
        <f t="shared" si="89"/>
        <v>ryant</v>
      </c>
    </row>
    <row r="1891" spans="1:5" ht="15.75" customHeight="1">
      <c r="A1891" s="9" t="s">
        <v>3783</v>
      </c>
      <c r="B1891" s="9" t="s">
        <v>3784</v>
      </c>
      <c r="C1891" t="str">
        <f t="shared" si="87"/>
        <v>Ms</v>
      </c>
      <c r="D1891" t="str">
        <f t="shared" si="88"/>
        <v>Trout</v>
      </c>
      <c r="E1891" t="str">
        <f t="shared" si="89"/>
        <v>stina</v>
      </c>
    </row>
    <row r="1892" spans="1:5" ht="15.75" customHeight="1">
      <c r="A1892" s="9" t="s">
        <v>3785</v>
      </c>
      <c r="B1892" s="9" t="s">
        <v>3786</v>
      </c>
      <c r="C1892" t="str">
        <f t="shared" si="87"/>
        <v>t,</v>
      </c>
      <c r="D1892" t="str">
        <f t="shared" si="88"/>
        <v>Gilbe</v>
      </c>
      <c r="E1892" t="str">
        <f t="shared" si="89"/>
        <v>John</v>
      </c>
    </row>
    <row r="1893" spans="1:5" ht="15.75" customHeight="1">
      <c r="A1893" s="9" t="s">
        <v>3787</v>
      </c>
      <c r="B1893" s="9" t="s">
        <v>3788</v>
      </c>
      <c r="C1893" t="str">
        <f t="shared" si="87"/>
        <v>Mr</v>
      </c>
      <c r="D1893" t="str">
        <f t="shared" si="88"/>
        <v>Chong</v>
      </c>
      <c r="E1893" t="str">
        <f t="shared" si="89"/>
        <v>uardo</v>
      </c>
    </row>
    <row r="1894" spans="1:5" ht="15.75" customHeight="1">
      <c r="A1894" s="9" t="s">
        <v>3789</v>
      </c>
      <c r="B1894" s="9" t="s">
        <v>3790</v>
      </c>
      <c r="C1894" t="str">
        <f t="shared" si="87"/>
        <v>Ms</v>
      </c>
      <c r="D1894" t="str">
        <f t="shared" si="88"/>
        <v>Henry</v>
      </c>
      <c r="E1894" t="str">
        <f t="shared" si="89"/>
        <v>ra M.</v>
      </c>
    </row>
    <row r="1895" spans="1:5" ht="15.75" customHeight="1">
      <c r="A1895" s="9" t="s">
        <v>3791</v>
      </c>
      <c r="B1895" s="9" t="s">
        <v>3792</v>
      </c>
      <c r="C1895" t="str">
        <f t="shared" si="87"/>
        <v>man</v>
      </c>
      <c r="D1895" t="str">
        <f t="shared" si="88"/>
        <v>Brenn</v>
      </c>
      <c r="E1895" t="str">
        <f t="shared" si="89"/>
        <v>arlie</v>
      </c>
    </row>
    <row r="1896" spans="1:5" ht="15.75" customHeight="1">
      <c r="A1896" s="9" t="s">
        <v>3793</v>
      </c>
      <c r="B1896" s="9" t="s">
        <v>3794</v>
      </c>
      <c r="C1896" t="str">
        <f t="shared" si="87"/>
        <v>Ms.</v>
      </c>
      <c r="D1896" t="str">
        <f t="shared" si="88"/>
        <v>Kemp,</v>
      </c>
      <c r="E1896" t="str">
        <f t="shared" si="89"/>
        <v>sa D.</v>
      </c>
    </row>
    <row r="1897" spans="1:5" ht="15.75" customHeight="1">
      <c r="A1897" s="9" t="s">
        <v>3795</v>
      </c>
      <c r="B1897" s="9" t="s">
        <v>3796</v>
      </c>
      <c r="C1897" t="str">
        <f t="shared" si="87"/>
        <v>, M</v>
      </c>
      <c r="D1897" t="str">
        <f t="shared" si="88"/>
        <v>Wilso</v>
      </c>
      <c r="E1897" t="str">
        <f t="shared" si="89"/>
        <v>. Jr.</v>
      </c>
    </row>
    <row r="1898" spans="1:5" ht="15.75" customHeight="1">
      <c r="A1898" s="9" t="s">
        <v>3797</v>
      </c>
      <c r="B1898" s="9" t="s">
        <v>3798</v>
      </c>
      <c r="C1898" t="str">
        <f t="shared" si="87"/>
        <v>rd,</v>
      </c>
      <c r="D1898" t="str">
        <f t="shared" si="88"/>
        <v>Hilly</v>
      </c>
      <c r="E1898" t="str">
        <f t="shared" si="89"/>
        <v>tthew</v>
      </c>
    </row>
    <row r="1899" spans="1:5" ht="15.75" customHeight="1">
      <c r="A1899" s="9" t="s">
        <v>3799</v>
      </c>
      <c r="B1899" s="9" t="s">
        <v>3800</v>
      </c>
      <c r="C1899" t="str">
        <f t="shared" si="87"/>
        <v>, M</v>
      </c>
      <c r="D1899" t="str">
        <f t="shared" si="88"/>
        <v>Turne</v>
      </c>
      <c r="E1899" t="str">
        <f t="shared" si="89"/>
        <v>ey C.</v>
      </c>
    </row>
    <row r="1900" spans="1:5" ht="15.75" customHeight="1">
      <c r="A1900" s="9" t="s">
        <v>3801</v>
      </c>
      <c r="B1900" s="9" t="s">
        <v>3802</v>
      </c>
      <c r="C1900" t="str">
        <f t="shared" si="87"/>
        <v>ad,</v>
      </c>
      <c r="D1900" t="str">
        <f t="shared" si="88"/>
        <v>Benes</v>
      </c>
      <c r="E1900" t="str">
        <f t="shared" si="89"/>
        <v>opher</v>
      </c>
    </row>
    <row r="1901" spans="1:5" ht="15.75" customHeight="1">
      <c r="A1901" s="9" t="s">
        <v>3803</v>
      </c>
      <c r="B1901" s="9" t="s">
        <v>3804</v>
      </c>
      <c r="C1901" t="str">
        <f t="shared" si="87"/>
        <v>es,</v>
      </c>
      <c r="D1901" t="str">
        <f t="shared" si="88"/>
        <v>Gonza</v>
      </c>
      <c r="E1901" t="str">
        <f t="shared" si="89"/>
        <v>ssica</v>
      </c>
    </row>
    <row r="1902" spans="1:5" ht="15.75" customHeight="1">
      <c r="A1902" s="9" t="s">
        <v>3805</v>
      </c>
      <c r="B1902" s="9" t="s">
        <v>3806</v>
      </c>
      <c r="C1902" t="str">
        <f t="shared" si="87"/>
        <v>, M</v>
      </c>
      <c r="D1902" t="str">
        <f t="shared" si="88"/>
        <v>Newma</v>
      </c>
      <c r="E1902" t="str">
        <f t="shared" si="89"/>
        <v>istin</v>
      </c>
    </row>
    <row r="1903" spans="1:5" ht="15.75" customHeight="1">
      <c r="A1903" s="9" t="s">
        <v>3807</v>
      </c>
      <c r="B1903" s="9" t="s">
        <v>3808</v>
      </c>
      <c r="C1903" t="str">
        <f t="shared" si="87"/>
        <v>Ms</v>
      </c>
      <c r="D1903" t="str">
        <f t="shared" si="88"/>
        <v>Sayre</v>
      </c>
      <c r="E1903" t="str">
        <f t="shared" si="89"/>
        <v>Sara</v>
      </c>
    </row>
    <row r="1904" spans="1:5" ht="15.75" customHeight="1">
      <c r="A1904" s="9" t="s">
        <v>3809</v>
      </c>
      <c r="B1904" s="9" t="s">
        <v>3810</v>
      </c>
      <c r="C1904" t="str">
        <f t="shared" si="87"/>
        <v>Ms</v>
      </c>
      <c r="D1904" t="str">
        <f t="shared" si="88"/>
        <v>Panke</v>
      </c>
      <c r="E1904" t="str">
        <f t="shared" si="89"/>
        <v>abeth</v>
      </c>
    </row>
    <row r="1905" spans="1:5" ht="15.75" customHeight="1">
      <c r="A1905" s="9" t="s">
        <v>3811</v>
      </c>
      <c r="B1905" s="9" t="s">
        <v>3812</v>
      </c>
      <c r="C1905" t="str">
        <f t="shared" si="87"/>
        <v>n,</v>
      </c>
      <c r="D1905" t="str">
        <f t="shared" si="88"/>
        <v>Brenn</v>
      </c>
      <c r="E1905" t="str">
        <f t="shared" si="89"/>
        <v>et P.</v>
      </c>
    </row>
    <row r="1906" spans="1:5" ht="15.75" customHeight="1">
      <c r="A1906" s="9" t="s">
        <v>3813</v>
      </c>
      <c r="B1906" s="9" t="s">
        <v>3814</v>
      </c>
      <c r="C1906" t="str">
        <f t="shared" si="87"/>
        <v>s.</v>
      </c>
      <c r="D1906" t="str">
        <f t="shared" si="88"/>
        <v>Ngo,</v>
      </c>
      <c r="E1906" t="str">
        <f t="shared" si="89"/>
        <v>any K</v>
      </c>
    </row>
    <row r="1907" spans="1:5" ht="15.75" customHeight="1">
      <c r="A1907" s="9" t="s">
        <v>3815</v>
      </c>
      <c r="B1907" s="9" t="s">
        <v>3816</v>
      </c>
      <c r="C1907" t="str">
        <f t="shared" si="87"/>
        <v>n,</v>
      </c>
      <c r="D1907" t="str">
        <f t="shared" si="88"/>
        <v>Guerd</v>
      </c>
      <c r="E1907" t="str">
        <f t="shared" si="89"/>
        <v>id M.</v>
      </c>
    </row>
    <row r="1908" spans="1:5" ht="15.75" customHeight="1">
      <c r="A1908" s="9" t="s">
        <v>3817</v>
      </c>
      <c r="B1908" s="9" t="s">
        <v>3818</v>
      </c>
      <c r="C1908" t="str">
        <f t="shared" si="87"/>
        <v>Ms.</v>
      </c>
      <c r="D1908" t="str">
        <f t="shared" si="88"/>
        <v>Shaw,</v>
      </c>
      <c r="E1908" t="str">
        <f t="shared" si="89"/>
        <v>ine E</v>
      </c>
    </row>
    <row r="1909" spans="1:5" ht="15.75" customHeight="1">
      <c r="A1909" s="9" t="s">
        <v>3819</v>
      </c>
      <c r="B1909" s="9" t="s">
        <v>3820</v>
      </c>
      <c r="C1909" t="str">
        <f t="shared" si="87"/>
        <v>Hon</v>
      </c>
      <c r="D1909" t="str">
        <f t="shared" si="88"/>
        <v>Mills</v>
      </c>
      <c r="E1909" t="str">
        <f t="shared" si="89"/>
        <v>Donna</v>
      </c>
    </row>
    <row r="1910" spans="1:5" ht="15.75" customHeight="1">
      <c r="A1910" s="9" t="s">
        <v>3821</v>
      </c>
      <c r="B1910" s="9" t="s">
        <v>3822</v>
      </c>
      <c r="C1910" t="str">
        <f t="shared" si="87"/>
        <v>d,</v>
      </c>
      <c r="D1910" t="str">
        <f t="shared" si="88"/>
        <v>Farva</v>
      </c>
      <c r="E1910" t="str">
        <f t="shared" si="89"/>
        <v>Rod</v>
      </c>
    </row>
    <row r="1911" spans="1:5" ht="15.75" customHeight="1">
      <c r="A1911" s="9" t="s">
        <v>3823</v>
      </c>
      <c r="B1911" s="9" t="s">
        <v>3824</v>
      </c>
      <c r="C1911" t="str">
        <f t="shared" si="87"/>
        <v>Mr</v>
      </c>
      <c r="D1911" t="str">
        <f t="shared" si="88"/>
        <v>Kelly</v>
      </c>
      <c r="E1911" t="str">
        <f t="shared" si="89"/>
        <v>Joe</v>
      </c>
    </row>
    <row r="1912" spans="1:5" ht="15.75" customHeight="1">
      <c r="A1912" s="9" t="s">
        <v>3825</v>
      </c>
      <c r="B1912" s="9" t="s">
        <v>3826</v>
      </c>
      <c r="C1912" t="str">
        <f t="shared" si="87"/>
        <v>r,</v>
      </c>
      <c r="D1912" t="str">
        <f t="shared" si="88"/>
        <v>Skinn</v>
      </c>
      <c r="E1912" t="str">
        <f t="shared" si="89"/>
        <v>leigh</v>
      </c>
    </row>
    <row r="1913" spans="1:5" ht="15.75" customHeight="1">
      <c r="A1913" s="9" t="s">
        <v>3827</v>
      </c>
      <c r="B1913" s="9" t="s">
        <v>3828</v>
      </c>
      <c r="C1913" t="str">
        <f t="shared" si="87"/>
        <v>, M</v>
      </c>
      <c r="D1913" t="str">
        <f t="shared" si="88"/>
        <v>Murph</v>
      </c>
      <c r="E1913" t="str">
        <f t="shared" si="89"/>
        <v>an A.</v>
      </c>
    </row>
    <row r="1914" spans="1:5" ht="15.75" customHeight="1">
      <c r="A1914" s="9" t="s">
        <v>3829</v>
      </c>
      <c r="B1914" s="9" t="s">
        <v>3830</v>
      </c>
      <c r="C1914" t="str">
        <f t="shared" si="87"/>
        <v>Mr.</v>
      </c>
      <c r="D1914" t="str">
        <f t="shared" si="88"/>
        <v>Shue,</v>
      </c>
      <c r="E1914" t="str">
        <f t="shared" si="89"/>
        <v>Billy</v>
      </c>
    </row>
    <row r="1915" spans="1:5" ht="15.75" customHeight="1">
      <c r="A1915" s="9" t="s">
        <v>3831</v>
      </c>
      <c r="B1915" s="9" t="s">
        <v>3832</v>
      </c>
      <c r="C1915" t="str">
        <f t="shared" si="87"/>
        <v>, M</v>
      </c>
      <c r="D1915" t="str">
        <f t="shared" si="88"/>
        <v>Reill</v>
      </c>
      <c r="E1915" t="str">
        <f t="shared" si="89"/>
        <v>ul M.</v>
      </c>
    </row>
    <row r="1916" spans="1:5" ht="15.75" customHeight="1">
      <c r="A1916" s="9" t="s">
        <v>3833</v>
      </c>
      <c r="B1916" s="9" t="s">
        <v>3834</v>
      </c>
      <c r="C1916" t="str">
        <f t="shared" si="87"/>
        <v>Ms</v>
      </c>
      <c r="D1916" t="str">
        <f t="shared" si="88"/>
        <v>Blinn</v>
      </c>
      <c r="E1916" t="str">
        <f t="shared" si="89"/>
        <v>da M.</v>
      </c>
    </row>
    <row r="1917" spans="1:5" ht="15.75" customHeight="1">
      <c r="A1917" s="9" t="s">
        <v>3835</v>
      </c>
      <c r="B1917" s="9" t="s">
        <v>3836</v>
      </c>
      <c r="C1917" t="str">
        <f t="shared" si="87"/>
        <v>Mr.</v>
      </c>
      <c r="D1917" t="str">
        <f t="shared" si="88"/>
        <v>Duyn,</v>
      </c>
      <c r="E1917" t="str">
        <f t="shared" si="89"/>
        <v>eff H</v>
      </c>
    </row>
    <row r="1918" spans="1:5" ht="15.75" customHeight="1">
      <c r="A1918" s="9" t="s">
        <v>3837</v>
      </c>
      <c r="B1918" s="9" t="s">
        <v>3838</v>
      </c>
      <c r="C1918" t="str">
        <f t="shared" si="87"/>
        <v>n,</v>
      </c>
      <c r="D1918" t="str">
        <f t="shared" si="88"/>
        <v>Wardi</v>
      </c>
      <c r="E1918" t="str">
        <f t="shared" si="89"/>
        <v>chael</v>
      </c>
    </row>
    <row r="1919" spans="1:5" ht="15.75" customHeight="1">
      <c r="A1919" s="9" t="s">
        <v>3839</v>
      </c>
      <c r="B1919" s="9" t="s">
        <v>3840</v>
      </c>
      <c r="C1919" t="str">
        <f t="shared" si="87"/>
        <v>ck,</v>
      </c>
      <c r="D1919" t="str">
        <f t="shared" si="88"/>
        <v>Heuni</v>
      </c>
      <c r="E1919" t="str">
        <f t="shared" si="89"/>
        <v>Jan</v>
      </c>
    </row>
    <row r="1920" spans="1:5" ht="15.75" customHeight="1">
      <c r="A1920" s="9" t="s">
        <v>3841</v>
      </c>
      <c r="B1920" s="9" t="s">
        <v>3842</v>
      </c>
      <c r="C1920" t="str">
        <f t="shared" si="87"/>
        <v>o,</v>
      </c>
      <c r="D1920" t="str">
        <f t="shared" si="88"/>
        <v>Kipye</v>
      </c>
      <c r="E1920" t="str">
        <f t="shared" si="89"/>
        <v>rnard</v>
      </c>
    </row>
    <row r="1921" spans="1:5" ht="15.75" customHeight="1">
      <c r="A1921" s="9" t="s">
        <v>3843</v>
      </c>
      <c r="B1921" s="9" t="s">
        <v>3844</v>
      </c>
      <c r="C1921" t="str">
        <f t="shared" si="87"/>
        <v>Mr</v>
      </c>
      <c r="D1921" t="str">
        <f t="shared" si="88"/>
        <v>Kuehl</v>
      </c>
      <c r="E1921" t="str">
        <f t="shared" si="89"/>
        <v>Craig</v>
      </c>
    </row>
    <row r="1922" spans="1:5" ht="15.75" customHeight="1">
      <c r="A1922" s="9" t="s">
        <v>3845</v>
      </c>
      <c r="B1922" s="9" t="s">
        <v>3846</v>
      </c>
      <c r="C1922" t="str">
        <f t="shared" si="87"/>
        <v>lde</v>
      </c>
      <c r="D1922" t="str">
        <f t="shared" si="88"/>
        <v>Burkh</v>
      </c>
      <c r="E1922" t="str">
        <f t="shared" si="89"/>
        <v>Bryn</v>
      </c>
    </row>
    <row r="1923" spans="1:5" ht="15.75" customHeight="1">
      <c r="A1923" s="9" t="s">
        <v>3847</v>
      </c>
      <c r="B1923" s="9" t="s">
        <v>3848</v>
      </c>
      <c r="C1923" t="str">
        <f t="shared" ref="C1923:C1986" si="90">MID(B1923,7,3)</f>
        <v>nik</v>
      </c>
      <c r="D1923" t="str">
        <f t="shared" ref="D1923:D1986" si="91">LEFT(B1923,5)</f>
        <v>Stado</v>
      </c>
      <c r="E1923" t="str">
        <f t="shared" ref="E1923:E1986" si="92">RIGHT(B1923,5)</f>
        <v>chael</v>
      </c>
    </row>
    <row r="1924" spans="1:5" ht="15.75" customHeight="1">
      <c r="A1924" s="9" t="s">
        <v>3849</v>
      </c>
      <c r="B1924" s="9" t="s">
        <v>3850</v>
      </c>
      <c r="C1924" t="str">
        <f t="shared" si="90"/>
        <v>s,</v>
      </c>
      <c r="D1924" t="str">
        <f t="shared" si="91"/>
        <v>Shiel</v>
      </c>
      <c r="E1924" t="str">
        <f t="shared" si="92"/>
        <v>jamin</v>
      </c>
    </row>
    <row r="1925" spans="1:5" ht="15.75" customHeight="1">
      <c r="A1925" s="9" t="s">
        <v>3851</v>
      </c>
      <c r="B1925" s="9" t="s">
        <v>3852</v>
      </c>
      <c r="C1925" t="str">
        <f t="shared" si="90"/>
        <v>is,</v>
      </c>
      <c r="D1925" t="str">
        <f t="shared" si="91"/>
        <v>Margo</v>
      </c>
      <c r="E1925" t="str">
        <f t="shared" si="92"/>
        <v>Jay</v>
      </c>
    </row>
    <row r="1926" spans="1:5" ht="15.75" customHeight="1">
      <c r="A1926" s="9" t="s">
        <v>3853</v>
      </c>
      <c r="B1926" s="9" t="s">
        <v>3854</v>
      </c>
      <c r="C1926" t="str">
        <f t="shared" si="90"/>
        <v>eck</v>
      </c>
      <c r="D1926" t="str">
        <f t="shared" si="91"/>
        <v>Uffen</v>
      </c>
      <c r="E1926" t="str">
        <f t="shared" si="92"/>
        <v>lliam</v>
      </c>
    </row>
    <row r="1927" spans="1:5" ht="15.75" customHeight="1">
      <c r="A1927" s="9" t="s">
        <v>3855</v>
      </c>
      <c r="B1927" s="9" t="s">
        <v>3856</v>
      </c>
      <c r="C1927" t="str">
        <f t="shared" si="90"/>
        <v>Ms</v>
      </c>
      <c r="D1927" t="str">
        <f t="shared" si="91"/>
        <v>Brake</v>
      </c>
      <c r="E1927" t="str">
        <f t="shared" si="92"/>
        <v>elley</v>
      </c>
    </row>
    <row r="1928" spans="1:5" ht="15.75" customHeight="1">
      <c r="A1928" s="9" t="s">
        <v>3857</v>
      </c>
      <c r="B1928" s="9" t="s">
        <v>3858</v>
      </c>
      <c r="C1928" t="str">
        <f t="shared" si="90"/>
        <v>ova</v>
      </c>
      <c r="D1928" t="str">
        <f t="shared" si="91"/>
        <v>Stepa</v>
      </c>
      <c r="E1928" t="str">
        <f t="shared" si="92"/>
        <v>erina</v>
      </c>
    </row>
    <row r="1929" spans="1:5" ht="15.75" customHeight="1">
      <c r="A1929" s="9" t="s">
        <v>3859</v>
      </c>
      <c r="B1929" s="9" t="s">
        <v>3860</v>
      </c>
      <c r="C1929" t="str">
        <f t="shared" si="90"/>
        <v>Mr</v>
      </c>
      <c r="D1929" t="str">
        <f t="shared" si="91"/>
        <v>Verdi</v>
      </c>
      <c r="E1929" t="str">
        <f t="shared" si="92"/>
        <v>aniel</v>
      </c>
    </row>
    <row r="1930" spans="1:5" ht="15.75" customHeight="1">
      <c r="A1930" s="9" t="s">
        <v>3861</v>
      </c>
      <c r="B1930" s="9" t="s">
        <v>3862</v>
      </c>
      <c r="C1930" t="str">
        <f t="shared" si="90"/>
        <v>, M</v>
      </c>
      <c r="D1930" t="str">
        <f t="shared" si="91"/>
        <v>McLea</v>
      </c>
      <c r="E1930" t="str">
        <f t="shared" si="92"/>
        <v>uline</v>
      </c>
    </row>
    <row r="1931" spans="1:5" ht="15.75" customHeight="1">
      <c r="A1931" s="9" t="s">
        <v>3863</v>
      </c>
      <c r="B1931" s="9" t="s">
        <v>3864</v>
      </c>
      <c r="C1931" t="str">
        <f t="shared" si="90"/>
        <v>Ms.</v>
      </c>
      <c r="D1931" t="str">
        <f t="shared" si="91"/>
        <v>Ryan,</v>
      </c>
      <c r="E1931" t="str">
        <f t="shared" si="92"/>
        <v>lleen</v>
      </c>
    </row>
    <row r="1932" spans="1:5" ht="15.75" customHeight="1">
      <c r="A1932" s="9" t="s">
        <v>3865</v>
      </c>
      <c r="B1932" s="9" t="s">
        <v>3866</v>
      </c>
      <c r="C1932" t="str">
        <f t="shared" si="90"/>
        <v>son</v>
      </c>
      <c r="D1932" t="str">
        <f t="shared" si="91"/>
        <v>Micke</v>
      </c>
      <c r="E1932" t="str">
        <f t="shared" si="92"/>
        <v>eah K</v>
      </c>
    </row>
    <row r="1933" spans="1:5" ht="15.75" customHeight="1">
      <c r="A1933" s="9" t="s">
        <v>3867</v>
      </c>
      <c r="B1933" s="9" t="s">
        <v>3868</v>
      </c>
      <c r="C1933" t="str">
        <f t="shared" si="90"/>
        <v>, M</v>
      </c>
      <c r="D1933" t="str">
        <f t="shared" si="91"/>
        <v>Dibab</v>
      </c>
      <c r="E1933" t="str">
        <f t="shared" si="92"/>
        <v>Mare</v>
      </c>
    </row>
    <row r="1934" spans="1:5" ht="15.75" customHeight="1">
      <c r="A1934" s="9" t="s">
        <v>3869</v>
      </c>
      <c r="B1934" s="9" t="s">
        <v>3870</v>
      </c>
      <c r="C1934" t="str">
        <f t="shared" si="90"/>
        <v>ng,</v>
      </c>
      <c r="D1934" t="str">
        <f t="shared" si="91"/>
        <v>Shill</v>
      </c>
      <c r="E1934" t="str">
        <f t="shared" si="92"/>
        <v>Kevin</v>
      </c>
    </row>
    <row r="1935" spans="1:5" ht="15.75" customHeight="1">
      <c r="A1935" s="9" t="s">
        <v>3871</v>
      </c>
      <c r="B1935" s="9" t="s">
        <v>3872</v>
      </c>
      <c r="C1935" t="str">
        <f t="shared" si="90"/>
        <v>, M</v>
      </c>
      <c r="D1935" t="str">
        <f t="shared" si="91"/>
        <v>Basha</v>
      </c>
      <c r="E1935" t="str">
        <f t="shared" si="92"/>
        <v>ssica</v>
      </c>
    </row>
    <row r="1936" spans="1:5" ht="15.75" customHeight="1">
      <c r="A1936" s="9" t="s">
        <v>3873</v>
      </c>
      <c r="B1936" s="9" t="s">
        <v>3874</v>
      </c>
      <c r="C1936" t="str">
        <f t="shared" si="90"/>
        <v>Ms</v>
      </c>
      <c r="D1936" t="str">
        <f t="shared" si="91"/>
        <v>Jacob</v>
      </c>
      <c r="E1936" t="str">
        <f t="shared" si="92"/>
        <v>nda R</v>
      </c>
    </row>
    <row r="1937" spans="1:5" ht="15.75" customHeight="1">
      <c r="A1937" s="9" t="s">
        <v>3875</v>
      </c>
      <c r="B1937" s="9" t="s">
        <v>3876</v>
      </c>
      <c r="C1937" t="str">
        <f t="shared" si="90"/>
        <v>heo</v>
      </c>
      <c r="D1937" t="str">
        <f t="shared" si="91"/>
        <v>McCut</v>
      </c>
      <c r="E1937" t="str">
        <f t="shared" si="92"/>
        <v>ay W.</v>
      </c>
    </row>
    <row r="1938" spans="1:5" ht="15.75" customHeight="1">
      <c r="A1938" s="9" t="s">
        <v>3877</v>
      </c>
      <c r="B1938" s="9" t="s">
        <v>3878</v>
      </c>
      <c r="C1938" t="str">
        <f t="shared" si="90"/>
        <v>, M</v>
      </c>
      <c r="D1938" t="str">
        <f t="shared" si="91"/>
        <v>Conno</v>
      </c>
      <c r="E1938" t="str">
        <f t="shared" si="92"/>
        <v>an P.</v>
      </c>
    </row>
    <row r="1939" spans="1:5" ht="15.75" customHeight="1">
      <c r="A1939" s="9" t="s">
        <v>3879</v>
      </c>
      <c r="B1939" s="9" t="s">
        <v>3880</v>
      </c>
      <c r="C1939" t="str">
        <f t="shared" si="90"/>
        <v>r.</v>
      </c>
      <c r="D1939" t="str">
        <f t="shared" si="91"/>
        <v>May,</v>
      </c>
      <c r="E1939" t="str">
        <f t="shared" si="92"/>
        <v>David</v>
      </c>
    </row>
    <row r="1940" spans="1:5" ht="15.75" customHeight="1">
      <c r="A1940" s="9" t="s">
        <v>3881</v>
      </c>
      <c r="B1940" s="9" t="s">
        <v>3882</v>
      </c>
      <c r="C1940" t="str">
        <f t="shared" si="90"/>
        <v>gan</v>
      </c>
      <c r="D1940" t="str">
        <f t="shared" si="91"/>
        <v>Geogh</v>
      </c>
      <c r="E1940" t="str">
        <f t="shared" si="92"/>
        <v>Seth</v>
      </c>
    </row>
    <row r="1941" spans="1:5" ht="15.75" customHeight="1">
      <c r="A1941" s="9" t="s">
        <v>3883</v>
      </c>
      <c r="B1941" s="9" t="s">
        <v>3884</v>
      </c>
      <c r="C1941" t="str">
        <f t="shared" si="90"/>
        <v>, M</v>
      </c>
      <c r="D1941" t="str">
        <f t="shared" si="91"/>
        <v>McGin</v>
      </c>
      <c r="E1941" t="str">
        <f t="shared" si="92"/>
        <v>el P.</v>
      </c>
    </row>
    <row r="1942" spans="1:5" ht="15.75" customHeight="1">
      <c r="A1942" s="9" t="s">
        <v>3885</v>
      </c>
      <c r="B1942" s="9" t="s">
        <v>3886</v>
      </c>
      <c r="C1942" t="str">
        <f t="shared" si="90"/>
        <v>Mr</v>
      </c>
      <c r="D1942" t="str">
        <f t="shared" si="91"/>
        <v>Jones</v>
      </c>
      <c r="E1942" t="str">
        <f t="shared" si="92"/>
        <v>ell M</v>
      </c>
    </row>
    <row r="1943" spans="1:5" ht="15.75" customHeight="1">
      <c r="A1943" s="9" t="s">
        <v>3887</v>
      </c>
      <c r="B1943" s="9" t="s">
        <v>3888</v>
      </c>
      <c r="C1943" t="str">
        <f t="shared" si="90"/>
        <v>ros</v>
      </c>
      <c r="D1943" t="str">
        <f t="shared" si="91"/>
        <v>Quint</v>
      </c>
      <c r="E1943" t="str">
        <f t="shared" si="92"/>
        <v>artin</v>
      </c>
    </row>
    <row r="1944" spans="1:5" ht="15.75" customHeight="1">
      <c r="A1944" s="9" t="s">
        <v>3889</v>
      </c>
      <c r="B1944" s="9" t="s">
        <v>3890</v>
      </c>
      <c r="C1944" t="str">
        <f t="shared" si="90"/>
        <v>r,</v>
      </c>
      <c r="D1944" t="str">
        <f t="shared" si="91"/>
        <v>Loens</v>
      </c>
      <c r="E1944" t="str">
        <f t="shared" si="92"/>
        <v>chael</v>
      </c>
    </row>
    <row r="1945" spans="1:5" ht="15.75" customHeight="1">
      <c r="A1945" s="9" t="s">
        <v>3891</v>
      </c>
      <c r="B1945" s="9" t="s">
        <v>3892</v>
      </c>
      <c r="C1945" t="str">
        <f t="shared" si="90"/>
        <v>, M</v>
      </c>
      <c r="D1945" t="str">
        <f t="shared" si="91"/>
        <v>Aitke</v>
      </c>
      <c r="E1945" t="str">
        <f t="shared" si="92"/>
        <v>Miles</v>
      </c>
    </row>
    <row r="1946" spans="1:5" ht="15.75" customHeight="1">
      <c r="A1946" s="9" t="s">
        <v>3893</v>
      </c>
      <c r="B1946" s="9" t="s">
        <v>3894</v>
      </c>
      <c r="C1946" t="str">
        <f t="shared" si="90"/>
        <v>, M</v>
      </c>
      <c r="D1946" t="str">
        <f t="shared" si="91"/>
        <v>Furre</v>
      </c>
      <c r="E1946" t="str">
        <f t="shared" si="92"/>
        <v>manda</v>
      </c>
    </row>
    <row r="1947" spans="1:5" ht="15.75" customHeight="1">
      <c r="A1947" s="9" t="s">
        <v>3895</v>
      </c>
      <c r="B1947" s="9" t="s">
        <v>3896</v>
      </c>
      <c r="C1947" t="str">
        <f t="shared" si="90"/>
        <v>, M</v>
      </c>
      <c r="D1947" t="str">
        <f t="shared" si="91"/>
        <v>Konig</v>
      </c>
      <c r="E1947" t="str">
        <f t="shared" si="92"/>
        <v>Roger</v>
      </c>
    </row>
    <row r="1948" spans="1:5" ht="15.75" customHeight="1">
      <c r="A1948" s="9" t="s">
        <v>3897</v>
      </c>
      <c r="B1948" s="9" t="s">
        <v>3898</v>
      </c>
      <c r="C1948" t="str">
        <f t="shared" si="90"/>
        <v>l,</v>
      </c>
      <c r="D1948" t="str">
        <f t="shared" si="91"/>
        <v>Tesda</v>
      </c>
      <c r="E1948" t="str">
        <f t="shared" si="92"/>
        <v>ock J</v>
      </c>
    </row>
    <row r="1949" spans="1:5" ht="15.75" customHeight="1">
      <c r="A1949" s="9" t="s">
        <v>3899</v>
      </c>
      <c r="B1949" s="9" t="s">
        <v>3900</v>
      </c>
      <c r="C1949" t="str">
        <f t="shared" si="90"/>
        <v>Mr</v>
      </c>
      <c r="D1949" t="str">
        <f t="shared" si="91"/>
        <v>Engel</v>
      </c>
      <c r="E1949" t="str">
        <f t="shared" si="92"/>
        <v>en F.</v>
      </c>
    </row>
    <row r="1950" spans="1:5" ht="15.75" customHeight="1">
      <c r="A1950" s="9" t="s">
        <v>3901</v>
      </c>
      <c r="B1950" s="9" t="s">
        <v>3902</v>
      </c>
      <c r="C1950" t="str">
        <f t="shared" si="90"/>
        <v>Ms.</v>
      </c>
      <c r="D1950" t="str">
        <f t="shared" si="91"/>
        <v>Kuck,</v>
      </c>
      <c r="E1950" t="str">
        <f t="shared" si="92"/>
        <v>Missy</v>
      </c>
    </row>
    <row r="1951" spans="1:5" ht="15.75" customHeight="1">
      <c r="A1951" s="9" t="s">
        <v>3903</v>
      </c>
      <c r="B1951" s="9" t="s">
        <v>3904</v>
      </c>
      <c r="C1951" t="str">
        <f t="shared" si="90"/>
        <v>, M</v>
      </c>
      <c r="D1951" t="str">
        <f t="shared" si="91"/>
        <v>Dillo</v>
      </c>
      <c r="E1951" t="str">
        <f t="shared" si="92"/>
        <v>lliam</v>
      </c>
    </row>
    <row r="1952" spans="1:5" ht="15.75" customHeight="1">
      <c r="A1952" s="9" t="s">
        <v>3905</v>
      </c>
      <c r="B1952" s="9" t="s">
        <v>3906</v>
      </c>
      <c r="C1952" t="str">
        <f t="shared" si="90"/>
        <v>el,</v>
      </c>
      <c r="D1952" t="str">
        <f t="shared" si="91"/>
        <v>Neusc</v>
      </c>
      <c r="E1952" t="str">
        <f t="shared" si="92"/>
        <v>ren M</v>
      </c>
    </row>
    <row r="1953" spans="1:5" ht="15.75" customHeight="1">
      <c r="A1953" s="9" t="s">
        <v>3907</v>
      </c>
      <c r="B1953" s="9" t="s">
        <v>3908</v>
      </c>
      <c r="C1953" t="str">
        <f t="shared" si="90"/>
        <v>s R</v>
      </c>
      <c r="D1953" t="str">
        <f t="shared" si="91"/>
        <v>Rosal</v>
      </c>
      <c r="E1953" t="str">
        <f t="shared" si="92"/>
        <v>lo U.</v>
      </c>
    </row>
    <row r="1954" spans="1:5" ht="15.75" customHeight="1">
      <c r="A1954" s="9" t="s">
        <v>3909</v>
      </c>
      <c r="B1954" s="9" t="s">
        <v>3910</v>
      </c>
      <c r="C1954" t="str">
        <f t="shared" si="90"/>
        <v>z,</v>
      </c>
      <c r="D1954" t="str">
        <f t="shared" si="91"/>
        <v>Marqu</v>
      </c>
      <c r="E1954" t="str">
        <f t="shared" si="92"/>
        <v>lfons</v>
      </c>
    </row>
    <row r="1955" spans="1:5" ht="15.75" customHeight="1">
      <c r="A1955" s="9" t="s">
        <v>3911</v>
      </c>
      <c r="B1955" s="9" t="s">
        <v>3912</v>
      </c>
      <c r="C1955" t="str">
        <f t="shared" si="90"/>
        <v>Ms</v>
      </c>
      <c r="D1955" t="str">
        <f t="shared" si="91"/>
        <v>Green</v>
      </c>
      <c r="E1955" t="str">
        <f t="shared" si="92"/>
        <v>Amber</v>
      </c>
    </row>
    <row r="1956" spans="1:5" ht="15.75" customHeight="1">
      <c r="A1956" s="9" t="s">
        <v>3913</v>
      </c>
      <c r="B1956" s="9" t="s">
        <v>3914</v>
      </c>
      <c r="C1956" t="str">
        <f t="shared" si="90"/>
        <v>l,</v>
      </c>
      <c r="D1956" t="str">
        <f t="shared" si="91"/>
        <v>Schub</v>
      </c>
      <c r="E1956" t="str">
        <f t="shared" si="92"/>
        <v>ah C.</v>
      </c>
    </row>
    <row r="1957" spans="1:5" ht="15.75" customHeight="1">
      <c r="A1957" s="9" t="s">
        <v>3915</v>
      </c>
      <c r="B1957" s="9" t="s">
        <v>3916</v>
      </c>
      <c r="C1957" t="str">
        <f t="shared" si="90"/>
        <v>z,</v>
      </c>
      <c r="D1957" t="str">
        <f t="shared" si="91"/>
        <v>Jimen</v>
      </c>
      <c r="E1957" t="str">
        <f t="shared" si="92"/>
        <v>Lilia</v>
      </c>
    </row>
    <row r="1958" spans="1:5" ht="15.75" customHeight="1">
      <c r="A1958" s="9" t="s">
        <v>3917</v>
      </c>
      <c r="B1958" s="9" t="s">
        <v>3918</v>
      </c>
      <c r="C1958" t="str">
        <f t="shared" si="90"/>
        <v>Sch</v>
      </c>
      <c r="D1958" t="str">
        <f t="shared" si="91"/>
        <v>Zimny</v>
      </c>
      <c r="E1958" t="str">
        <f t="shared" si="92"/>
        <v>Danny</v>
      </c>
    </row>
    <row r="1959" spans="1:5" ht="15.75" customHeight="1">
      <c r="A1959" s="9" t="s">
        <v>3919</v>
      </c>
      <c r="B1959" s="9" t="s">
        <v>3920</v>
      </c>
      <c r="C1959" t="str">
        <f t="shared" si="90"/>
        <v>Ms.</v>
      </c>
      <c r="D1959" t="str">
        <f t="shared" si="91"/>
        <v>Hill,</v>
      </c>
      <c r="E1959" t="str">
        <f t="shared" si="92"/>
        <v>auren</v>
      </c>
    </row>
    <row r="1960" spans="1:5" ht="15.75" customHeight="1">
      <c r="A1960" s="9" t="s">
        <v>3921</v>
      </c>
      <c r="B1960" s="9" t="s">
        <v>3922</v>
      </c>
      <c r="C1960" t="str">
        <f t="shared" si="90"/>
        <v>t,</v>
      </c>
      <c r="D1960" t="str">
        <f t="shared" si="91"/>
        <v>Broha</v>
      </c>
      <c r="E1960" t="str">
        <f t="shared" si="92"/>
        <v>rtney</v>
      </c>
    </row>
    <row r="1961" spans="1:5" ht="15.75" customHeight="1">
      <c r="A1961" s="9" t="s">
        <v>3923</v>
      </c>
      <c r="B1961" s="9" t="s">
        <v>3924</v>
      </c>
      <c r="C1961" t="str">
        <f t="shared" si="90"/>
        <v>Ms.</v>
      </c>
      <c r="D1961" t="str">
        <f t="shared" si="91"/>
        <v>Ryan,</v>
      </c>
      <c r="E1961" t="str">
        <f t="shared" si="92"/>
        <v>abeth</v>
      </c>
    </row>
    <row r="1962" spans="1:5" ht="15.75" customHeight="1">
      <c r="A1962" s="9" t="s">
        <v>3925</v>
      </c>
      <c r="B1962" s="9" t="s">
        <v>3926</v>
      </c>
      <c r="C1962" t="str">
        <f t="shared" si="90"/>
        <v>s.</v>
      </c>
      <c r="D1962" t="str">
        <f t="shared" si="91"/>
        <v>Oka,</v>
      </c>
      <c r="E1962" t="str">
        <f t="shared" si="92"/>
        <v>atomi</v>
      </c>
    </row>
    <row r="1963" spans="1:5" ht="15.75" customHeight="1">
      <c r="A1963" s="9" t="s">
        <v>3927</v>
      </c>
      <c r="B1963" s="9" t="s">
        <v>3928</v>
      </c>
      <c r="C1963" t="str">
        <f t="shared" si="90"/>
        <v>, M</v>
      </c>
      <c r="D1963" t="str">
        <f t="shared" si="91"/>
        <v>Newma</v>
      </c>
      <c r="E1963" t="str">
        <f t="shared" si="92"/>
        <v>hew D</v>
      </c>
    </row>
    <row r="1964" spans="1:5" ht="15.75" customHeight="1">
      <c r="A1964" s="9" t="s">
        <v>3929</v>
      </c>
      <c r="B1964" s="9" t="s">
        <v>3930</v>
      </c>
      <c r="C1964" t="str">
        <f t="shared" si="90"/>
        <v>r,</v>
      </c>
      <c r="D1964" t="str">
        <f t="shared" si="91"/>
        <v>Metzg</v>
      </c>
      <c r="E1964" t="str">
        <f t="shared" si="92"/>
        <v>T II</v>
      </c>
    </row>
    <row r="1965" spans="1:5" ht="15.75" customHeight="1">
      <c r="A1965" s="9" t="s">
        <v>3931</v>
      </c>
      <c r="B1965" s="9" t="s">
        <v>3932</v>
      </c>
      <c r="C1965" t="str">
        <f t="shared" si="90"/>
        <v>ez,</v>
      </c>
      <c r="D1965" t="str">
        <f t="shared" si="91"/>
        <v>Gonza</v>
      </c>
      <c r="E1965" t="str">
        <f t="shared" si="92"/>
        <v>anuel</v>
      </c>
    </row>
    <row r="1966" spans="1:5" ht="15.75" customHeight="1">
      <c r="A1966" s="9" t="s">
        <v>3933</v>
      </c>
      <c r="B1966" s="9" t="s">
        <v>3934</v>
      </c>
      <c r="C1966" t="str">
        <f t="shared" si="90"/>
        <v>, M</v>
      </c>
      <c r="D1966" t="str">
        <f t="shared" si="91"/>
        <v>Vaugh</v>
      </c>
      <c r="E1966" t="str">
        <f t="shared" si="92"/>
        <v>ey P.</v>
      </c>
    </row>
    <row r="1967" spans="1:5" ht="15.75" customHeight="1">
      <c r="A1967" s="9" t="s">
        <v>3935</v>
      </c>
      <c r="B1967" s="9" t="s">
        <v>3936</v>
      </c>
      <c r="C1967" t="str">
        <f t="shared" si="90"/>
        <v>rd,</v>
      </c>
      <c r="D1967" t="str">
        <f t="shared" si="91"/>
        <v>Cliff</v>
      </c>
      <c r="E1967" t="str">
        <f t="shared" si="92"/>
        <v>as G.</v>
      </c>
    </row>
    <row r="1968" spans="1:5" ht="15.75" customHeight="1">
      <c r="A1968" s="9" t="s">
        <v>3937</v>
      </c>
      <c r="B1968" s="9" t="s">
        <v>3938</v>
      </c>
      <c r="C1968" t="str">
        <f t="shared" si="90"/>
        <v>Mr</v>
      </c>
      <c r="D1968" t="str">
        <f t="shared" si="91"/>
        <v>Petty</v>
      </c>
      <c r="E1968" t="str">
        <f t="shared" si="92"/>
        <v>yle S</v>
      </c>
    </row>
    <row r="1969" spans="1:5" ht="15.75" customHeight="1">
      <c r="A1969" s="9" t="s">
        <v>3939</v>
      </c>
      <c r="B1969" s="9" t="s">
        <v>3940</v>
      </c>
      <c r="C1969" t="str">
        <f t="shared" si="90"/>
        <v>d,</v>
      </c>
      <c r="D1969" t="str">
        <f t="shared" si="91"/>
        <v>Sanfo</v>
      </c>
      <c r="E1969" t="str">
        <f t="shared" si="92"/>
        <v>er J.</v>
      </c>
    </row>
    <row r="1970" spans="1:5" ht="15.75" customHeight="1">
      <c r="A1970" s="9" t="s">
        <v>3941</v>
      </c>
      <c r="B1970" s="9" t="s">
        <v>3942</v>
      </c>
      <c r="C1970" t="str">
        <f t="shared" si="90"/>
        <v>e,</v>
      </c>
      <c r="D1970" t="str">
        <f t="shared" si="91"/>
        <v>Sprag</v>
      </c>
      <c r="E1970" t="str">
        <f t="shared" si="92"/>
        <v>tin L</v>
      </c>
    </row>
    <row r="1971" spans="1:5" ht="15.75" customHeight="1">
      <c r="A1971" s="9" t="s">
        <v>3943</v>
      </c>
      <c r="B1971" s="9" t="s">
        <v>3944</v>
      </c>
      <c r="C1971" t="str">
        <f t="shared" si="90"/>
        <v>on,</v>
      </c>
      <c r="D1971" t="str">
        <f t="shared" si="91"/>
        <v>Lasse</v>
      </c>
      <c r="E1971" t="str">
        <f t="shared" si="92"/>
        <v>Chloe</v>
      </c>
    </row>
    <row r="1972" spans="1:5" ht="15.75" customHeight="1">
      <c r="A1972" s="9" t="s">
        <v>3945</v>
      </c>
      <c r="B1972" s="9" t="s">
        <v>3946</v>
      </c>
      <c r="C1972" t="str">
        <f t="shared" si="90"/>
        <v>g,</v>
      </c>
      <c r="D1972" t="str">
        <f t="shared" si="91"/>
        <v>Busho</v>
      </c>
      <c r="E1972" t="str">
        <f t="shared" si="92"/>
        <v>ltlin</v>
      </c>
    </row>
    <row r="1973" spans="1:5" ht="15.75" customHeight="1">
      <c r="A1973" s="9" t="s">
        <v>3947</v>
      </c>
      <c r="B1973" s="9" t="s">
        <v>3948</v>
      </c>
      <c r="C1973" t="str">
        <f t="shared" si="90"/>
        <v>on,</v>
      </c>
      <c r="D1973" t="str">
        <f t="shared" si="91"/>
        <v>Denni</v>
      </c>
      <c r="E1973" t="str">
        <f t="shared" si="92"/>
        <v>oshua</v>
      </c>
    </row>
    <row r="1974" spans="1:5" ht="15.75" customHeight="1">
      <c r="A1974" s="9" t="s">
        <v>3949</v>
      </c>
      <c r="B1974" s="9" t="s">
        <v>3950</v>
      </c>
      <c r="C1974" t="str">
        <f t="shared" si="90"/>
        <v>Mr.</v>
      </c>
      <c r="D1974" t="str">
        <f t="shared" si="91"/>
        <v>Lira,</v>
      </c>
      <c r="E1974" t="str">
        <f t="shared" si="92"/>
        <v>Chuy</v>
      </c>
    </row>
    <row r="1975" spans="1:5" ht="15.75" customHeight="1">
      <c r="A1975" s="9" t="s">
        <v>3951</v>
      </c>
      <c r="B1975" s="9" t="s">
        <v>3952</v>
      </c>
      <c r="C1975" t="str">
        <f t="shared" si="90"/>
        <v>an,</v>
      </c>
      <c r="D1975" t="str">
        <f t="shared" si="91"/>
        <v>Nahig</v>
      </c>
      <c r="E1975" t="str">
        <f t="shared" si="92"/>
        <v>rie B</v>
      </c>
    </row>
    <row r="1976" spans="1:5" ht="15.75" customHeight="1">
      <c r="A1976" s="9" t="s">
        <v>3953</v>
      </c>
      <c r="B1976" s="9" t="s">
        <v>3954</v>
      </c>
      <c r="C1976" t="str">
        <f t="shared" si="90"/>
        <v>t,</v>
      </c>
      <c r="D1976" t="str">
        <f t="shared" si="91"/>
        <v>Cacke</v>
      </c>
      <c r="E1976" t="str">
        <f t="shared" si="92"/>
        <v>el B.</v>
      </c>
    </row>
    <row r="1977" spans="1:5" ht="15.75" customHeight="1">
      <c r="A1977" s="9" t="s">
        <v>3955</v>
      </c>
      <c r="B1977" s="9" t="s">
        <v>3956</v>
      </c>
      <c r="C1977" t="str">
        <f t="shared" si="90"/>
        <v>-Ga</v>
      </c>
      <c r="D1977" t="str">
        <f t="shared" si="91"/>
        <v>Hunte</v>
      </c>
      <c r="E1977" t="str">
        <f t="shared" si="92"/>
        <v>Liza</v>
      </c>
    </row>
    <row r="1978" spans="1:5" ht="15.75" customHeight="1">
      <c r="A1978" s="9" t="s">
        <v>3957</v>
      </c>
      <c r="B1978" s="9" t="s">
        <v>3958</v>
      </c>
      <c r="C1978" t="str">
        <f t="shared" si="90"/>
        <v>t,</v>
      </c>
      <c r="D1978" t="str">
        <f t="shared" si="91"/>
        <v>Pierr</v>
      </c>
      <c r="E1978" t="str">
        <f t="shared" si="92"/>
        <v>ndsey</v>
      </c>
    </row>
    <row r="1979" spans="1:5" ht="15.75" customHeight="1">
      <c r="A1979" s="9" t="s">
        <v>3959</v>
      </c>
      <c r="B1979" s="9" t="s">
        <v>3960</v>
      </c>
      <c r="C1979" t="str">
        <f t="shared" si="90"/>
        <v>Ms</v>
      </c>
      <c r="D1979" t="str">
        <f t="shared" si="91"/>
        <v>White</v>
      </c>
      <c r="E1979" t="str">
        <f t="shared" si="92"/>
        <v>ay E.</v>
      </c>
    </row>
    <row r="1980" spans="1:5" ht="15.75" customHeight="1">
      <c r="A1980" s="9" t="s">
        <v>3961</v>
      </c>
      <c r="B1980" s="9" t="s">
        <v>3962</v>
      </c>
      <c r="C1980" t="str">
        <f t="shared" si="90"/>
        <v>, M</v>
      </c>
      <c r="D1980" t="str">
        <f t="shared" si="91"/>
        <v>O'Nei</v>
      </c>
      <c r="E1980" t="str">
        <f t="shared" si="92"/>
        <v>en M.</v>
      </c>
    </row>
    <row r="1981" spans="1:5" ht="15.75" customHeight="1">
      <c r="A1981" s="9" t="s">
        <v>3963</v>
      </c>
      <c r="B1981" s="9" t="s">
        <v>3964</v>
      </c>
      <c r="C1981" t="str">
        <f t="shared" si="90"/>
        <v>Ms</v>
      </c>
      <c r="D1981" t="str">
        <f t="shared" si="91"/>
        <v>Leitz</v>
      </c>
      <c r="E1981" t="str">
        <f t="shared" si="92"/>
        <v>Aya</v>
      </c>
    </row>
    <row r="1982" spans="1:5" ht="15.75" customHeight="1">
      <c r="A1982" s="9" t="s">
        <v>3965</v>
      </c>
      <c r="B1982" s="9" t="s">
        <v>3966</v>
      </c>
      <c r="C1982" t="str">
        <f t="shared" si="90"/>
        <v>, M</v>
      </c>
      <c r="D1982" t="str">
        <f t="shared" si="91"/>
        <v>Durfe</v>
      </c>
      <c r="E1982" t="str">
        <f t="shared" si="92"/>
        <v>lyn R</v>
      </c>
    </row>
    <row r="1983" spans="1:5" ht="15.75" customHeight="1">
      <c r="A1983" s="9" t="s">
        <v>3967</v>
      </c>
      <c r="B1983" s="9" t="s">
        <v>3968</v>
      </c>
      <c r="C1983" t="str">
        <f t="shared" si="90"/>
        <v>e,</v>
      </c>
      <c r="D1983" t="str">
        <f t="shared" si="91"/>
        <v>Maylo</v>
      </c>
      <c r="E1983" t="str">
        <f t="shared" si="92"/>
        <v>thany</v>
      </c>
    </row>
    <row r="1984" spans="1:5" ht="15.75" customHeight="1">
      <c r="A1984" s="9" t="s">
        <v>3969</v>
      </c>
      <c r="B1984" s="9" t="s">
        <v>3970</v>
      </c>
      <c r="C1984" t="str">
        <f t="shared" si="90"/>
        <v>d,</v>
      </c>
      <c r="D1984" t="str">
        <f t="shared" si="91"/>
        <v>Reila</v>
      </c>
      <c r="E1984" t="str">
        <f t="shared" si="92"/>
        <v>lly A</v>
      </c>
    </row>
    <row r="1985" spans="1:5" ht="15.75" customHeight="1">
      <c r="A1985" s="9" t="s">
        <v>3971</v>
      </c>
      <c r="B1985" s="9" t="s">
        <v>3972</v>
      </c>
      <c r="C1985" t="str">
        <f t="shared" si="90"/>
        <v>.</v>
      </c>
      <c r="D1985" t="str">
        <f t="shared" si="91"/>
        <v>Hu, M</v>
      </c>
      <c r="E1985" t="str">
        <f t="shared" si="92"/>
        <v>Ping</v>
      </c>
    </row>
    <row r="1986" spans="1:5" ht="15.75" customHeight="1">
      <c r="A1986" s="9" t="s">
        <v>3973</v>
      </c>
      <c r="B1986" s="9" t="s">
        <v>3974</v>
      </c>
      <c r="C1986" t="str">
        <f t="shared" si="90"/>
        <v>, M</v>
      </c>
      <c r="D1986" t="str">
        <f t="shared" si="91"/>
        <v>Lesse</v>
      </c>
      <c r="E1986" t="str">
        <f t="shared" si="92"/>
        <v>Tim</v>
      </c>
    </row>
    <row r="1987" spans="1:5" ht="15.75" customHeight="1">
      <c r="A1987" s="9" t="s">
        <v>3975</v>
      </c>
      <c r="B1987" s="9" t="s">
        <v>3976</v>
      </c>
      <c r="C1987" t="str">
        <f t="shared" ref="C1987:C2050" si="93">MID(B1987,7,3)</f>
        <v>nce</v>
      </c>
      <c r="D1987" t="str">
        <f t="shared" ref="D1987:D2050" si="94">LEFT(B1987,5)</f>
        <v>Colav</v>
      </c>
      <c r="E1987" t="str">
        <f t="shared" ref="E1987:E2050" si="95">RIGHT(B1987,5)</f>
        <v>John</v>
      </c>
    </row>
    <row r="1988" spans="1:5" ht="15.75" customHeight="1">
      <c r="A1988" s="9" t="s">
        <v>3977</v>
      </c>
      <c r="B1988" s="9" t="s">
        <v>3978</v>
      </c>
      <c r="C1988" t="str">
        <f t="shared" si="93"/>
        <v>-Ka</v>
      </c>
      <c r="D1988" t="str">
        <f t="shared" si="94"/>
        <v>Mende</v>
      </c>
      <c r="E1988" t="str">
        <f t="shared" si="95"/>
        <v>nthia</v>
      </c>
    </row>
    <row r="1989" spans="1:5" ht="15.75" customHeight="1">
      <c r="A1989" s="9" t="s">
        <v>3979</v>
      </c>
      <c r="B1989" s="9" t="s">
        <v>3980</v>
      </c>
      <c r="C1989" t="str">
        <f t="shared" si="93"/>
        <v>er,</v>
      </c>
      <c r="D1989" t="str">
        <f t="shared" si="94"/>
        <v>Sauln</v>
      </c>
      <c r="E1989" t="str">
        <f t="shared" si="95"/>
        <v>mmett</v>
      </c>
    </row>
    <row r="1990" spans="1:5" ht="15.75" customHeight="1">
      <c r="A1990" s="9" t="s">
        <v>3981</v>
      </c>
      <c r="B1990" s="9" t="s">
        <v>3982</v>
      </c>
      <c r="C1990" t="str">
        <f t="shared" si="93"/>
        <v>ove</v>
      </c>
      <c r="D1990" t="str">
        <f t="shared" si="94"/>
        <v>Schoo</v>
      </c>
      <c r="E1990" t="str">
        <f t="shared" si="95"/>
        <v>Kate</v>
      </c>
    </row>
    <row r="1991" spans="1:5" ht="15.75" customHeight="1">
      <c r="A1991" s="9" t="s">
        <v>3983</v>
      </c>
      <c r="B1991" s="9" t="s">
        <v>3984</v>
      </c>
      <c r="C1991" t="str">
        <f t="shared" si="93"/>
        <v>Mr.</v>
      </c>
      <c r="D1991" t="str">
        <f t="shared" si="94"/>
        <v>Hass,</v>
      </c>
      <c r="E1991" t="str">
        <f t="shared" si="95"/>
        <v>er L.</v>
      </c>
    </row>
    <row r="1992" spans="1:5" ht="15.75" customHeight="1">
      <c r="A1992" s="9" t="s">
        <v>3985</v>
      </c>
      <c r="B1992" s="9" t="s">
        <v>3986</v>
      </c>
      <c r="C1992" t="str">
        <f t="shared" si="93"/>
        <v>e,</v>
      </c>
      <c r="D1992" t="str">
        <f t="shared" si="94"/>
        <v>Cadot</v>
      </c>
      <c r="E1992" t="str">
        <f t="shared" si="95"/>
        <v>er P.</v>
      </c>
    </row>
    <row r="1993" spans="1:5" ht="15.75" customHeight="1">
      <c r="A1993" s="9" t="s">
        <v>3987</v>
      </c>
      <c r="B1993" s="9" t="s">
        <v>3988</v>
      </c>
      <c r="C1993" t="str">
        <f t="shared" si="93"/>
        <v>pag</v>
      </c>
      <c r="D1993" t="str">
        <f t="shared" si="94"/>
        <v>Cacci</v>
      </c>
      <c r="E1993" t="str">
        <f t="shared" si="95"/>
        <v>her W</v>
      </c>
    </row>
    <row r="1994" spans="1:5" ht="15.75" customHeight="1">
      <c r="A1994" s="9" t="s">
        <v>3989</v>
      </c>
      <c r="B1994" s="9" t="s">
        <v>3990</v>
      </c>
      <c r="C1994" t="str">
        <f t="shared" si="93"/>
        <v>er,</v>
      </c>
      <c r="D1994" t="str">
        <f t="shared" si="94"/>
        <v>Minin</v>
      </c>
      <c r="E1994" t="str">
        <f t="shared" si="95"/>
        <v>an H.</v>
      </c>
    </row>
    <row r="1995" spans="1:5" ht="15.75" customHeight="1">
      <c r="A1995" s="9" t="s">
        <v>3991</v>
      </c>
      <c r="B1995" s="9" t="s">
        <v>3992</v>
      </c>
      <c r="C1995" t="str">
        <f t="shared" si="93"/>
        <v>Ms.</v>
      </c>
      <c r="D1995" t="str">
        <f t="shared" si="94"/>
        <v>Mayo,</v>
      </c>
      <c r="E1995" t="str">
        <f t="shared" si="95"/>
        <v>Susan</v>
      </c>
    </row>
    <row r="1996" spans="1:5" ht="15.75" customHeight="1">
      <c r="A1996" s="9" t="s">
        <v>3993</v>
      </c>
      <c r="B1996" s="9" t="s">
        <v>3994</v>
      </c>
      <c r="C1996" t="str">
        <f t="shared" si="93"/>
        <v>Ms</v>
      </c>
      <c r="D1996" t="str">
        <f t="shared" si="94"/>
        <v>Zicko</v>
      </c>
      <c r="E1996" t="str">
        <f t="shared" si="95"/>
        <v>ana K</v>
      </c>
    </row>
    <row r="1997" spans="1:5" ht="15.75" customHeight="1">
      <c r="A1997" s="9" t="s">
        <v>3995</v>
      </c>
      <c r="B1997" s="9" t="s">
        <v>3996</v>
      </c>
      <c r="C1997" t="str">
        <f t="shared" si="93"/>
        <v>, M</v>
      </c>
      <c r="D1997" t="str">
        <f t="shared" si="94"/>
        <v>Graha</v>
      </c>
      <c r="E1997" t="str">
        <f t="shared" si="95"/>
        <v>rissy</v>
      </c>
    </row>
    <row r="1998" spans="1:5" ht="15.75" customHeight="1">
      <c r="A1998" s="9" t="s">
        <v>3997</v>
      </c>
      <c r="B1998" s="9" t="s">
        <v>3998</v>
      </c>
      <c r="C1998" t="str">
        <f t="shared" si="93"/>
        <v>, M</v>
      </c>
      <c r="D1998" t="str">
        <f t="shared" si="94"/>
        <v>Bolan</v>
      </c>
      <c r="E1998" t="str">
        <f t="shared" si="95"/>
        <v>arrie</v>
      </c>
    </row>
    <row r="1999" spans="1:5" ht="15.75" customHeight="1">
      <c r="A1999" s="9" t="s">
        <v>3999</v>
      </c>
      <c r="B1999" s="9" t="s">
        <v>4000</v>
      </c>
      <c r="C1999" t="str">
        <f t="shared" si="93"/>
        <v>Ms.</v>
      </c>
      <c r="D1999" t="str">
        <f t="shared" si="94"/>
        <v>Cupp,</v>
      </c>
      <c r="E1999" t="str">
        <f t="shared" si="95"/>
        <v>Halle</v>
      </c>
    </row>
    <row r="2000" spans="1:5" ht="15.75" customHeight="1">
      <c r="A2000" s="9" t="s">
        <v>4001</v>
      </c>
      <c r="B2000" s="9" t="s">
        <v>4002</v>
      </c>
      <c r="C2000" t="str">
        <f t="shared" si="93"/>
        <v>Ms.</v>
      </c>
      <c r="D2000" t="str">
        <f t="shared" si="94"/>
        <v>Shaw,</v>
      </c>
      <c r="E2000" t="str">
        <f t="shared" si="95"/>
        <v>rolyn</v>
      </c>
    </row>
    <row r="2001" spans="1:5" ht="15.75" customHeight="1">
      <c r="A2001" s="9" t="s">
        <v>4003</v>
      </c>
      <c r="B2001" s="9" t="s">
        <v>4004</v>
      </c>
      <c r="C2001" t="str">
        <f t="shared" si="93"/>
        <v>n,</v>
      </c>
      <c r="D2001" t="str">
        <f t="shared" si="94"/>
        <v>Klass</v>
      </c>
      <c r="E2001" t="str">
        <f t="shared" si="95"/>
        <v>ra D.</v>
      </c>
    </row>
    <row r="2002" spans="1:5" ht="15.75" customHeight="1">
      <c r="A2002" s="9" t="s">
        <v>4005</v>
      </c>
      <c r="B2002" s="9" t="s">
        <v>4006</v>
      </c>
      <c r="C2002" t="str">
        <f t="shared" si="93"/>
        <v>Mr</v>
      </c>
      <c r="D2002" t="str">
        <f t="shared" si="94"/>
        <v>Musal</v>
      </c>
      <c r="E2002" t="str">
        <f t="shared" si="95"/>
        <v>sim M</v>
      </c>
    </row>
    <row r="2003" spans="1:5" ht="15.75" customHeight="1">
      <c r="A2003" s="9" t="s">
        <v>4007</v>
      </c>
      <c r="B2003" s="9" t="s">
        <v>4008</v>
      </c>
      <c r="C2003" t="str">
        <f t="shared" si="93"/>
        <v>ma,</v>
      </c>
      <c r="D2003" t="str">
        <f t="shared" si="94"/>
        <v>Kitay</v>
      </c>
      <c r="E2003" t="str">
        <f t="shared" si="95"/>
        <v>Dina</v>
      </c>
    </row>
    <row r="2004" spans="1:5" ht="15.75" customHeight="1">
      <c r="A2004" s="9" t="s">
        <v>4009</v>
      </c>
      <c r="B2004" s="9" t="s">
        <v>4010</v>
      </c>
      <c r="C2004" t="str">
        <f t="shared" si="93"/>
        <v>, M</v>
      </c>
      <c r="D2004" t="str">
        <f t="shared" si="94"/>
        <v>Altma</v>
      </c>
      <c r="E2004" t="str">
        <f t="shared" si="95"/>
        <v>Lisa</v>
      </c>
    </row>
    <row r="2005" spans="1:5" ht="15.75" customHeight="1">
      <c r="A2005" s="9" t="s">
        <v>4011</v>
      </c>
      <c r="B2005" s="9" t="s">
        <v>4012</v>
      </c>
      <c r="C2005" t="str">
        <f t="shared" si="93"/>
        <v>o,</v>
      </c>
      <c r="D2005" t="str">
        <f t="shared" si="94"/>
        <v>Demch</v>
      </c>
      <c r="E2005" t="str">
        <f t="shared" si="95"/>
        <v>itrin</v>
      </c>
    </row>
    <row r="2006" spans="1:5" ht="15.75" customHeight="1">
      <c r="A2006" s="9" t="s">
        <v>4013</v>
      </c>
      <c r="B2006" s="9" t="s">
        <v>4014</v>
      </c>
      <c r="C2006" t="str">
        <f t="shared" si="93"/>
        <v>Ms.</v>
      </c>
      <c r="D2006" t="str">
        <f t="shared" si="94"/>
        <v>Wild,</v>
      </c>
      <c r="E2006" t="str">
        <f t="shared" si="95"/>
        <v>ana S</v>
      </c>
    </row>
    <row r="2007" spans="1:5" ht="15.75" customHeight="1">
      <c r="A2007" s="9" t="s">
        <v>4015</v>
      </c>
      <c r="B2007" s="9" t="s">
        <v>4016</v>
      </c>
      <c r="C2007" t="str">
        <f t="shared" si="93"/>
        <v>Ms</v>
      </c>
      <c r="D2007" t="str">
        <f t="shared" si="94"/>
        <v>Betts</v>
      </c>
      <c r="E2007" t="str">
        <f t="shared" si="95"/>
        <v>Megan</v>
      </c>
    </row>
    <row r="2008" spans="1:5" ht="15.75" customHeight="1">
      <c r="A2008" s="9" t="s">
        <v>4017</v>
      </c>
      <c r="B2008" s="9" t="s">
        <v>4018</v>
      </c>
      <c r="C2008" t="str">
        <f t="shared" si="93"/>
        <v>, M</v>
      </c>
      <c r="D2008" t="str">
        <f t="shared" si="94"/>
        <v>Marti</v>
      </c>
      <c r="E2008" t="str">
        <f t="shared" si="95"/>
        <v>ten M</v>
      </c>
    </row>
    <row r="2009" spans="1:5" ht="15.75" customHeight="1">
      <c r="A2009" s="9" t="s">
        <v>4019</v>
      </c>
      <c r="B2009" s="9" t="s">
        <v>4020</v>
      </c>
      <c r="C2009" t="str">
        <f t="shared" si="93"/>
        <v>ent</v>
      </c>
      <c r="D2009" t="str">
        <f t="shared" si="94"/>
        <v>Vande</v>
      </c>
      <c r="E2009" t="str">
        <f t="shared" si="95"/>
        <v>Alix</v>
      </c>
    </row>
    <row r="2010" spans="1:5" ht="15.75" customHeight="1">
      <c r="A2010" s="9" t="s">
        <v>4021</v>
      </c>
      <c r="B2010" s="9" t="s">
        <v>4022</v>
      </c>
      <c r="C2010" t="str">
        <f t="shared" si="93"/>
        <v>, M</v>
      </c>
      <c r="D2010" t="str">
        <f t="shared" si="94"/>
        <v>Hiran</v>
      </c>
      <c r="E2010" t="str">
        <f t="shared" si="95"/>
        <v>ushin</v>
      </c>
    </row>
    <row r="2011" spans="1:5" ht="15.75" customHeight="1">
      <c r="A2011" s="9" t="s">
        <v>4023</v>
      </c>
      <c r="B2011" s="9" t="s">
        <v>4024</v>
      </c>
      <c r="C2011" t="str">
        <f t="shared" si="93"/>
        <v>Mr.</v>
      </c>
      <c r="D2011" t="str">
        <f t="shared" si="94"/>
        <v>Davi,</v>
      </c>
      <c r="E2011" t="str">
        <f t="shared" si="95"/>
        <v>ael J</v>
      </c>
    </row>
    <row r="2012" spans="1:5" ht="15.75" customHeight="1">
      <c r="A2012" s="9" t="s">
        <v>4025</v>
      </c>
      <c r="B2012" s="9" t="s">
        <v>4026</v>
      </c>
      <c r="C2012" t="str">
        <f t="shared" si="93"/>
        <v>Mr</v>
      </c>
      <c r="D2012" t="str">
        <f t="shared" si="94"/>
        <v>Sloan</v>
      </c>
      <c r="E2012" t="str">
        <f t="shared" si="95"/>
        <v>adley</v>
      </c>
    </row>
    <row r="2013" spans="1:5" ht="15.75" customHeight="1">
      <c r="A2013" s="9" t="s">
        <v>4027</v>
      </c>
      <c r="B2013" s="9" t="s">
        <v>4028</v>
      </c>
      <c r="C2013" t="str">
        <f t="shared" si="93"/>
        <v>, M</v>
      </c>
      <c r="D2013" t="str">
        <f t="shared" si="94"/>
        <v>Homic</v>
      </c>
      <c r="E2013" t="str">
        <f t="shared" si="95"/>
        <v>Matt</v>
      </c>
    </row>
    <row r="2014" spans="1:5" ht="15.75" customHeight="1">
      <c r="A2014" s="9" t="s">
        <v>4029</v>
      </c>
      <c r="B2014" s="9" t="s">
        <v>4030</v>
      </c>
      <c r="C2014" t="str">
        <f t="shared" si="93"/>
        <v>Ms.</v>
      </c>
      <c r="D2014" t="str">
        <f t="shared" si="94"/>
        <v>Bell,</v>
      </c>
      <c r="E2014" t="str">
        <f t="shared" si="95"/>
        <v>da C.</v>
      </c>
    </row>
    <row r="2015" spans="1:5" ht="15.75" customHeight="1">
      <c r="A2015" s="9" t="s">
        <v>4031</v>
      </c>
      <c r="B2015" s="9" t="s">
        <v>4032</v>
      </c>
      <c r="C2015" t="str">
        <f t="shared" si="93"/>
        <v>ans</v>
      </c>
      <c r="D2015" t="str">
        <f t="shared" si="94"/>
        <v>Krist</v>
      </c>
      <c r="E2015" t="str">
        <f t="shared" si="95"/>
        <v>Valur</v>
      </c>
    </row>
    <row r="2016" spans="1:5" ht="15.75" customHeight="1">
      <c r="A2016" s="9" t="s">
        <v>4033</v>
      </c>
      <c r="B2016" s="9" t="s">
        <v>4034</v>
      </c>
      <c r="C2016" t="str">
        <f t="shared" si="93"/>
        <v>, M</v>
      </c>
      <c r="D2016" t="str">
        <f t="shared" si="94"/>
        <v>Pitma</v>
      </c>
      <c r="E2016" t="str">
        <f t="shared" si="95"/>
        <v>ica J</v>
      </c>
    </row>
    <row r="2017" spans="1:5" ht="15.75" customHeight="1">
      <c r="A2017" s="9" t="s">
        <v>4035</v>
      </c>
      <c r="B2017" s="9" t="s">
        <v>4036</v>
      </c>
      <c r="C2017" t="str">
        <f t="shared" si="93"/>
        <v>, M</v>
      </c>
      <c r="D2017" t="str">
        <f t="shared" si="94"/>
        <v>Curle</v>
      </c>
      <c r="E2017" t="str">
        <f t="shared" si="95"/>
        <v>en F.</v>
      </c>
    </row>
    <row r="2018" spans="1:5" ht="15.75" customHeight="1">
      <c r="A2018" s="9" t="s">
        <v>4037</v>
      </c>
      <c r="B2018" s="9" t="s">
        <v>4038</v>
      </c>
      <c r="C2018" t="str">
        <f t="shared" si="93"/>
        <v>, M</v>
      </c>
      <c r="D2018" t="str">
        <f t="shared" si="94"/>
        <v>Zimme</v>
      </c>
      <c r="E2018" t="str">
        <f t="shared" si="95"/>
        <v>Lissa</v>
      </c>
    </row>
    <row r="2019" spans="1:5" ht="15.75" customHeight="1">
      <c r="A2019" s="9" t="s">
        <v>4039</v>
      </c>
      <c r="B2019" s="9" t="s">
        <v>4040</v>
      </c>
      <c r="C2019" t="str">
        <f t="shared" si="93"/>
        <v>i,</v>
      </c>
      <c r="D2019" t="str">
        <f t="shared" si="94"/>
        <v>Grans</v>
      </c>
      <c r="E2019" t="str">
        <f t="shared" si="95"/>
        <v>Megan</v>
      </c>
    </row>
    <row r="2020" spans="1:5" ht="15.75" customHeight="1">
      <c r="A2020" s="9" t="s">
        <v>4041</v>
      </c>
      <c r="B2020" s="9" t="s">
        <v>4042</v>
      </c>
      <c r="C2020" t="str">
        <f t="shared" si="93"/>
        <v>Ms.</v>
      </c>
      <c r="D2020" t="str">
        <f t="shared" si="94"/>
        <v>Dunn,</v>
      </c>
      <c r="E2020" t="str">
        <f t="shared" si="95"/>
        <v>lyson</v>
      </c>
    </row>
    <row r="2021" spans="1:5" ht="15.75" customHeight="1">
      <c r="A2021" s="9" t="s">
        <v>4043</v>
      </c>
      <c r="B2021" s="9" t="s">
        <v>4044</v>
      </c>
      <c r="C2021" t="str">
        <f t="shared" si="93"/>
        <v>, M</v>
      </c>
      <c r="D2021" t="str">
        <f t="shared" si="94"/>
        <v>Regin</v>
      </c>
      <c r="E2021" t="str">
        <f t="shared" si="95"/>
        <v>nce B</v>
      </c>
    </row>
    <row r="2022" spans="1:5" ht="15.75" customHeight="1">
      <c r="A2022" s="9" t="s">
        <v>4045</v>
      </c>
      <c r="B2022" s="9" t="s">
        <v>4046</v>
      </c>
      <c r="C2022" t="str">
        <f t="shared" si="93"/>
        <v>or,</v>
      </c>
      <c r="D2022" t="str">
        <f t="shared" si="94"/>
        <v>O'Con</v>
      </c>
      <c r="E2022" t="str">
        <f t="shared" si="95"/>
        <v>ean P</v>
      </c>
    </row>
    <row r="2023" spans="1:5" ht="15.75" customHeight="1">
      <c r="A2023" s="9" t="s">
        <v>4047</v>
      </c>
      <c r="B2023" s="9" t="s">
        <v>4048</v>
      </c>
      <c r="C2023" t="str">
        <f t="shared" si="93"/>
        <v>Ms.</v>
      </c>
      <c r="D2023" t="str">
        <f t="shared" si="94"/>
        <v>Howe,</v>
      </c>
      <c r="E2023" t="str">
        <f t="shared" si="95"/>
        <v>erese</v>
      </c>
    </row>
    <row r="2024" spans="1:5" ht="15.75" customHeight="1">
      <c r="A2024" s="9" t="s">
        <v>4049</v>
      </c>
      <c r="B2024" s="9" t="s">
        <v>4050</v>
      </c>
      <c r="C2024" t="str">
        <f t="shared" si="93"/>
        <v>r,</v>
      </c>
      <c r="D2024" t="str">
        <f t="shared" si="94"/>
        <v>Atwat</v>
      </c>
      <c r="E2024" t="str">
        <f t="shared" si="95"/>
        <v>Beau</v>
      </c>
    </row>
    <row r="2025" spans="1:5" ht="15.75" customHeight="1">
      <c r="A2025" s="9" t="s">
        <v>4051</v>
      </c>
      <c r="B2025" s="9" t="s">
        <v>4052</v>
      </c>
      <c r="C2025" t="str">
        <f t="shared" si="93"/>
        <v>us,</v>
      </c>
      <c r="D2025" t="str">
        <f t="shared" si="94"/>
        <v>Gurga</v>
      </c>
      <c r="E2025" t="str">
        <f t="shared" si="95"/>
        <v>sey M</v>
      </c>
    </row>
    <row r="2026" spans="1:5" ht="15.75" customHeight="1">
      <c r="A2026" s="9" t="s">
        <v>4053</v>
      </c>
      <c r="B2026" s="9" t="s">
        <v>4054</v>
      </c>
      <c r="C2026" t="str">
        <f t="shared" si="93"/>
        <v>, M</v>
      </c>
      <c r="D2026" t="str">
        <f t="shared" si="94"/>
        <v>Holde</v>
      </c>
      <c r="E2026" t="str">
        <f t="shared" si="95"/>
        <v>tchen</v>
      </c>
    </row>
    <row r="2027" spans="1:5" ht="15.75" customHeight="1">
      <c r="A2027" s="9" t="s">
        <v>4055</v>
      </c>
      <c r="B2027" s="9" t="s">
        <v>4056</v>
      </c>
      <c r="C2027" t="str">
        <f t="shared" si="93"/>
        <v>, M</v>
      </c>
      <c r="D2027" t="str">
        <f t="shared" si="94"/>
        <v>Parto</v>
      </c>
      <c r="E2027" t="str">
        <f t="shared" si="95"/>
        <v>as E.</v>
      </c>
    </row>
    <row r="2028" spans="1:5" ht="15.75" customHeight="1">
      <c r="A2028" s="9" t="s">
        <v>4057</v>
      </c>
      <c r="B2028" s="9" t="s">
        <v>4058</v>
      </c>
      <c r="C2028" t="str">
        <f t="shared" si="93"/>
        <v>Ms</v>
      </c>
      <c r="D2028" t="str">
        <f t="shared" si="94"/>
        <v>Downs</v>
      </c>
      <c r="E2028" t="str">
        <f t="shared" si="95"/>
        <v>borah</v>
      </c>
    </row>
    <row r="2029" spans="1:5" ht="15.75" customHeight="1">
      <c r="A2029" s="9" t="s">
        <v>4059</v>
      </c>
      <c r="B2029" s="9" t="s">
        <v>4060</v>
      </c>
      <c r="C2029" t="str">
        <f t="shared" si="93"/>
        <v>Mr.</v>
      </c>
      <c r="D2029" t="str">
        <f t="shared" si="94"/>
        <v>Dent,</v>
      </c>
      <c r="E2029" t="str">
        <f t="shared" si="95"/>
        <v>. Jr.</v>
      </c>
    </row>
    <row r="2030" spans="1:5" ht="15.75" customHeight="1">
      <c r="A2030" s="9" t="s">
        <v>4061</v>
      </c>
      <c r="B2030" s="9" t="s">
        <v>4062</v>
      </c>
      <c r="C2030" t="str">
        <f t="shared" si="93"/>
        <v>Mr</v>
      </c>
      <c r="D2030" t="str">
        <f t="shared" si="94"/>
        <v>Ranti</v>
      </c>
      <c r="E2030" t="str">
        <f t="shared" si="95"/>
        <v>aniel</v>
      </c>
    </row>
    <row r="2031" spans="1:5" ht="15.75" customHeight="1">
      <c r="A2031" s="9" t="s">
        <v>4063</v>
      </c>
      <c r="B2031" s="9" t="s">
        <v>4064</v>
      </c>
      <c r="C2031" t="str">
        <f t="shared" si="93"/>
        <v>Ms</v>
      </c>
      <c r="D2031" t="str">
        <f t="shared" si="94"/>
        <v>Ishaq</v>
      </c>
      <c r="E2031" t="str">
        <f t="shared" si="95"/>
        <v>Amany</v>
      </c>
    </row>
    <row r="2032" spans="1:5" ht="15.75" customHeight="1">
      <c r="A2032" s="9" t="s">
        <v>4065</v>
      </c>
      <c r="B2032" s="9" t="s">
        <v>4066</v>
      </c>
      <c r="C2032" t="str">
        <f t="shared" si="93"/>
        <v>Ms</v>
      </c>
      <c r="D2032" t="str">
        <f t="shared" si="94"/>
        <v>Wiles</v>
      </c>
      <c r="E2032" t="str">
        <f t="shared" si="95"/>
        <v>pling</v>
      </c>
    </row>
    <row r="2033" spans="1:5" ht="15.75" customHeight="1">
      <c r="A2033" s="9" t="s">
        <v>4067</v>
      </c>
      <c r="B2033" s="9" t="s">
        <v>4068</v>
      </c>
      <c r="C2033" t="str">
        <f t="shared" si="93"/>
        <v>s,</v>
      </c>
      <c r="D2033" t="str">
        <f t="shared" si="94"/>
        <v>Rober</v>
      </c>
      <c r="E2033" t="str">
        <f t="shared" si="95"/>
        <v>uncan</v>
      </c>
    </row>
    <row r="2034" spans="1:5" ht="15.75" customHeight="1">
      <c r="A2034" s="9" t="s">
        <v>4069</v>
      </c>
      <c r="B2034" s="9" t="s">
        <v>4070</v>
      </c>
      <c r="C2034" t="str">
        <f t="shared" si="93"/>
        <v>ni,</v>
      </c>
      <c r="D2034" t="str">
        <f t="shared" si="94"/>
        <v>Seraf</v>
      </c>
      <c r="E2034" t="str">
        <f t="shared" si="95"/>
        <v>is C.</v>
      </c>
    </row>
    <row r="2035" spans="1:5" ht="15.75" customHeight="1">
      <c r="A2035" s="9" t="s">
        <v>4071</v>
      </c>
      <c r="B2035" s="9" t="s">
        <v>4072</v>
      </c>
      <c r="C2035" t="str">
        <f t="shared" si="93"/>
        <v>, M</v>
      </c>
      <c r="D2035" t="str">
        <f t="shared" si="94"/>
        <v>Butto</v>
      </c>
      <c r="E2035" t="str">
        <f t="shared" si="95"/>
        <v>iel J</v>
      </c>
    </row>
    <row r="2036" spans="1:5" ht="15.75" customHeight="1">
      <c r="A2036" s="9" t="s">
        <v>4073</v>
      </c>
      <c r="B2036" s="9" t="s">
        <v>4074</v>
      </c>
      <c r="C2036" t="str">
        <f t="shared" si="93"/>
        <v>Ms.</v>
      </c>
      <c r="D2036" t="str">
        <f t="shared" si="94"/>
        <v>Gaal,</v>
      </c>
      <c r="E2036" t="str">
        <f t="shared" si="95"/>
        <v>ko M.</v>
      </c>
    </row>
    <row r="2037" spans="1:5" ht="15.75" customHeight="1">
      <c r="A2037" s="9" t="s">
        <v>4075</v>
      </c>
      <c r="B2037" s="9" t="s">
        <v>4076</v>
      </c>
      <c r="C2037" t="str">
        <f t="shared" si="93"/>
        <v>, M</v>
      </c>
      <c r="D2037" t="str">
        <f t="shared" si="94"/>
        <v>Lipta</v>
      </c>
      <c r="E2037" t="str">
        <f t="shared" si="95"/>
        <v>da E.</v>
      </c>
    </row>
    <row r="2038" spans="1:5" ht="15.75" customHeight="1">
      <c r="A2038" s="9" t="s">
        <v>4077</v>
      </c>
      <c r="B2038" s="9" t="s">
        <v>4078</v>
      </c>
      <c r="C2038" t="str">
        <f t="shared" si="93"/>
        <v>, M</v>
      </c>
      <c r="D2038" t="str">
        <f t="shared" si="94"/>
        <v>Kella</v>
      </c>
      <c r="E2038" t="str">
        <f t="shared" si="95"/>
        <v>ley M</v>
      </c>
    </row>
    <row r="2039" spans="1:5" ht="15.75" customHeight="1">
      <c r="A2039" s="9" t="s">
        <v>4079</v>
      </c>
      <c r="B2039" s="9" t="s">
        <v>4080</v>
      </c>
      <c r="C2039" t="str">
        <f t="shared" si="93"/>
        <v>, M</v>
      </c>
      <c r="D2039" t="str">
        <f t="shared" si="94"/>
        <v>Gordo</v>
      </c>
      <c r="E2039" t="str">
        <f t="shared" si="95"/>
        <v>hanie</v>
      </c>
    </row>
    <row r="2040" spans="1:5" ht="15.75" customHeight="1">
      <c r="A2040" s="9" t="s">
        <v>4081</v>
      </c>
      <c r="B2040" s="9" t="s">
        <v>4082</v>
      </c>
      <c r="C2040" t="str">
        <f t="shared" si="93"/>
        <v>, M</v>
      </c>
      <c r="D2040" t="str">
        <f t="shared" si="94"/>
        <v>Hylan</v>
      </c>
      <c r="E2040" t="str">
        <f t="shared" si="95"/>
        <v>an P.</v>
      </c>
    </row>
    <row r="2041" spans="1:5" ht="15.75" customHeight="1">
      <c r="A2041" s="9" t="s">
        <v>4083</v>
      </c>
      <c r="B2041" s="9" t="s">
        <v>4084</v>
      </c>
      <c r="C2041" t="str">
        <f t="shared" si="93"/>
        <v>r,</v>
      </c>
      <c r="D2041" t="str">
        <f t="shared" si="94"/>
        <v>Wagon</v>
      </c>
      <c r="E2041" t="str">
        <f t="shared" si="95"/>
        <v>ily G</v>
      </c>
    </row>
    <row r="2042" spans="1:5" ht="15.75" customHeight="1">
      <c r="A2042" s="9" t="s">
        <v>4085</v>
      </c>
      <c r="B2042" s="9" t="s">
        <v>4086</v>
      </c>
      <c r="C2042" t="str">
        <f t="shared" si="93"/>
        <v>, M</v>
      </c>
      <c r="D2042" t="str">
        <f t="shared" si="94"/>
        <v>Thoma</v>
      </c>
      <c r="E2042" t="str">
        <f t="shared" si="95"/>
        <v>lcolm</v>
      </c>
    </row>
    <row r="2043" spans="1:5" ht="15.75" customHeight="1">
      <c r="A2043" s="9" t="s">
        <v>4087</v>
      </c>
      <c r="B2043" s="9" t="s">
        <v>4088</v>
      </c>
      <c r="C2043" t="str">
        <f t="shared" si="93"/>
        <v>Mr</v>
      </c>
      <c r="D2043" t="str">
        <f t="shared" si="94"/>
        <v>Goffi</v>
      </c>
      <c r="E2043" t="str">
        <f t="shared" si="95"/>
        <v>anilo</v>
      </c>
    </row>
    <row r="2044" spans="1:5" ht="15.75" customHeight="1">
      <c r="A2044" s="9" t="s">
        <v>4089</v>
      </c>
      <c r="B2044" s="9" t="s">
        <v>4090</v>
      </c>
      <c r="C2044" t="str">
        <f t="shared" si="93"/>
        <v>ara</v>
      </c>
      <c r="D2044" t="str">
        <f t="shared" si="94"/>
        <v>Salov</v>
      </c>
      <c r="E2044" t="str">
        <f t="shared" si="95"/>
        <v>Mikko</v>
      </c>
    </row>
    <row r="2045" spans="1:5" ht="15.75" customHeight="1">
      <c r="A2045" s="9" t="s">
        <v>4091</v>
      </c>
      <c r="B2045" s="9" t="s">
        <v>4092</v>
      </c>
      <c r="C2045" t="str">
        <f t="shared" si="93"/>
        <v>Ms.</v>
      </c>
      <c r="D2045" t="str">
        <f t="shared" si="94"/>
        <v>Reid,</v>
      </c>
      <c r="E2045" t="str">
        <f t="shared" si="95"/>
        <v>la C.</v>
      </c>
    </row>
    <row r="2046" spans="1:5" ht="15.75" customHeight="1">
      <c r="A2046" s="9" t="s">
        <v>4093</v>
      </c>
      <c r="B2046" s="9" t="s">
        <v>4094</v>
      </c>
      <c r="C2046" t="str">
        <f t="shared" si="93"/>
        <v>Ms</v>
      </c>
      <c r="D2046" t="str">
        <f t="shared" si="94"/>
        <v>Allan</v>
      </c>
      <c r="E2046" t="str">
        <f t="shared" si="95"/>
        <v>en N.</v>
      </c>
    </row>
    <row r="2047" spans="1:5" ht="15.75" customHeight="1">
      <c r="A2047" s="9" t="s">
        <v>4095</v>
      </c>
      <c r="B2047" s="9" t="s">
        <v>4096</v>
      </c>
      <c r="C2047" t="str">
        <f t="shared" si="93"/>
        <v>hli</v>
      </c>
      <c r="D2047" t="str">
        <f t="shared" si="94"/>
        <v>McLau</v>
      </c>
      <c r="E2047" t="str">
        <f t="shared" si="95"/>
        <v>risty</v>
      </c>
    </row>
    <row r="2048" spans="1:5" ht="15.75" customHeight="1">
      <c r="A2048" s="9" t="s">
        <v>4097</v>
      </c>
      <c r="B2048" s="9" t="s">
        <v>4098</v>
      </c>
      <c r="C2048" t="str">
        <f t="shared" si="93"/>
        <v>s.</v>
      </c>
      <c r="D2048" t="str">
        <f t="shared" si="94"/>
        <v>Lee,</v>
      </c>
      <c r="E2048" t="str">
        <f t="shared" si="95"/>
        <v>nifer</v>
      </c>
    </row>
    <row r="2049" spans="1:5" ht="15.75" customHeight="1">
      <c r="A2049" s="9" t="s">
        <v>4099</v>
      </c>
      <c r="B2049" s="9" t="s">
        <v>4100</v>
      </c>
      <c r="C2049" t="str">
        <f t="shared" si="93"/>
        <v>Ms.</v>
      </c>
      <c r="D2049" t="str">
        <f t="shared" si="94"/>
        <v>Tang,</v>
      </c>
      <c r="E2049" t="str">
        <f t="shared" si="95"/>
        <v>gjing</v>
      </c>
    </row>
    <row r="2050" spans="1:5" ht="15.75" customHeight="1">
      <c r="A2050" s="9" t="s">
        <v>4101</v>
      </c>
      <c r="B2050" s="9" t="s">
        <v>4102</v>
      </c>
      <c r="C2050" t="str">
        <f t="shared" si="93"/>
        <v>y,</v>
      </c>
      <c r="D2050" t="str">
        <f t="shared" si="94"/>
        <v>Kenne</v>
      </c>
      <c r="E2050" t="str">
        <f t="shared" si="95"/>
        <v>organ</v>
      </c>
    </row>
    <row r="2051" spans="1:5" ht="15.75" customHeight="1">
      <c r="A2051" s="9" t="s">
        <v>4103</v>
      </c>
      <c r="B2051" s="9" t="s">
        <v>4104</v>
      </c>
      <c r="C2051" t="str">
        <f t="shared" ref="C2051:C2114" si="96">MID(B2051,7,3)</f>
        <v>, M</v>
      </c>
      <c r="D2051" t="str">
        <f t="shared" ref="D2051:D2114" si="97">LEFT(B2051,5)</f>
        <v>Condo</v>
      </c>
      <c r="E2051" t="str">
        <f t="shared" ref="E2051:E2114" si="98">RIGHT(B2051,5)</f>
        <v>ck J.</v>
      </c>
    </row>
    <row r="2052" spans="1:5" ht="15.75" customHeight="1">
      <c r="A2052" s="9" t="s">
        <v>4105</v>
      </c>
      <c r="B2052" s="9" t="s">
        <v>4106</v>
      </c>
      <c r="C2052" t="str">
        <f t="shared" si="96"/>
        <v>ony</v>
      </c>
      <c r="D2052" t="str">
        <f t="shared" si="97"/>
        <v>Chepk</v>
      </c>
      <c r="E2052" t="str">
        <f t="shared" si="98"/>
        <v>kline</v>
      </c>
    </row>
    <row r="2053" spans="1:5" ht="15.75" customHeight="1">
      <c r="A2053" s="9" t="s">
        <v>4107</v>
      </c>
      <c r="B2053" s="9" t="s">
        <v>4108</v>
      </c>
      <c r="C2053" t="str">
        <f t="shared" si="96"/>
        <v>uez</v>
      </c>
      <c r="D2053" t="str">
        <f t="shared" si="97"/>
        <v>Rodri</v>
      </c>
      <c r="E2053" t="str">
        <f t="shared" si="98"/>
        <v>ra T.</v>
      </c>
    </row>
    <row r="2054" spans="1:5" ht="15.75" customHeight="1">
      <c r="A2054" s="9" t="s">
        <v>4109</v>
      </c>
      <c r="B2054" s="9" t="s">
        <v>4110</v>
      </c>
      <c r="C2054" t="str">
        <f t="shared" si="96"/>
        <v>rcz</v>
      </c>
      <c r="D2054" t="str">
        <f t="shared" si="97"/>
        <v>Szynk</v>
      </c>
      <c r="E2054" t="str">
        <f t="shared" si="98"/>
        <v>talia</v>
      </c>
    </row>
    <row r="2055" spans="1:5" ht="15.75" customHeight="1">
      <c r="A2055" s="9" t="s">
        <v>4111</v>
      </c>
      <c r="B2055" s="9" t="s">
        <v>4112</v>
      </c>
      <c r="C2055" t="str">
        <f t="shared" si="96"/>
        <v>Ms</v>
      </c>
      <c r="D2055" t="str">
        <f t="shared" si="97"/>
        <v>Brill</v>
      </c>
      <c r="E2055" t="str">
        <f t="shared" si="98"/>
        <v>er L.</v>
      </c>
    </row>
    <row r="2056" spans="1:5" ht="15.75" customHeight="1">
      <c r="A2056" s="9" t="s">
        <v>4113</v>
      </c>
      <c r="B2056" s="9" t="s">
        <v>4114</v>
      </c>
      <c r="C2056" t="str">
        <f t="shared" si="96"/>
        <v>Ms</v>
      </c>
      <c r="D2056" t="str">
        <f t="shared" si="97"/>
        <v>Adams</v>
      </c>
      <c r="E2056" t="str">
        <f t="shared" si="98"/>
        <v>rooke</v>
      </c>
    </row>
    <row r="2057" spans="1:5" ht="15.75" customHeight="1">
      <c r="A2057" s="9" t="s">
        <v>4115</v>
      </c>
      <c r="B2057" s="9" t="s">
        <v>4116</v>
      </c>
      <c r="C2057" t="str">
        <f t="shared" si="96"/>
        <v>Mr.</v>
      </c>
      <c r="D2057" t="str">
        <f t="shared" si="97"/>
        <v>Nunn,</v>
      </c>
      <c r="E2057" t="str">
        <f t="shared" si="98"/>
        <v>emy M</v>
      </c>
    </row>
    <row r="2058" spans="1:5" ht="15.75" customHeight="1">
      <c r="A2058" s="9" t="s">
        <v>4117</v>
      </c>
      <c r="B2058" s="9" t="s">
        <v>4118</v>
      </c>
      <c r="C2058" t="str">
        <f t="shared" si="96"/>
        <v>Ms</v>
      </c>
      <c r="D2058" t="str">
        <f t="shared" si="97"/>
        <v>Blair</v>
      </c>
      <c r="E2058" t="str">
        <f t="shared" si="98"/>
        <v>an L.</v>
      </c>
    </row>
    <row r="2059" spans="1:5" ht="15.75" customHeight="1">
      <c r="A2059" s="9" t="s">
        <v>4119</v>
      </c>
      <c r="B2059" s="9" t="s">
        <v>4120</v>
      </c>
      <c r="C2059" t="str">
        <f t="shared" si="96"/>
        <v>y,</v>
      </c>
      <c r="D2059" t="str">
        <f t="shared" si="97"/>
        <v>Shark</v>
      </c>
      <c r="E2059" t="str">
        <f t="shared" si="98"/>
        <v>Bryan</v>
      </c>
    </row>
    <row r="2060" spans="1:5" ht="15.75" customHeight="1">
      <c r="A2060" s="9" t="s">
        <v>4121</v>
      </c>
      <c r="B2060" s="9" t="s">
        <v>4122</v>
      </c>
      <c r="C2060" t="str">
        <f t="shared" si="96"/>
        <v>d,</v>
      </c>
      <c r="D2060" t="str">
        <f t="shared" si="97"/>
        <v>Scala</v>
      </c>
      <c r="E2060" t="str">
        <f t="shared" si="98"/>
        <v>Marny</v>
      </c>
    </row>
    <row r="2061" spans="1:5" ht="15.75" customHeight="1">
      <c r="A2061" s="9" t="s">
        <v>4123</v>
      </c>
      <c r="B2061" s="9" t="s">
        <v>4124</v>
      </c>
      <c r="C2061" t="str">
        <f t="shared" si="96"/>
        <v>, M</v>
      </c>
      <c r="D2061" t="str">
        <f t="shared" si="97"/>
        <v>Burge</v>
      </c>
      <c r="E2061" t="str">
        <f t="shared" si="98"/>
        <v>Marc</v>
      </c>
    </row>
    <row r="2062" spans="1:5" ht="15.75" customHeight="1">
      <c r="A2062" s="9" t="s">
        <v>4125</v>
      </c>
      <c r="B2062" s="9" t="s">
        <v>4126</v>
      </c>
      <c r="C2062" t="str">
        <f t="shared" si="96"/>
        <v>h,</v>
      </c>
      <c r="D2062" t="str">
        <f t="shared" si="97"/>
        <v>Engli</v>
      </c>
      <c r="E2062" t="str">
        <f t="shared" si="98"/>
        <v>min L</v>
      </c>
    </row>
    <row r="2063" spans="1:5" ht="15.75" customHeight="1">
      <c r="A2063" s="9" t="s">
        <v>4127</v>
      </c>
      <c r="B2063" s="9" t="s">
        <v>4128</v>
      </c>
      <c r="C2063" t="str">
        <f t="shared" si="96"/>
        <v>n,</v>
      </c>
      <c r="D2063" t="str">
        <f t="shared" si="97"/>
        <v>Hampt</v>
      </c>
      <c r="E2063" t="str">
        <f t="shared" si="98"/>
        <v>Rob G</v>
      </c>
    </row>
    <row r="2064" spans="1:5" ht="15.75" customHeight="1">
      <c r="A2064" s="9" t="s">
        <v>4129</v>
      </c>
      <c r="B2064" s="9" t="s">
        <v>4130</v>
      </c>
      <c r="C2064" t="str">
        <f t="shared" si="96"/>
        <v>Ms</v>
      </c>
      <c r="D2064" t="str">
        <f t="shared" si="97"/>
        <v>Flynn</v>
      </c>
      <c r="E2064" t="str">
        <f t="shared" si="98"/>
        <v>nie A</v>
      </c>
    </row>
    <row r="2065" spans="1:5" ht="15.75" customHeight="1">
      <c r="A2065" s="9" t="s">
        <v>4131</v>
      </c>
      <c r="B2065" s="9" t="s">
        <v>4132</v>
      </c>
      <c r="C2065" t="str">
        <f t="shared" si="96"/>
        <v>Ms</v>
      </c>
      <c r="D2065" t="str">
        <f t="shared" si="97"/>
        <v>Knast</v>
      </c>
      <c r="E2065" t="str">
        <f t="shared" si="98"/>
        <v>hanie</v>
      </c>
    </row>
    <row r="2066" spans="1:5" ht="15.75" customHeight="1">
      <c r="A2066" s="9" t="s">
        <v>4133</v>
      </c>
      <c r="B2066" s="9" t="s">
        <v>4134</v>
      </c>
      <c r="C2066" t="str">
        <f t="shared" si="96"/>
        <v>Ms</v>
      </c>
      <c r="D2066" t="str">
        <f t="shared" si="97"/>
        <v>Lucas</v>
      </c>
      <c r="E2066" t="str">
        <f t="shared" si="98"/>
        <v>ne F.</v>
      </c>
    </row>
    <row r="2067" spans="1:5" ht="15.75" customHeight="1">
      <c r="A2067" s="9" t="s">
        <v>4135</v>
      </c>
      <c r="B2067" s="9" t="s">
        <v>4136</v>
      </c>
      <c r="C2067" t="str">
        <f t="shared" si="96"/>
        <v>, M</v>
      </c>
      <c r="D2067" t="str">
        <f t="shared" si="97"/>
        <v>Thoma</v>
      </c>
      <c r="E2067" t="str">
        <f t="shared" si="98"/>
        <v>ia J.</v>
      </c>
    </row>
    <row r="2068" spans="1:5" ht="15.75" customHeight="1">
      <c r="A2068" s="9" t="s">
        <v>4137</v>
      </c>
      <c r="B2068" s="9" t="s">
        <v>4138</v>
      </c>
      <c r="C2068" t="str">
        <f t="shared" si="96"/>
        <v>att</v>
      </c>
      <c r="D2068" t="str">
        <f t="shared" si="97"/>
        <v>Chere</v>
      </c>
      <c r="E2068" t="str">
        <f t="shared" si="98"/>
        <v>Jack</v>
      </c>
    </row>
    <row r="2069" spans="1:5" ht="15.75" customHeight="1">
      <c r="A2069" s="9" t="s">
        <v>4139</v>
      </c>
      <c r="B2069" s="9" t="s">
        <v>4140</v>
      </c>
      <c r="C2069" t="str">
        <f t="shared" si="96"/>
        <v>Mr.</v>
      </c>
      <c r="D2069" t="str">
        <f t="shared" si="97"/>
        <v>Olle,</v>
      </c>
      <c r="E2069" t="str">
        <f t="shared" si="98"/>
        <v>ernat</v>
      </c>
    </row>
    <row r="2070" spans="1:5" ht="15.75" customHeight="1">
      <c r="A2070" s="9" t="s">
        <v>4141</v>
      </c>
      <c r="B2070" s="9" t="s">
        <v>4142</v>
      </c>
      <c r="C2070" t="str">
        <f t="shared" si="96"/>
        <v>Mr</v>
      </c>
      <c r="D2070" t="str">
        <f t="shared" si="97"/>
        <v>Hamsi</v>
      </c>
      <c r="E2070" t="str">
        <f t="shared" si="98"/>
        <v>icham</v>
      </c>
    </row>
    <row r="2071" spans="1:5" ht="15.75" customHeight="1">
      <c r="A2071" s="9" t="s">
        <v>4143</v>
      </c>
      <c r="B2071" s="9" t="s">
        <v>4144</v>
      </c>
      <c r="C2071" t="str">
        <f t="shared" si="96"/>
        <v>an,</v>
      </c>
      <c r="D2071" t="str">
        <f t="shared" si="97"/>
        <v>Finne</v>
      </c>
      <c r="E2071" t="str">
        <f t="shared" si="98"/>
        <v>Sarah</v>
      </c>
    </row>
    <row r="2072" spans="1:5" ht="15.75" customHeight="1">
      <c r="A2072" s="9" t="s">
        <v>4145</v>
      </c>
      <c r="B2072" s="9" t="s">
        <v>4146</v>
      </c>
      <c r="C2072" t="str">
        <f t="shared" si="96"/>
        <v>Mr</v>
      </c>
      <c r="D2072" t="str">
        <f t="shared" si="97"/>
        <v>Walsh</v>
      </c>
      <c r="E2072" t="str">
        <f t="shared" si="98"/>
        <v>ony S</v>
      </c>
    </row>
    <row r="2073" spans="1:5" ht="15.75" customHeight="1">
      <c r="A2073" s="9" t="s">
        <v>4147</v>
      </c>
      <c r="B2073" s="9" t="s">
        <v>4148</v>
      </c>
      <c r="C2073" t="str">
        <f t="shared" si="96"/>
        <v>Ms</v>
      </c>
      <c r="D2073" t="str">
        <f t="shared" si="97"/>
        <v>Villa</v>
      </c>
      <c r="E2073" t="str">
        <f t="shared" si="98"/>
        <v>betta</v>
      </c>
    </row>
    <row r="2074" spans="1:5" ht="15.75" customHeight="1">
      <c r="A2074" s="9" t="s">
        <v>4149</v>
      </c>
      <c r="B2074" s="9" t="s">
        <v>4150</v>
      </c>
      <c r="C2074" t="str">
        <f t="shared" si="96"/>
        <v>Mr</v>
      </c>
      <c r="D2074" t="str">
        <f t="shared" si="97"/>
        <v>Cable</v>
      </c>
      <c r="E2074" t="str">
        <f t="shared" si="98"/>
        <v>or N.</v>
      </c>
    </row>
    <row r="2075" spans="1:5" ht="15.75" customHeight="1">
      <c r="A2075" s="9" t="s">
        <v>4151</v>
      </c>
      <c r="B2075" s="9" t="s">
        <v>4152</v>
      </c>
      <c r="C2075" t="str">
        <f t="shared" si="96"/>
        <v>, M</v>
      </c>
      <c r="D2075" t="str">
        <f t="shared" si="97"/>
        <v>Eirin</v>
      </c>
      <c r="E2075" t="str">
        <f t="shared" si="98"/>
        <v>Nancy</v>
      </c>
    </row>
    <row r="2076" spans="1:5" ht="15.75" customHeight="1">
      <c r="A2076" s="9" t="s">
        <v>4153</v>
      </c>
      <c r="B2076" s="9" t="s">
        <v>4154</v>
      </c>
      <c r="C2076" t="str">
        <f t="shared" si="96"/>
        <v>, M</v>
      </c>
      <c r="D2076" t="str">
        <f t="shared" si="97"/>
        <v>Conno</v>
      </c>
      <c r="E2076" t="str">
        <f t="shared" si="98"/>
        <v>on R.</v>
      </c>
    </row>
    <row r="2077" spans="1:5" ht="15.75" customHeight="1">
      <c r="A2077" s="9" t="s">
        <v>4155</v>
      </c>
      <c r="B2077" s="9" t="s">
        <v>4156</v>
      </c>
      <c r="C2077" t="str">
        <f t="shared" si="96"/>
        <v>an,</v>
      </c>
      <c r="D2077" t="str">
        <f t="shared" si="97"/>
        <v>Fried</v>
      </c>
      <c r="E2077" t="str">
        <f t="shared" si="98"/>
        <v>rt J.</v>
      </c>
    </row>
    <row r="2078" spans="1:5" ht="15.75" customHeight="1">
      <c r="A2078" s="9" t="s">
        <v>4157</v>
      </c>
      <c r="B2078" s="9" t="s">
        <v>4158</v>
      </c>
      <c r="C2078" t="str">
        <f t="shared" si="96"/>
        <v>, M</v>
      </c>
      <c r="D2078" t="str">
        <f t="shared" si="97"/>
        <v>Croke</v>
      </c>
      <c r="E2078" t="str">
        <f t="shared" si="98"/>
        <v>holas</v>
      </c>
    </row>
    <row r="2079" spans="1:5" ht="15.75" customHeight="1">
      <c r="A2079" s="9" t="s">
        <v>4159</v>
      </c>
      <c r="B2079" s="9" t="s">
        <v>4160</v>
      </c>
      <c r="C2079" t="str">
        <f t="shared" si="96"/>
        <v>cs,</v>
      </c>
      <c r="D2079" t="str">
        <f t="shared" si="97"/>
        <v>Began</v>
      </c>
      <c r="E2079" t="str">
        <f t="shared" si="98"/>
        <v>vin L</v>
      </c>
    </row>
    <row r="2080" spans="1:5" ht="15.75" customHeight="1">
      <c r="A2080" s="9" t="s">
        <v>4161</v>
      </c>
      <c r="B2080" s="9" t="s">
        <v>4162</v>
      </c>
      <c r="C2080" t="str">
        <f t="shared" si="96"/>
        <v>y,</v>
      </c>
      <c r="D2080" t="str">
        <f t="shared" si="97"/>
        <v>Huber</v>
      </c>
      <c r="E2080" t="str">
        <f t="shared" si="98"/>
        <v>Bryan</v>
      </c>
    </row>
    <row r="2081" spans="1:5" ht="15.75" customHeight="1">
      <c r="A2081" s="9" t="s">
        <v>4163</v>
      </c>
      <c r="B2081" s="9" t="s">
        <v>4164</v>
      </c>
      <c r="C2081" t="str">
        <f t="shared" si="96"/>
        <v>, M</v>
      </c>
      <c r="D2081" t="str">
        <f t="shared" si="97"/>
        <v>Jacob</v>
      </c>
      <c r="E2081" t="str">
        <f t="shared" si="98"/>
        <v>ae N.</v>
      </c>
    </row>
    <row r="2082" spans="1:5" ht="15.75" customHeight="1">
      <c r="A2082" s="9" t="s">
        <v>4165</v>
      </c>
      <c r="B2082" s="9" t="s">
        <v>4166</v>
      </c>
      <c r="C2082" t="str">
        <f t="shared" si="96"/>
        <v>urs</v>
      </c>
      <c r="D2082" t="str">
        <f t="shared" si="97"/>
        <v>Hazle</v>
      </c>
      <c r="E2082" t="str">
        <f t="shared" si="98"/>
        <v>udrey</v>
      </c>
    </row>
    <row r="2083" spans="1:5" ht="15.75" customHeight="1">
      <c r="A2083" s="9" t="s">
        <v>4167</v>
      </c>
      <c r="B2083" s="9" t="s">
        <v>4168</v>
      </c>
      <c r="C2083" t="str">
        <f t="shared" si="96"/>
        <v>Ms</v>
      </c>
      <c r="D2083" t="str">
        <f t="shared" si="97"/>
        <v>Marin</v>
      </c>
      <c r="E2083" t="str">
        <f t="shared" si="98"/>
        <v>Laura</v>
      </c>
    </row>
    <row r="2084" spans="1:5" ht="15.75" customHeight="1">
      <c r="A2084" s="9" t="s">
        <v>4169</v>
      </c>
      <c r="B2084" s="9" t="s">
        <v>4170</v>
      </c>
      <c r="C2084" t="str">
        <f t="shared" si="96"/>
        <v>Ms.</v>
      </c>
      <c r="D2084" t="str">
        <f t="shared" si="97"/>
        <v>Dear,</v>
      </c>
      <c r="E2084" t="str">
        <f t="shared" si="98"/>
        <v>ole F</v>
      </c>
    </row>
    <row r="2085" spans="1:5" ht="15.75" customHeight="1">
      <c r="A2085" s="9" t="s">
        <v>4171</v>
      </c>
      <c r="B2085" s="9" t="s">
        <v>4172</v>
      </c>
      <c r="C2085" t="str">
        <f t="shared" si="96"/>
        <v>r,</v>
      </c>
      <c r="D2085" t="str">
        <f t="shared" si="97"/>
        <v>Leder</v>
      </c>
      <c r="E2085" t="str">
        <f t="shared" si="98"/>
        <v>sta L</v>
      </c>
    </row>
    <row r="2086" spans="1:5" ht="15.75" customHeight="1">
      <c r="A2086" s="9" t="s">
        <v>4173</v>
      </c>
      <c r="B2086" s="9" t="s">
        <v>4174</v>
      </c>
      <c r="C2086" t="str">
        <f t="shared" si="96"/>
        <v>, M</v>
      </c>
      <c r="D2086" t="str">
        <f t="shared" si="97"/>
        <v>Robso</v>
      </c>
      <c r="E2086" t="str">
        <f t="shared" si="98"/>
        <v>enise</v>
      </c>
    </row>
    <row r="2087" spans="1:5" ht="15.75" customHeight="1">
      <c r="A2087" s="9" t="s">
        <v>4175</v>
      </c>
      <c r="B2087" s="9" t="s">
        <v>4176</v>
      </c>
      <c r="C2087" t="str">
        <f t="shared" si="96"/>
        <v>, M</v>
      </c>
      <c r="D2087" t="str">
        <f t="shared" si="97"/>
        <v>Galva</v>
      </c>
      <c r="E2087" t="str">
        <f t="shared" si="98"/>
        <v>Ariel</v>
      </c>
    </row>
    <row r="2088" spans="1:5" ht="15.75" customHeight="1">
      <c r="A2088" s="9" t="s">
        <v>4177</v>
      </c>
      <c r="B2088" s="9" t="s">
        <v>4178</v>
      </c>
      <c r="C2088" t="str">
        <f t="shared" si="96"/>
        <v>Mr</v>
      </c>
      <c r="D2088" t="str">
        <f t="shared" si="97"/>
        <v>Walsh</v>
      </c>
      <c r="E2088" t="str">
        <f t="shared" si="98"/>
        <v>eremy</v>
      </c>
    </row>
    <row r="2089" spans="1:5" ht="15.75" customHeight="1">
      <c r="A2089" s="9" t="s">
        <v>4179</v>
      </c>
      <c r="B2089" s="9" t="s">
        <v>4180</v>
      </c>
      <c r="C2089" t="str">
        <f t="shared" si="96"/>
        <v>n,</v>
      </c>
      <c r="D2089" t="str">
        <f t="shared" si="97"/>
        <v>Teeuw</v>
      </c>
      <c r="E2089" t="str">
        <f t="shared" si="98"/>
        <v>salie</v>
      </c>
    </row>
    <row r="2090" spans="1:5" ht="15.75" customHeight="1">
      <c r="A2090" s="9" t="s">
        <v>4181</v>
      </c>
      <c r="B2090" s="9" t="s">
        <v>4182</v>
      </c>
      <c r="C2090" t="str">
        <f t="shared" si="96"/>
        <v>Mr.</v>
      </c>
      <c r="D2090" t="str">
        <f t="shared" si="97"/>
        <v>List,</v>
      </c>
      <c r="E2090" t="str">
        <f t="shared" si="98"/>
        <v>Jay</v>
      </c>
    </row>
    <row r="2091" spans="1:5" ht="15.75" customHeight="1">
      <c r="A2091" s="9" t="s">
        <v>4183</v>
      </c>
      <c r="B2091" s="9" t="s">
        <v>4184</v>
      </c>
      <c r="C2091" t="str">
        <f t="shared" si="96"/>
        <v>, M</v>
      </c>
      <c r="D2091" t="str">
        <f t="shared" si="97"/>
        <v>Shafa</v>
      </c>
      <c r="E2091" t="str">
        <f t="shared" si="98"/>
        <v>taliy</v>
      </c>
    </row>
    <row r="2092" spans="1:5" ht="15.75" customHeight="1">
      <c r="A2092" s="9" t="s">
        <v>4185</v>
      </c>
      <c r="B2092" s="9" t="s">
        <v>4186</v>
      </c>
      <c r="C2092" t="str">
        <f t="shared" si="96"/>
        <v>ave</v>
      </c>
      <c r="D2092" t="str">
        <f t="shared" si="97"/>
        <v>Copen</v>
      </c>
      <c r="E2092" t="str">
        <f t="shared" si="98"/>
        <v>in W.</v>
      </c>
    </row>
    <row r="2093" spans="1:5" ht="15.75" customHeight="1">
      <c r="A2093" s="9" t="s">
        <v>4187</v>
      </c>
      <c r="B2093" s="9" t="s">
        <v>4188</v>
      </c>
      <c r="C2093" t="str">
        <f t="shared" si="96"/>
        <v>Mr</v>
      </c>
      <c r="D2093" t="str">
        <f t="shared" si="97"/>
        <v>Stump</v>
      </c>
      <c r="E2093" t="str">
        <f t="shared" si="98"/>
        <v>Jesse</v>
      </c>
    </row>
    <row r="2094" spans="1:5" ht="15.75" customHeight="1">
      <c r="A2094" s="9" t="s">
        <v>4189</v>
      </c>
      <c r="B2094" s="9" t="s">
        <v>4190</v>
      </c>
      <c r="C2094" t="str">
        <f t="shared" si="96"/>
        <v>n,</v>
      </c>
      <c r="D2094" t="str">
        <f t="shared" si="97"/>
        <v>Wehrm</v>
      </c>
      <c r="E2094" t="str">
        <f t="shared" si="98"/>
        <v>Mark</v>
      </c>
    </row>
    <row r="2095" spans="1:5" ht="15.75" customHeight="1">
      <c r="A2095" s="9" t="s">
        <v>4191</v>
      </c>
      <c r="B2095" s="9" t="s">
        <v>4192</v>
      </c>
      <c r="C2095" t="str">
        <f t="shared" si="96"/>
        <v>, M</v>
      </c>
      <c r="D2095" t="str">
        <f t="shared" si="97"/>
        <v>Sisch</v>
      </c>
      <c r="E2095" t="str">
        <f t="shared" si="98"/>
        <v>auren</v>
      </c>
    </row>
    <row r="2096" spans="1:5" ht="15.75" customHeight="1">
      <c r="A2096" s="9" t="s">
        <v>4193</v>
      </c>
      <c r="B2096" s="9" t="s">
        <v>4194</v>
      </c>
      <c r="C2096" t="str">
        <f t="shared" si="96"/>
        <v>Mr</v>
      </c>
      <c r="D2096" t="str">
        <f t="shared" si="97"/>
        <v>Fonti</v>
      </c>
      <c r="E2096" t="str">
        <f t="shared" si="98"/>
        <v>liano</v>
      </c>
    </row>
    <row r="2097" spans="1:5" ht="15.75" customHeight="1">
      <c r="A2097" s="9" t="s">
        <v>4195</v>
      </c>
      <c r="B2097" s="9" t="s">
        <v>4196</v>
      </c>
      <c r="C2097" t="str">
        <f t="shared" si="96"/>
        <v>, M</v>
      </c>
      <c r="D2097" t="str">
        <f t="shared" si="97"/>
        <v>Merli</v>
      </c>
      <c r="E2097" t="str">
        <f t="shared" si="98"/>
        <v>Josh</v>
      </c>
    </row>
    <row r="2098" spans="1:5" ht="15.75" customHeight="1">
      <c r="A2098" s="9" t="s">
        <v>4197</v>
      </c>
      <c r="B2098" s="9" t="s">
        <v>4198</v>
      </c>
      <c r="C2098" t="str">
        <f t="shared" si="96"/>
        <v>wa,</v>
      </c>
      <c r="D2098" t="str">
        <f t="shared" si="97"/>
        <v>Haseg</v>
      </c>
      <c r="E2098" t="str">
        <f t="shared" si="98"/>
        <v>katsu</v>
      </c>
    </row>
    <row r="2099" spans="1:5" ht="15.75" customHeight="1">
      <c r="A2099" s="9" t="s">
        <v>4199</v>
      </c>
      <c r="B2099" s="9" t="s">
        <v>4200</v>
      </c>
      <c r="C2099" t="str">
        <f t="shared" si="96"/>
        <v>en,</v>
      </c>
      <c r="D2099" t="str">
        <f t="shared" si="97"/>
        <v>Hasel</v>
      </c>
      <c r="E2099" t="str">
        <f t="shared" si="98"/>
        <v>nda L</v>
      </c>
    </row>
    <row r="2100" spans="1:5" ht="15.75" customHeight="1">
      <c r="A2100" s="9" t="s">
        <v>4201</v>
      </c>
      <c r="B2100" s="9" t="s">
        <v>4202</v>
      </c>
      <c r="C2100" t="str">
        <f t="shared" si="96"/>
        <v>on,</v>
      </c>
      <c r="D2100" t="str">
        <f t="shared" si="97"/>
        <v>Simon</v>
      </c>
      <c r="E2100" t="str">
        <f t="shared" si="98"/>
        <v>tthew</v>
      </c>
    </row>
    <row r="2101" spans="1:5" ht="15.75" customHeight="1">
      <c r="A2101" s="9" t="s">
        <v>4203</v>
      </c>
      <c r="B2101" s="9" t="s">
        <v>4204</v>
      </c>
      <c r="C2101" t="str">
        <f t="shared" si="96"/>
        <v>, M</v>
      </c>
      <c r="D2101" t="str">
        <f t="shared" si="97"/>
        <v>Monta</v>
      </c>
      <c r="E2101" t="str">
        <f t="shared" si="98"/>
        <v>lia M</v>
      </c>
    </row>
    <row r="2102" spans="1:5" ht="15.75" customHeight="1">
      <c r="A2102" s="9" t="s">
        <v>4205</v>
      </c>
      <c r="B2102" s="9" t="s">
        <v>4206</v>
      </c>
      <c r="C2102" t="str">
        <f t="shared" si="96"/>
        <v>n,</v>
      </c>
      <c r="D2102" t="str">
        <f t="shared" si="97"/>
        <v>Deroi</v>
      </c>
      <c r="E2102" t="str">
        <f t="shared" si="98"/>
        <v>Rhea</v>
      </c>
    </row>
    <row r="2103" spans="1:5" ht="15.75" customHeight="1">
      <c r="A2103" s="9" t="s">
        <v>4207</v>
      </c>
      <c r="B2103" s="9" t="s">
        <v>4208</v>
      </c>
      <c r="C2103" t="str">
        <f t="shared" si="96"/>
        <v>Mr</v>
      </c>
      <c r="D2103" t="str">
        <f t="shared" si="97"/>
        <v>Goetz</v>
      </c>
      <c r="E2103" t="str">
        <f t="shared" si="98"/>
        <v>ustin</v>
      </c>
    </row>
    <row r="2104" spans="1:5" ht="15.75" customHeight="1">
      <c r="A2104" s="9" t="s">
        <v>4209</v>
      </c>
      <c r="B2104" s="9" t="s">
        <v>4210</v>
      </c>
      <c r="C2104" t="str">
        <f t="shared" si="96"/>
        <v>Mr</v>
      </c>
      <c r="D2104" t="str">
        <f t="shared" si="97"/>
        <v>Brady</v>
      </c>
      <c r="E2104" t="str">
        <f t="shared" si="98"/>
        <v>us M.</v>
      </c>
    </row>
    <row r="2105" spans="1:5" ht="15.75" customHeight="1">
      <c r="A2105" s="9" t="s">
        <v>4211</v>
      </c>
      <c r="B2105" s="9" t="s">
        <v>4212</v>
      </c>
      <c r="C2105" t="str">
        <f t="shared" si="96"/>
        <v>Mr</v>
      </c>
      <c r="D2105" t="str">
        <f t="shared" si="97"/>
        <v>Moran</v>
      </c>
      <c r="E2105" t="str">
        <f t="shared" si="98"/>
        <v>Mike</v>
      </c>
    </row>
    <row r="2106" spans="1:5" ht="15.75" customHeight="1">
      <c r="A2106" s="9" t="s">
        <v>4213</v>
      </c>
      <c r="B2106" s="9" t="s">
        <v>4214</v>
      </c>
      <c r="C2106" t="str">
        <f t="shared" si="96"/>
        <v>ler</v>
      </c>
      <c r="D2106" t="str">
        <f t="shared" si="97"/>
        <v>Stric</v>
      </c>
      <c r="E2106" t="str">
        <f t="shared" si="98"/>
        <v>Beth</v>
      </c>
    </row>
    <row r="2107" spans="1:5" ht="15.75" customHeight="1">
      <c r="A2107" s="9" t="s">
        <v>4215</v>
      </c>
      <c r="B2107" s="9" t="s">
        <v>4216</v>
      </c>
      <c r="C2107" t="str">
        <f t="shared" si="96"/>
        <v>, M</v>
      </c>
      <c r="D2107" t="str">
        <f t="shared" si="97"/>
        <v>Simon</v>
      </c>
      <c r="E2107" t="str">
        <f t="shared" si="98"/>
        <v>Erin</v>
      </c>
    </row>
    <row r="2108" spans="1:5" ht="15.75" customHeight="1">
      <c r="A2108" s="9" t="s">
        <v>4217</v>
      </c>
      <c r="B2108" s="9" t="s">
        <v>4218</v>
      </c>
      <c r="C2108" t="str">
        <f t="shared" si="96"/>
        <v>ck,</v>
      </c>
      <c r="D2108" t="str">
        <f t="shared" si="97"/>
        <v>Von R</v>
      </c>
      <c r="E2108" t="str">
        <f t="shared" si="98"/>
        <v>allie</v>
      </c>
    </row>
    <row r="2109" spans="1:5" ht="15.75" customHeight="1">
      <c r="A2109" s="9" t="s">
        <v>4219</v>
      </c>
      <c r="B2109" s="9" t="s">
        <v>4220</v>
      </c>
      <c r="C2109" t="str">
        <f t="shared" si="96"/>
        <v>d,</v>
      </c>
      <c r="D2109" t="str">
        <f t="shared" si="97"/>
        <v>Wooda</v>
      </c>
      <c r="E2109" t="str">
        <f t="shared" si="98"/>
        <v>ige P</v>
      </c>
    </row>
    <row r="2110" spans="1:5" ht="15.75" customHeight="1">
      <c r="A2110" s="9" t="s">
        <v>4221</v>
      </c>
      <c r="B2110" s="9" t="s">
        <v>4222</v>
      </c>
      <c r="C2110" t="str">
        <f t="shared" si="96"/>
        <v>.</v>
      </c>
      <c r="D2110" t="str">
        <f t="shared" si="97"/>
        <v>Li, M</v>
      </c>
      <c r="E2110" t="str">
        <f t="shared" si="98"/>
        <v>.  Ji</v>
      </c>
    </row>
    <row r="2111" spans="1:5" ht="15.75" customHeight="1">
      <c r="A2111" s="9" t="s">
        <v>4223</v>
      </c>
      <c r="B2111" s="9" t="s">
        <v>4224</v>
      </c>
      <c r="C2111" t="str">
        <f t="shared" si="96"/>
        <v>Ms</v>
      </c>
      <c r="D2111" t="str">
        <f t="shared" si="97"/>
        <v>Sinda</v>
      </c>
      <c r="E2111" t="str">
        <f t="shared" si="98"/>
        <v>ssa A</v>
      </c>
    </row>
    <row r="2112" spans="1:5" ht="15.75" customHeight="1">
      <c r="A2112" s="9" t="s">
        <v>4225</v>
      </c>
      <c r="B2112" s="9" t="s">
        <v>4226</v>
      </c>
      <c r="C2112" t="str">
        <f t="shared" si="96"/>
        <v>d,</v>
      </c>
      <c r="D2112" t="str">
        <f t="shared" si="97"/>
        <v>Rydla</v>
      </c>
      <c r="E2112" t="str">
        <f t="shared" si="98"/>
        <v>Mona</v>
      </c>
    </row>
    <row r="2113" spans="1:5" ht="15.75" customHeight="1">
      <c r="A2113" s="9" t="s">
        <v>4227</v>
      </c>
      <c r="B2113" s="9" t="s">
        <v>4228</v>
      </c>
      <c r="C2113" t="str">
        <f t="shared" si="96"/>
        <v>Ms</v>
      </c>
      <c r="D2113" t="str">
        <f t="shared" si="97"/>
        <v>Vespa</v>
      </c>
      <c r="E2113" t="str">
        <f t="shared" si="98"/>
        <v>in R.</v>
      </c>
    </row>
    <row r="2114" spans="1:5" ht="15.75" customHeight="1">
      <c r="A2114" s="9" t="s">
        <v>4229</v>
      </c>
      <c r="B2114" s="9" t="s">
        <v>4230</v>
      </c>
      <c r="C2114" t="str">
        <f t="shared" si="96"/>
        <v>s,</v>
      </c>
      <c r="D2114" t="str">
        <f t="shared" si="97"/>
        <v>Meado</v>
      </c>
      <c r="E2114" t="str">
        <f t="shared" si="98"/>
        <v>Beth</v>
      </c>
    </row>
    <row r="2115" spans="1:5" ht="15.75" customHeight="1">
      <c r="A2115" s="9" t="s">
        <v>4231</v>
      </c>
      <c r="B2115" s="9" t="s">
        <v>4232</v>
      </c>
      <c r="C2115" t="str">
        <f t="shared" ref="C2115:C2178" si="99">MID(B2115,7,3)</f>
        <v>, M</v>
      </c>
      <c r="D2115" t="str">
        <f t="shared" ref="D2115:D2178" si="100">LEFT(B2115,5)</f>
        <v>Toppe</v>
      </c>
      <c r="E2115" t="str">
        <f t="shared" ref="E2115:E2178" si="101">RIGHT(B2115,5)</f>
        <v>lison</v>
      </c>
    </row>
    <row r="2116" spans="1:5" ht="15.75" customHeight="1">
      <c r="A2116" s="9" t="s">
        <v>4233</v>
      </c>
      <c r="B2116" s="9" t="s">
        <v>4234</v>
      </c>
      <c r="C2116" t="str">
        <f t="shared" si="99"/>
        <v>Ms</v>
      </c>
      <c r="D2116" t="str">
        <f t="shared" si="100"/>
        <v>Ermer</v>
      </c>
      <c r="E2116" t="str">
        <f t="shared" si="101"/>
        <v>ley E</v>
      </c>
    </row>
    <row r="2117" spans="1:5" ht="15.75" customHeight="1">
      <c r="A2117" s="9" t="s">
        <v>4235</v>
      </c>
      <c r="B2117" s="9" t="s">
        <v>4236</v>
      </c>
      <c r="C2117" t="str">
        <f t="shared" si="99"/>
        <v>, M</v>
      </c>
      <c r="D2117" t="str">
        <f t="shared" si="100"/>
        <v>Dionn</v>
      </c>
      <c r="E2117" t="str">
        <f t="shared" si="101"/>
        <v>ry K.</v>
      </c>
    </row>
    <row r="2118" spans="1:5" ht="15.75" customHeight="1">
      <c r="A2118" s="9" t="s">
        <v>4237</v>
      </c>
      <c r="B2118" s="9" t="s">
        <v>4238</v>
      </c>
      <c r="C2118" t="str">
        <f t="shared" si="99"/>
        <v>li,</v>
      </c>
      <c r="D2118" t="str">
        <f t="shared" si="100"/>
        <v>Stasu</v>
      </c>
      <c r="E2118" t="str">
        <f t="shared" si="101"/>
        <v>nique</v>
      </c>
    </row>
    <row r="2119" spans="1:5" ht="15.75" customHeight="1">
      <c r="A2119" s="9" t="s">
        <v>4239</v>
      </c>
      <c r="B2119" s="9" t="s">
        <v>4240</v>
      </c>
      <c r="C2119" t="str">
        <f t="shared" si="99"/>
        <v>Mr</v>
      </c>
      <c r="D2119" t="str">
        <f t="shared" si="100"/>
        <v>Duran</v>
      </c>
      <c r="E2119" t="str">
        <f t="shared" si="101"/>
        <v>los I</v>
      </c>
    </row>
    <row r="2120" spans="1:5" ht="15.75" customHeight="1">
      <c r="A2120" s="9" t="s">
        <v>4241</v>
      </c>
      <c r="B2120" s="9" t="s">
        <v>4242</v>
      </c>
      <c r="C2120" t="str">
        <f t="shared" si="99"/>
        <v>, M</v>
      </c>
      <c r="D2120" t="str">
        <f t="shared" si="100"/>
        <v>Klund</v>
      </c>
      <c r="E2120" t="str">
        <f t="shared" si="101"/>
        <v>tthew</v>
      </c>
    </row>
    <row r="2121" spans="1:5" ht="15.75" customHeight="1">
      <c r="A2121" s="9" t="s">
        <v>4243</v>
      </c>
      <c r="B2121" s="9" t="s">
        <v>4244</v>
      </c>
      <c r="C2121" t="str">
        <f t="shared" si="99"/>
        <v>, M</v>
      </c>
      <c r="D2121" t="str">
        <f t="shared" si="100"/>
        <v>Water</v>
      </c>
      <c r="E2121" t="str">
        <f t="shared" si="101"/>
        <v>Kara</v>
      </c>
    </row>
    <row r="2122" spans="1:5" ht="15.75" customHeight="1">
      <c r="A2122" s="9" t="s">
        <v>4245</v>
      </c>
      <c r="B2122" s="9" t="s">
        <v>4246</v>
      </c>
      <c r="C2122" t="str">
        <f t="shared" si="99"/>
        <v>Ms.</v>
      </c>
      <c r="D2122" t="str">
        <f t="shared" si="100"/>
        <v>Rusk,</v>
      </c>
      <c r="E2122" t="str">
        <f t="shared" si="101"/>
        <v>rah S</v>
      </c>
    </row>
    <row r="2123" spans="1:5" ht="15.75" customHeight="1">
      <c r="A2123" s="9" t="s">
        <v>4247</v>
      </c>
      <c r="B2123" s="9" t="s">
        <v>4248</v>
      </c>
      <c r="C2123" t="str">
        <f t="shared" si="99"/>
        <v>ch,</v>
      </c>
      <c r="D2123" t="str">
        <f t="shared" si="100"/>
        <v>Gersb</v>
      </c>
      <c r="E2123" t="str">
        <f t="shared" si="101"/>
        <v>na R.</v>
      </c>
    </row>
    <row r="2124" spans="1:5" ht="15.75" customHeight="1">
      <c r="A2124" s="9" t="s">
        <v>4249</v>
      </c>
      <c r="B2124" s="9" t="s">
        <v>4250</v>
      </c>
      <c r="C2124" t="str">
        <f t="shared" si="99"/>
        <v>-Wa</v>
      </c>
      <c r="D2124" t="str">
        <f t="shared" si="100"/>
        <v>Taylo</v>
      </c>
      <c r="E2124" t="str">
        <f t="shared" si="101"/>
        <v>ay J.</v>
      </c>
    </row>
    <row r="2125" spans="1:5" ht="15.75" customHeight="1">
      <c r="A2125" s="9" t="s">
        <v>4251</v>
      </c>
      <c r="B2125" s="9" t="s">
        <v>4252</v>
      </c>
      <c r="C2125" t="str">
        <f t="shared" si="99"/>
        <v>rd,</v>
      </c>
      <c r="D2125" t="str">
        <f t="shared" si="100"/>
        <v>Crawf</v>
      </c>
      <c r="E2125" t="str">
        <f t="shared" si="101"/>
        <v>ya A.</v>
      </c>
    </row>
    <row r="2126" spans="1:5" ht="15.75" customHeight="1">
      <c r="A2126" s="9" t="s">
        <v>4253</v>
      </c>
      <c r="B2126" s="9" t="s">
        <v>4254</v>
      </c>
      <c r="C2126" t="str">
        <f t="shared" si="99"/>
        <v>ky,</v>
      </c>
      <c r="D2126" t="str">
        <f t="shared" si="100"/>
        <v>Levit</v>
      </c>
      <c r="E2126" t="str">
        <f t="shared" si="101"/>
        <v>raine</v>
      </c>
    </row>
    <row r="2127" spans="1:5" ht="15.75" customHeight="1">
      <c r="A2127" s="9" t="s">
        <v>4255</v>
      </c>
      <c r="B2127" s="9" t="s">
        <v>4256</v>
      </c>
      <c r="C2127" t="str">
        <f t="shared" si="99"/>
        <v>l,</v>
      </c>
      <c r="D2127" t="str">
        <f t="shared" si="100"/>
        <v>Carro</v>
      </c>
      <c r="E2127" t="str">
        <f t="shared" si="101"/>
        <v>er L.</v>
      </c>
    </row>
    <row r="2128" spans="1:5" ht="15.75" customHeight="1">
      <c r="A2128" s="9" t="s">
        <v>4257</v>
      </c>
      <c r="B2128" s="9" t="s">
        <v>4258</v>
      </c>
      <c r="C2128" t="str">
        <f t="shared" si="99"/>
        <v>, M</v>
      </c>
      <c r="D2128" t="str">
        <f t="shared" si="100"/>
        <v>Campo</v>
      </c>
      <c r="E2128" t="str">
        <f t="shared" si="101"/>
        <v>s Sr.</v>
      </c>
    </row>
    <row r="2129" spans="1:5" ht="15.75" customHeight="1">
      <c r="A2129" s="9" t="s">
        <v>4259</v>
      </c>
      <c r="B2129" s="9" t="s">
        <v>4260</v>
      </c>
      <c r="C2129" t="str">
        <f t="shared" si="99"/>
        <v>ik,</v>
      </c>
      <c r="D2129" t="str">
        <f t="shared" si="100"/>
        <v>Flajs</v>
      </c>
      <c r="E2129" t="str">
        <f t="shared" si="101"/>
        <v>isten</v>
      </c>
    </row>
    <row r="2130" spans="1:5" ht="15.75" customHeight="1">
      <c r="A2130" s="9" t="s">
        <v>4261</v>
      </c>
      <c r="B2130" s="9" t="s">
        <v>4262</v>
      </c>
      <c r="C2130" t="str">
        <f t="shared" si="99"/>
        <v>Ms.</v>
      </c>
      <c r="D2130" t="str">
        <f t="shared" si="100"/>
        <v>Chua,</v>
      </c>
      <c r="E2130" t="str">
        <f t="shared" si="101"/>
        <v>ne C.</v>
      </c>
    </row>
    <row r="2131" spans="1:5" ht="15.75" customHeight="1">
      <c r="A2131" s="9" t="s">
        <v>4263</v>
      </c>
      <c r="B2131" s="9" t="s">
        <v>4264</v>
      </c>
      <c r="C2131" t="str">
        <f t="shared" si="99"/>
        <v>, M</v>
      </c>
      <c r="D2131" t="str">
        <f t="shared" si="100"/>
        <v>Wilts</v>
      </c>
      <c r="E2131" t="str">
        <f t="shared" si="101"/>
        <v>Paula</v>
      </c>
    </row>
    <row r="2132" spans="1:5" ht="15.75" customHeight="1">
      <c r="A2132" s="9" t="s">
        <v>4265</v>
      </c>
      <c r="B2132" s="9" t="s">
        <v>4266</v>
      </c>
      <c r="C2132" t="str">
        <f t="shared" si="99"/>
        <v>, M</v>
      </c>
      <c r="D2132" t="str">
        <f t="shared" si="100"/>
        <v>Fishe</v>
      </c>
      <c r="E2132" t="str">
        <f t="shared" si="101"/>
        <v>Evan</v>
      </c>
    </row>
    <row r="2133" spans="1:5" ht="15.75" customHeight="1">
      <c r="A2133" s="9" t="s">
        <v>4267</v>
      </c>
      <c r="B2133" s="9" t="s">
        <v>4268</v>
      </c>
      <c r="C2133" t="str">
        <f t="shared" si="99"/>
        <v>che</v>
      </c>
      <c r="D2133" t="str">
        <f t="shared" si="100"/>
        <v>Wilzb</v>
      </c>
      <c r="E2133" t="str">
        <f t="shared" si="101"/>
        <v>han J</v>
      </c>
    </row>
    <row r="2134" spans="1:5" ht="15.75" customHeight="1">
      <c r="A2134" s="9" t="s">
        <v>4269</v>
      </c>
      <c r="B2134" s="9" t="s">
        <v>4270</v>
      </c>
      <c r="C2134" t="str">
        <f t="shared" si="99"/>
        <v>, M</v>
      </c>
      <c r="D2134" t="str">
        <f t="shared" si="100"/>
        <v>Thaye</v>
      </c>
      <c r="E2134" t="str">
        <f t="shared" si="101"/>
        <v>ley M</v>
      </c>
    </row>
    <row r="2135" spans="1:5" ht="15.75" customHeight="1">
      <c r="A2135" s="9" t="s">
        <v>4271</v>
      </c>
      <c r="B2135" s="9" t="s">
        <v>4272</v>
      </c>
      <c r="C2135" t="str">
        <f t="shared" si="99"/>
        <v>au,</v>
      </c>
      <c r="D2135" t="str">
        <f t="shared" si="100"/>
        <v>Bross</v>
      </c>
      <c r="E2135" t="str">
        <f t="shared" si="101"/>
        <v>Jason</v>
      </c>
    </row>
    <row r="2136" spans="1:5" ht="15.75" customHeight="1">
      <c r="A2136" s="9" t="s">
        <v>4273</v>
      </c>
      <c r="B2136" s="9" t="s">
        <v>4274</v>
      </c>
      <c r="C2136" t="str">
        <f t="shared" si="99"/>
        <v>, M</v>
      </c>
      <c r="D2136" t="str">
        <f t="shared" si="100"/>
        <v>Phare</v>
      </c>
      <c r="E2136" t="str">
        <f t="shared" si="101"/>
        <v>shall</v>
      </c>
    </row>
    <row r="2137" spans="1:5" ht="15.75" customHeight="1">
      <c r="A2137" s="9" t="s">
        <v>4275</v>
      </c>
      <c r="B2137" s="9" t="s">
        <v>4276</v>
      </c>
      <c r="C2137" t="str">
        <f t="shared" si="99"/>
        <v>, M</v>
      </c>
      <c r="D2137" t="str">
        <f t="shared" si="100"/>
        <v>Curle</v>
      </c>
      <c r="E2137" t="str">
        <f t="shared" si="101"/>
        <v>Lavar</v>
      </c>
    </row>
    <row r="2138" spans="1:5" ht="15.75" customHeight="1">
      <c r="A2138" s="9" t="s">
        <v>4277</v>
      </c>
      <c r="B2138" s="9" t="s">
        <v>4278</v>
      </c>
      <c r="C2138" t="str">
        <f t="shared" si="99"/>
        <v>on,</v>
      </c>
      <c r="D2138" t="str">
        <f t="shared" si="100"/>
        <v>Johns</v>
      </c>
      <c r="E2138" t="str">
        <f t="shared" si="101"/>
        <v>ie T.</v>
      </c>
    </row>
    <row r="2139" spans="1:5" ht="15.75" customHeight="1">
      <c r="A2139" s="9" t="s">
        <v>4279</v>
      </c>
      <c r="B2139" s="9" t="s">
        <v>4280</v>
      </c>
      <c r="C2139" t="str">
        <f t="shared" si="99"/>
        <v>, M</v>
      </c>
      <c r="D2139" t="str">
        <f t="shared" si="100"/>
        <v>Padul</v>
      </c>
      <c r="E2139" t="str">
        <f t="shared" si="101"/>
        <v>auren</v>
      </c>
    </row>
    <row r="2140" spans="1:5" ht="15.75" customHeight="1">
      <c r="A2140" s="9" t="s">
        <v>4281</v>
      </c>
      <c r="B2140" s="9" t="s">
        <v>4282</v>
      </c>
      <c r="C2140" t="str">
        <f t="shared" si="99"/>
        <v>v,</v>
      </c>
      <c r="D2140" t="str">
        <f t="shared" si="100"/>
        <v>Gamir</v>
      </c>
      <c r="E2140" t="str">
        <f t="shared" si="101"/>
        <v>rthur</v>
      </c>
    </row>
    <row r="2141" spans="1:5" ht="15.75" customHeight="1">
      <c r="A2141" s="9" t="s">
        <v>4283</v>
      </c>
      <c r="B2141" s="9" t="s">
        <v>4284</v>
      </c>
      <c r="C2141" t="str">
        <f t="shared" si="99"/>
        <v>Mr</v>
      </c>
      <c r="D2141" t="str">
        <f t="shared" si="100"/>
        <v>Briot</v>
      </c>
      <c r="E2141" t="str">
        <f t="shared" si="101"/>
        <v>homas</v>
      </c>
    </row>
    <row r="2142" spans="1:5" ht="15.75" customHeight="1">
      <c r="A2142" s="9" t="s">
        <v>4285</v>
      </c>
      <c r="B2142" s="9" t="s">
        <v>4286</v>
      </c>
      <c r="C2142" t="str">
        <f t="shared" si="99"/>
        <v>ck,</v>
      </c>
      <c r="D2142" t="str">
        <f t="shared" si="100"/>
        <v>De Hu</v>
      </c>
      <c r="E2142" t="str">
        <f t="shared" si="101"/>
        <v>nifer</v>
      </c>
    </row>
    <row r="2143" spans="1:5" ht="15.75" customHeight="1">
      <c r="A2143" s="9" t="s">
        <v>4287</v>
      </c>
      <c r="B2143" s="9" t="s">
        <v>4288</v>
      </c>
      <c r="C2143" t="str">
        <f t="shared" si="99"/>
        <v>Ms.</v>
      </c>
      <c r="D2143" t="str">
        <f t="shared" si="100"/>
        <v>Putt,</v>
      </c>
      <c r="E2143" t="str">
        <f t="shared" si="101"/>
        <v>Tammy</v>
      </c>
    </row>
    <row r="2144" spans="1:5" ht="15.75" customHeight="1">
      <c r="A2144" s="9" t="s">
        <v>4289</v>
      </c>
      <c r="B2144" s="9" t="s">
        <v>4290</v>
      </c>
      <c r="C2144" t="str">
        <f t="shared" si="99"/>
        <v>, M</v>
      </c>
      <c r="D2144" t="str">
        <f t="shared" si="100"/>
        <v>Deima</v>
      </c>
      <c r="E2144" t="str">
        <f t="shared" si="101"/>
        <v>Lena</v>
      </c>
    </row>
    <row r="2145" spans="1:5" ht="15.75" customHeight="1">
      <c r="A2145" s="9" t="s">
        <v>4291</v>
      </c>
      <c r="B2145" s="9" t="s">
        <v>4292</v>
      </c>
      <c r="C2145" t="str">
        <f t="shared" si="99"/>
        <v>i,</v>
      </c>
      <c r="D2145" t="str">
        <f t="shared" si="100"/>
        <v>Bonan</v>
      </c>
      <c r="E2145" t="str">
        <f t="shared" si="101"/>
        <v>ntina</v>
      </c>
    </row>
    <row r="2146" spans="1:5" ht="15.75" customHeight="1">
      <c r="A2146" s="9" t="s">
        <v>4293</v>
      </c>
      <c r="B2146" s="9" t="s">
        <v>4294</v>
      </c>
      <c r="C2146" t="str">
        <f t="shared" si="99"/>
        <v>Mr</v>
      </c>
      <c r="D2146" t="str">
        <f t="shared" si="100"/>
        <v>Stein</v>
      </c>
      <c r="E2146" t="str">
        <f t="shared" si="101"/>
        <v>ll N.</v>
      </c>
    </row>
    <row r="2147" spans="1:5" ht="15.75" customHeight="1">
      <c r="A2147" s="9" t="s">
        <v>4295</v>
      </c>
      <c r="B2147" s="9" t="s">
        <v>4296</v>
      </c>
      <c r="C2147" t="str">
        <f t="shared" si="99"/>
        <v>n,</v>
      </c>
      <c r="D2147" t="str">
        <f t="shared" si="100"/>
        <v>Lauma</v>
      </c>
      <c r="E2147" t="str">
        <f t="shared" si="101"/>
        <v>tt R.</v>
      </c>
    </row>
    <row r="2148" spans="1:5" ht="15.75" customHeight="1">
      <c r="A2148" s="9" t="s">
        <v>4297</v>
      </c>
      <c r="B2148" s="9" t="s">
        <v>4298</v>
      </c>
      <c r="C2148" t="str">
        <f t="shared" si="99"/>
        <v>z,</v>
      </c>
      <c r="D2148" t="str">
        <f t="shared" si="100"/>
        <v>Galav</v>
      </c>
      <c r="E2148" t="str">
        <f t="shared" si="101"/>
        <v>o Sr.</v>
      </c>
    </row>
    <row r="2149" spans="1:5" ht="15.75" customHeight="1">
      <c r="A2149" s="9" t="s">
        <v>4299</v>
      </c>
      <c r="B2149" s="9" t="s">
        <v>4300</v>
      </c>
      <c r="C2149" t="str">
        <f t="shared" si="99"/>
        <v>Mr</v>
      </c>
      <c r="D2149" t="str">
        <f t="shared" si="100"/>
        <v>Piper</v>
      </c>
      <c r="E2149" t="str">
        <f t="shared" si="101"/>
        <v>aul J</v>
      </c>
    </row>
    <row r="2150" spans="1:5" ht="15.75" customHeight="1">
      <c r="A2150" s="9" t="s">
        <v>4301</v>
      </c>
      <c r="B2150" s="9" t="s">
        <v>4302</v>
      </c>
      <c r="C2150" t="str">
        <f t="shared" si="99"/>
        <v>i,</v>
      </c>
      <c r="D2150" t="str">
        <f t="shared" si="100"/>
        <v>Canti</v>
      </c>
      <c r="E2150" t="str">
        <f t="shared" si="101"/>
        <v>Adam</v>
      </c>
    </row>
    <row r="2151" spans="1:5" ht="15.75" customHeight="1">
      <c r="A2151" s="9" t="s">
        <v>4303</v>
      </c>
      <c r="B2151" s="9" t="s">
        <v>4304</v>
      </c>
      <c r="C2151" t="str">
        <f t="shared" si="99"/>
        <v>n,</v>
      </c>
      <c r="D2151" t="str">
        <f t="shared" si="100"/>
        <v>Hartm</v>
      </c>
      <c r="E2151" t="str">
        <f t="shared" si="101"/>
        <v>rd J.</v>
      </c>
    </row>
    <row r="2152" spans="1:5" ht="15.75" customHeight="1">
      <c r="A2152" s="9" t="s">
        <v>4305</v>
      </c>
      <c r="B2152" s="9" t="s">
        <v>4306</v>
      </c>
      <c r="C2152" t="str">
        <f t="shared" si="99"/>
        <v>e,</v>
      </c>
      <c r="D2152" t="str">
        <f t="shared" si="100"/>
        <v>Werha</v>
      </c>
      <c r="E2152" t="str">
        <f t="shared" si="101"/>
        <v>ck A.</v>
      </c>
    </row>
    <row r="2153" spans="1:5" ht="15.75" customHeight="1">
      <c r="A2153" s="9" t="s">
        <v>4307</v>
      </c>
      <c r="B2153" s="9" t="s">
        <v>4308</v>
      </c>
      <c r="C2153" t="str">
        <f t="shared" si="99"/>
        <v>, M</v>
      </c>
      <c r="D2153" t="str">
        <f t="shared" si="100"/>
        <v>Davie</v>
      </c>
      <c r="E2153" t="str">
        <f t="shared" si="101"/>
        <v>int H</v>
      </c>
    </row>
    <row r="2154" spans="1:5" ht="15.75" customHeight="1">
      <c r="A2154" s="9" t="s">
        <v>4309</v>
      </c>
      <c r="B2154" s="9" t="s">
        <v>4310</v>
      </c>
      <c r="C2154" t="str">
        <f t="shared" si="99"/>
        <v>, M</v>
      </c>
      <c r="D2154" t="str">
        <f t="shared" si="100"/>
        <v>Humme</v>
      </c>
      <c r="E2154" t="str">
        <f t="shared" si="101"/>
        <v>.  Dj</v>
      </c>
    </row>
    <row r="2155" spans="1:5" ht="15.75" customHeight="1">
      <c r="A2155" s="9" t="s">
        <v>4311</v>
      </c>
      <c r="B2155" s="9" t="s">
        <v>4312</v>
      </c>
      <c r="C2155" t="str">
        <f t="shared" si="99"/>
        <v>Mr.</v>
      </c>
      <c r="D2155" t="str">
        <f t="shared" si="100"/>
        <v>Lutz,</v>
      </c>
      <c r="E2155" t="str">
        <f t="shared" si="101"/>
        <v>ary A</v>
      </c>
    </row>
    <row r="2156" spans="1:5" ht="15.75" customHeight="1">
      <c r="A2156" s="9" t="s">
        <v>4313</v>
      </c>
      <c r="B2156" s="9" t="s">
        <v>4314</v>
      </c>
      <c r="C2156" t="str">
        <f t="shared" si="99"/>
        <v>, M</v>
      </c>
      <c r="D2156" t="str">
        <f t="shared" si="100"/>
        <v>Water</v>
      </c>
      <c r="E2156" t="str">
        <f t="shared" si="101"/>
        <v>an W.</v>
      </c>
    </row>
    <row r="2157" spans="1:5" ht="15.75" customHeight="1">
      <c r="A2157" s="9" t="s">
        <v>4315</v>
      </c>
      <c r="B2157" s="9" t="s">
        <v>4316</v>
      </c>
      <c r="C2157" t="str">
        <f t="shared" si="99"/>
        <v>nzo</v>
      </c>
      <c r="D2157" t="str">
        <f t="shared" si="100"/>
        <v>Vigli</v>
      </c>
      <c r="E2157" t="str">
        <f t="shared" si="101"/>
        <v>Joe</v>
      </c>
    </row>
    <row r="2158" spans="1:5" ht="15.75" customHeight="1">
      <c r="A2158" s="9" t="s">
        <v>4317</v>
      </c>
      <c r="B2158" s="9" t="s">
        <v>4318</v>
      </c>
      <c r="C2158" t="str">
        <f t="shared" si="99"/>
        <v>n,</v>
      </c>
      <c r="D2158" t="str">
        <f t="shared" si="100"/>
        <v>Rathb</v>
      </c>
      <c r="E2158" t="str">
        <f t="shared" si="101"/>
        <v>ephen</v>
      </c>
    </row>
    <row r="2159" spans="1:5" ht="15.75" customHeight="1">
      <c r="A2159" s="9" t="s">
        <v>4319</v>
      </c>
      <c r="B2159" s="9" t="s">
        <v>4320</v>
      </c>
      <c r="C2159" t="str">
        <f t="shared" si="99"/>
        <v>Ms</v>
      </c>
      <c r="D2159" t="str">
        <f t="shared" si="100"/>
        <v>crane</v>
      </c>
      <c r="E2159" t="str">
        <f t="shared" si="101"/>
        <v>en L.</v>
      </c>
    </row>
    <row r="2160" spans="1:5" ht="15.75" customHeight="1">
      <c r="A2160" s="9" t="s">
        <v>4321</v>
      </c>
      <c r="B2160" s="9" t="s">
        <v>4322</v>
      </c>
      <c r="C2160" t="str">
        <f t="shared" si="99"/>
        <v>, M</v>
      </c>
      <c r="D2160" t="str">
        <f t="shared" si="100"/>
        <v>Conan</v>
      </c>
      <c r="E2160" t="str">
        <f t="shared" si="101"/>
        <v>Cindy</v>
      </c>
    </row>
    <row r="2161" spans="1:5" ht="15.75" customHeight="1">
      <c r="A2161" s="9" t="s">
        <v>4323</v>
      </c>
      <c r="B2161" s="9" t="s">
        <v>4324</v>
      </c>
      <c r="C2161" t="str">
        <f t="shared" si="99"/>
        <v>-Wi</v>
      </c>
      <c r="D2161" t="str">
        <f t="shared" si="100"/>
        <v>Huyse</v>
      </c>
      <c r="E2161" t="str">
        <f t="shared" si="101"/>
        <v>il R.</v>
      </c>
    </row>
    <row r="2162" spans="1:5" ht="15.75" customHeight="1">
      <c r="A2162" s="9" t="s">
        <v>4325</v>
      </c>
      <c r="B2162" s="9" t="s">
        <v>4326</v>
      </c>
      <c r="C2162" t="str">
        <f t="shared" si="99"/>
        <v>ni,</v>
      </c>
      <c r="D2162" t="str">
        <f t="shared" si="100"/>
        <v>Natal</v>
      </c>
      <c r="E2162" t="str">
        <f t="shared" si="101"/>
        <v>my L.</v>
      </c>
    </row>
    <row r="2163" spans="1:5" ht="15.75" customHeight="1">
      <c r="A2163" s="9" t="s">
        <v>4327</v>
      </c>
      <c r="B2163" s="9" t="s">
        <v>4328</v>
      </c>
      <c r="C2163" t="str">
        <f t="shared" si="99"/>
        <v>s,</v>
      </c>
      <c r="D2163" t="str">
        <f t="shared" si="100"/>
        <v>Robbi</v>
      </c>
      <c r="E2163" t="str">
        <f t="shared" si="101"/>
        <v>Amy</v>
      </c>
    </row>
    <row r="2164" spans="1:5" ht="15.75" customHeight="1">
      <c r="A2164" s="9" t="s">
        <v>4329</v>
      </c>
      <c r="B2164" s="9" t="s">
        <v>4330</v>
      </c>
      <c r="C2164" t="str">
        <f t="shared" si="99"/>
        <v>lav</v>
      </c>
      <c r="D2164" t="str">
        <f t="shared" si="100"/>
        <v>Stani</v>
      </c>
      <c r="E2164" t="str">
        <f t="shared" si="101"/>
        <v>ace H</v>
      </c>
    </row>
    <row r="2165" spans="1:5" ht="15.75" customHeight="1">
      <c r="A2165" s="9" t="s">
        <v>4331</v>
      </c>
      <c r="B2165" s="9" t="s">
        <v>4332</v>
      </c>
      <c r="C2165" t="str">
        <f t="shared" si="99"/>
        <v>Ms</v>
      </c>
      <c r="D2165" t="str">
        <f t="shared" si="100"/>
        <v>Meyer</v>
      </c>
      <c r="E2165" t="str">
        <f t="shared" si="101"/>
        <v>ie J.</v>
      </c>
    </row>
    <row r="2166" spans="1:5" ht="15.75" customHeight="1">
      <c r="A2166" s="9" t="s">
        <v>4333</v>
      </c>
      <c r="B2166" s="9" t="s">
        <v>4334</v>
      </c>
      <c r="C2166" t="str">
        <f t="shared" si="99"/>
        <v>Mr</v>
      </c>
      <c r="D2166" t="str">
        <f t="shared" si="100"/>
        <v>Mears</v>
      </c>
      <c r="E2166" t="str">
        <f t="shared" si="101"/>
        <v>jamin</v>
      </c>
    </row>
    <row r="2167" spans="1:5" ht="15.75" customHeight="1">
      <c r="A2167" s="9" t="s">
        <v>4335</v>
      </c>
      <c r="B2167" s="9" t="s">
        <v>4336</v>
      </c>
      <c r="C2167" t="str">
        <f t="shared" si="99"/>
        <v>Mr</v>
      </c>
      <c r="D2167" t="str">
        <f t="shared" si="100"/>
        <v>Neill</v>
      </c>
      <c r="E2167" t="str">
        <f t="shared" si="101"/>
        <v>Ian T</v>
      </c>
    </row>
    <row r="2168" spans="1:5" ht="15.75" customHeight="1">
      <c r="A2168" s="9" t="s">
        <v>4337</v>
      </c>
      <c r="B2168" s="9" t="s">
        <v>4338</v>
      </c>
      <c r="C2168" t="str">
        <f t="shared" si="99"/>
        <v>Mr.</v>
      </c>
      <c r="D2168" t="str">
        <f t="shared" si="100"/>
        <v>Tola,</v>
      </c>
      <c r="E2168" t="str">
        <f t="shared" si="101"/>
        <v>adese</v>
      </c>
    </row>
    <row r="2169" spans="1:5" ht="15.75" customHeight="1">
      <c r="A2169" s="9" t="s">
        <v>4339</v>
      </c>
      <c r="B2169" s="9" t="s">
        <v>4340</v>
      </c>
      <c r="C2169" t="str">
        <f t="shared" si="99"/>
        <v>an,</v>
      </c>
      <c r="D2169" t="str">
        <f t="shared" si="100"/>
        <v>Brisk</v>
      </c>
      <c r="E2169" t="str">
        <f t="shared" si="101"/>
        <v>athan</v>
      </c>
    </row>
    <row r="2170" spans="1:5" ht="15.75" customHeight="1">
      <c r="A2170" s="9" t="s">
        <v>4341</v>
      </c>
      <c r="B2170" s="9" t="s">
        <v>4342</v>
      </c>
      <c r="C2170" t="str">
        <f t="shared" si="99"/>
        <v>hei</v>
      </c>
      <c r="D2170" t="str">
        <f t="shared" si="100"/>
        <v>Ritze</v>
      </c>
      <c r="E2170" t="str">
        <f t="shared" si="101"/>
        <v>athan</v>
      </c>
    </row>
    <row r="2171" spans="1:5" ht="15.75" customHeight="1">
      <c r="A2171" s="9" t="s">
        <v>4343</v>
      </c>
      <c r="B2171" s="9" t="s">
        <v>4344</v>
      </c>
      <c r="C2171" t="str">
        <f t="shared" si="99"/>
        <v>ski</v>
      </c>
      <c r="D2171" t="str">
        <f t="shared" si="100"/>
        <v>Malko</v>
      </c>
      <c r="E2171" t="str">
        <f t="shared" si="101"/>
        <v>Eric</v>
      </c>
    </row>
    <row r="2172" spans="1:5" ht="15.75" customHeight="1">
      <c r="A2172" s="9" t="s">
        <v>4345</v>
      </c>
      <c r="B2172" s="9" t="s">
        <v>4346</v>
      </c>
      <c r="C2172" t="str">
        <f t="shared" si="99"/>
        <v>ko,</v>
      </c>
      <c r="D2172" t="str">
        <f t="shared" si="100"/>
        <v>Andre</v>
      </c>
      <c r="E2172" t="str">
        <f t="shared" si="101"/>
        <v>son M</v>
      </c>
    </row>
    <row r="2173" spans="1:5" ht="15.75" customHeight="1">
      <c r="A2173" s="9" t="s">
        <v>4347</v>
      </c>
      <c r="B2173" s="9" t="s">
        <v>4348</v>
      </c>
      <c r="C2173" t="str">
        <f t="shared" si="99"/>
        <v>, M</v>
      </c>
      <c r="D2173" t="str">
        <f t="shared" si="100"/>
        <v>Landr</v>
      </c>
      <c r="E2173" t="str">
        <f t="shared" si="101"/>
        <v>Paul</v>
      </c>
    </row>
    <row r="2174" spans="1:5" ht="15.75" customHeight="1">
      <c r="A2174" s="9" t="s">
        <v>4349</v>
      </c>
      <c r="B2174" s="9" t="s">
        <v>4350</v>
      </c>
      <c r="C2174" t="str">
        <f t="shared" si="99"/>
        <v>, M</v>
      </c>
      <c r="D2174" t="str">
        <f t="shared" si="100"/>
        <v>Lozie</v>
      </c>
      <c r="E2174" t="str">
        <f t="shared" si="101"/>
        <v>ron R</v>
      </c>
    </row>
    <row r="2175" spans="1:5" ht="15.75" customHeight="1">
      <c r="A2175" s="9" t="s">
        <v>4351</v>
      </c>
      <c r="B2175" s="9" t="s">
        <v>4352</v>
      </c>
      <c r="C2175" t="str">
        <f t="shared" si="99"/>
        <v>n,</v>
      </c>
      <c r="D2175" t="str">
        <f t="shared" si="100"/>
        <v>O'Bri</v>
      </c>
      <c r="E2175" t="str">
        <f t="shared" si="101"/>
        <v>in H.</v>
      </c>
    </row>
    <row r="2176" spans="1:5" ht="15.75" customHeight="1">
      <c r="A2176" s="9" t="s">
        <v>4353</v>
      </c>
      <c r="B2176" s="9" t="s">
        <v>4354</v>
      </c>
      <c r="C2176" t="str">
        <f t="shared" si="99"/>
        <v>Mr</v>
      </c>
      <c r="D2176" t="str">
        <f t="shared" si="100"/>
        <v>Rodas</v>
      </c>
      <c r="E2176" t="str">
        <f t="shared" si="101"/>
        <v>ld E.</v>
      </c>
    </row>
    <row r="2177" spans="1:5" ht="15.75" customHeight="1">
      <c r="A2177" s="9" t="s">
        <v>4355</v>
      </c>
      <c r="B2177" s="9" t="s">
        <v>4356</v>
      </c>
      <c r="C2177" t="str">
        <f t="shared" si="99"/>
        <v>or,</v>
      </c>
      <c r="D2177" t="str">
        <f t="shared" si="100"/>
        <v>O'Con</v>
      </c>
      <c r="E2177" t="str">
        <f t="shared" si="101"/>
        <v>an A.</v>
      </c>
    </row>
    <row r="2178" spans="1:5" ht="15.75" customHeight="1">
      <c r="A2178" s="9" t="s">
        <v>4357</v>
      </c>
      <c r="B2178" s="9" t="s">
        <v>4358</v>
      </c>
      <c r="C2178" t="str">
        <f t="shared" si="99"/>
        <v>Ms</v>
      </c>
      <c r="D2178" t="str">
        <f t="shared" si="100"/>
        <v>White</v>
      </c>
      <c r="E2178" t="str">
        <f t="shared" si="101"/>
        <v>ea J.</v>
      </c>
    </row>
    <row r="2179" spans="1:5" ht="15.75" customHeight="1">
      <c r="A2179" s="9" t="s">
        <v>4359</v>
      </c>
      <c r="B2179" s="9" t="s">
        <v>4360</v>
      </c>
      <c r="C2179" t="str">
        <f t="shared" ref="C2179:C2242" si="102">MID(B2179,7,3)</f>
        <v>ort</v>
      </c>
      <c r="D2179" t="str">
        <f t="shared" ref="D2179:D2242" si="103">LEFT(B2179,5)</f>
        <v>Daven</v>
      </c>
      <c r="E2179" t="str">
        <f t="shared" ref="E2179:E2242" si="104">RIGHT(B2179,5)</f>
        <v>Marie</v>
      </c>
    </row>
    <row r="2180" spans="1:5" ht="15.75" customHeight="1">
      <c r="A2180" s="9" t="s">
        <v>4361</v>
      </c>
      <c r="B2180" s="9" t="s">
        <v>4362</v>
      </c>
      <c r="C2180" t="str">
        <f t="shared" si="102"/>
        <v>, M</v>
      </c>
      <c r="D2180" t="str">
        <f t="shared" si="103"/>
        <v>Karme</v>
      </c>
      <c r="E2180" t="str">
        <f t="shared" si="104"/>
        <v>el A.</v>
      </c>
    </row>
    <row r="2181" spans="1:5" ht="15.75" customHeight="1">
      <c r="A2181" s="9" t="s">
        <v>4363</v>
      </c>
      <c r="B2181" s="9" t="s">
        <v>4364</v>
      </c>
      <c r="C2181" t="str">
        <f t="shared" si="102"/>
        <v>, M</v>
      </c>
      <c r="D2181" t="str">
        <f t="shared" si="103"/>
        <v>Mille</v>
      </c>
      <c r="E2181" t="str">
        <f t="shared" si="104"/>
        <v>Emma</v>
      </c>
    </row>
    <row r="2182" spans="1:5" ht="15.75" customHeight="1">
      <c r="A2182" s="9" t="s">
        <v>4365</v>
      </c>
      <c r="B2182" s="9" t="s">
        <v>4366</v>
      </c>
      <c r="C2182" t="str">
        <f t="shared" si="102"/>
        <v>nn,</v>
      </c>
      <c r="D2182" t="str">
        <f t="shared" si="103"/>
        <v>Lippm</v>
      </c>
      <c r="E2182" t="str">
        <f t="shared" si="104"/>
        <v>rsten</v>
      </c>
    </row>
    <row r="2183" spans="1:5" ht="15.75" customHeight="1">
      <c r="A2183" s="9" t="s">
        <v>4367</v>
      </c>
      <c r="B2183" s="9" t="s">
        <v>4368</v>
      </c>
      <c r="C2183" t="str">
        <f t="shared" si="102"/>
        <v>Ms</v>
      </c>
      <c r="D2183" t="str">
        <f t="shared" si="103"/>
        <v>Klehm</v>
      </c>
      <c r="E2183" t="str">
        <f t="shared" si="104"/>
        <v>chael</v>
      </c>
    </row>
    <row r="2184" spans="1:5" ht="15.75" customHeight="1">
      <c r="A2184" s="9" t="s">
        <v>4369</v>
      </c>
      <c r="B2184" s="9" t="s">
        <v>4370</v>
      </c>
      <c r="C2184" t="str">
        <f t="shared" si="102"/>
        <v>, M</v>
      </c>
      <c r="D2184" t="str">
        <f t="shared" si="103"/>
        <v>Murph</v>
      </c>
      <c r="E2184" t="str">
        <f t="shared" si="104"/>
        <v>hy P.</v>
      </c>
    </row>
    <row r="2185" spans="1:5" ht="15.75" customHeight="1">
      <c r="A2185" s="9" t="s">
        <v>4371</v>
      </c>
      <c r="B2185" s="9" t="s">
        <v>4372</v>
      </c>
      <c r="C2185" t="str">
        <f t="shared" si="102"/>
        <v>, M</v>
      </c>
      <c r="D2185" t="str">
        <f t="shared" si="103"/>
        <v>Desis</v>
      </c>
      <c r="E2185" t="str">
        <f t="shared" si="104"/>
        <v>elisa</v>
      </c>
    </row>
    <row r="2186" spans="1:5" ht="15.75" customHeight="1">
      <c r="A2186" s="9" t="s">
        <v>4373</v>
      </c>
      <c r="B2186" s="9" t="s">
        <v>4374</v>
      </c>
      <c r="C2186" t="str">
        <f t="shared" si="102"/>
        <v>, M</v>
      </c>
      <c r="D2186" t="str">
        <f t="shared" si="103"/>
        <v>Brook</v>
      </c>
      <c r="E2186" t="str">
        <f t="shared" si="104"/>
        <v>Nate</v>
      </c>
    </row>
    <row r="2187" spans="1:5" ht="15.75" customHeight="1">
      <c r="A2187" s="9" t="s">
        <v>4375</v>
      </c>
      <c r="B2187" s="9" t="s">
        <v>4376</v>
      </c>
      <c r="C2187" t="str">
        <f t="shared" si="102"/>
        <v>Mr</v>
      </c>
      <c r="D2187" t="str">
        <f t="shared" si="103"/>
        <v>Stone</v>
      </c>
      <c r="E2187" t="str">
        <f t="shared" si="104"/>
        <v>is C.</v>
      </c>
    </row>
    <row r="2188" spans="1:5" ht="15.75" customHeight="1">
      <c r="A2188" s="9" t="s">
        <v>4377</v>
      </c>
      <c r="B2188" s="9" t="s">
        <v>4378</v>
      </c>
      <c r="C2188" t="str">
        <f t="shared" si="102"/>
        <v>enn</v>
      </c>
      <c r="D2188" t="str">
        <f t="shared" si="103"/>
        <v>Weisp</v>
      </c>
      <c r="E2188" t="str">
        <f t="shared" si="104"/>
        <v>Scott</v>
      </c>
    </row>
    <row r="2189" spans="1:5" ht="15.75" customHeight="1">
      <c r="A2189" s="9" t="s">
        <v>4379</v>
      </c>
      <c r="B2189" s="9" t="s">
        <v>4380</v>
      </c>
      <c r="C2189" t="str">
        <f t="shared" si="102"/>
        <v>l,</v>
      </c>
      <c r="D2189" t="str">
        <f t="shared" si="103"/>
        <v>Sorre</v>
      </c>
      <c r="E2189" t="str">
        <f t="shared" si="104"/>
        <v>Kevin</v>
      </c>
    </row>
    <row r="2190" spans="1:5" ht="15.75" customHeight="1">
      <c r="A2190" s="9" t="s">
        <v>4381</v>
      </c>
      <c r="B2190" s="9" t="s">
        <v>4382</v>
      </c>
      <c r="C2190" t="str">
        <f t="shared" si="102"/>
        <v>, M</v>
      </c>
      <c r="D2190" t="str">
        <f t="shared" si="103"/>
        <v>Morri</v>
      </c>
      <c r="E2190" t="str">
        <f t="shared" si="104"/>
        <v>ik C.</v>
      </c>
    </row>
    <row r="2191" spans="1:5" ht="15.75" customHeight="1">
      <c r="A2191" s="9" t="s">
        <v>4383</v>
      </c>
      <c r="B2191" s="9" t="s">
        <v>4384</v>
      </c>
      <c r="C2191" t="str">
        <f t="shared" si="102"/>
        <v>Mr</v>
      </c>
      <c r="D2191" t="str">
        <f t="shared" si="103"/>
        <v>Marek</v>
      </c>
      <c r="E2191" t="str">
        <f t="shared" si="104"/>
        <v>awn C</v>
      </c>
    </row>
    <row r="2192" spans="1:5" ht="15.75" customHeight="1">
      <c r="A2192" s="9" t="s">
        <v>4385</v>
      </c>
      <c r="B2192" s="9" t="s">
        <v>4386</v>
      </c>
      <c r="C2192" t="str">
        <f t="shared" si="102"/>
        <v>ong</v>
      </c>
      <c r="D2192" t="str">
        <f t="shared" si="103"/>
        <v>Armst</v>
      </c>
      <c r="E2192" t="str">
        <f t="shared" si="104"/>
        <v>in L.</v>
      </c>
    </row>
    <row r="2193" spans="1:5" ht="15.75" customHeight="1">
      <c r="A2193" s="9" t="s">
        <v>4387</v>
      </c>
      <c r="B2193" s="9" t="s">
        <v>4388</v>
      </c>
      <c r="C2193" t="str">
        <f t="shared" si="102"/>
        <v>, M</v>
      </c>
      <c r="D2193" t="str">
        <f t="shared" si="103"/>
        <v>Werne</v>
      </c>
      <c r="E2193" t="str">
        <f t="shared" si="104"/>
        <v>. Jr.</v>
      </c>
    </row>
    <row r="2194" spans="1:5" ht="15.75" customHeight="1">
      <c r="A2194" s="9" t="s">
        <v>4389</v>
      </c>
      <c r="B2194" s="9" t="s">
        <v>4390</v>
      </c>
      <c r="C2194" t="str">
        <f t="shared" si="102"/>
        <v>Mr</v>
      </c>
      <c r="D2194" t="str">
        <f t="shared" si="103"/>
        <v>Gries</v>
      </c>
      <c r="E2194" t="str">
        <f t="shared" si="104"/>
        <v>in J.</v>
      </c>
    </row>
    <row r="2195" spans="1:5" ht="15.75" customHeight="1">
      <c r="A2195" s="9" t="s">
        <v>4391</v>
      </c>
      <c r="B2195" s="9" t="s">
        <v>4392</v>
      </c>
      <c r="C2195" t="str">
        <f t="shared" si="102"/>
        <v>Mr</v>
      </c>
      <c r="D2195" t="str">
        <f t="shared" si="103"/>
        <v>Mills</v>
      </c>
      <c r="E2195" t="str">
        <f t="shared" si="104"/>
        <v>by W.</v>
      </c>
    </row>
    <row r="2196" spans="1:5" ht="15.75" customHeight="1">
      <c r="A2196" s="9" t="s">
        <v>4393</v>
      </c>
      <c r="B2196" s="9" t="s">
        <v>4394</v>
      </c>
      <c r="C2196" t="str">
        <f t="shared" si="102"/>
        <v>Mr</v>
      </c>
      <c r="D2196" t="str">
        <f t="shared" si="103"/>
        <v>Penny</v>
      </c>
      <c r="E2196" t="str">
        <f t="shared" si="104"/>
        <v>J A</v>
      </c>
    </row>
    <row r="2197" spans="1:5" ht="15.75" customHeight="1">
      <c r="A2197" s="9" t="s">
        <v>4395</v>
      </c>
      <c r="B2197" s="9" t="s">
        <v>4396</v>
      </c>
      <c r="C2197" t="str">
        <f t="shared" si="102"/>
        <v>Mr</v>
      </c>
      <c r="D2197" t="str">
        <f t="shared" si="103"/>
        <v>Hicks</v>
      </c>
      <c r="E2197" t="str">
        <f t="shared" si="104"/>
        <v>in G.</v>
      </c>
    </row>
    <row r="2198" spans="1:5" ht="15.75" customHeight="1">
      <c r="A2198" s="9" t="s">
        <v>4397</v>
      </c>
      <c r="B2198" s="9" t="s">
        <v>4398</v>
      </c>
      <c r="C2198" t="str">
        <f t="shared" si="102"/>
        <v>sva</v>
      </c>
      <c r="D2198" t="str">
        <f t="shared" si="103"/>
        <v>Masay</v>
      </c>
      <c r="E2198" t="str">
        <f t="shared" si="104"/>
        <v>ony G</v>
      </c>
    </row>
    <row r="2199" spans="1:5" ht="15.75" customHeight="1">
      <c r="A2199" s="9" t="s">
        <v>4399</v>
      </c>
      <c r="B2199" s="9" t="s">
        <v>4400</v>
      </c>
      <c r="C2199" t="str">
        <f t="shared" si="102"/>
        <v>a,</v>
      </c>
      <c r="D2199" t="str">
        <f t="shared" si="103"/>
        <v>Paavo</v>
      </c>
      <c r="E2199" t="str">
        <f t="shared" si="104"/>
        <v>Ryan</v>
      </c>
    </row>
    <row r="2200" spans="1:5" ht="15.75" customHeight="1">
      <c r="A2200" s="9" t="s">
        <v>4401</v>
      </c>
      <c r="B2200" s="9" t="s">
        <v>4402</v>
      </c>
      <c r="C2200" t="str">
        <f t="shared" si="102"/>
        <v>n,</v>
      </c>
      <c r="D2200" t="str">
        <f t="shared" si="103"/>
        <v>Gehls</v>
      </c>
      <c r="E2200" t="str">
        <f t="shared" si="104"/>
        <v>ric N</v>
      </c>
    </row>
    <row r="2201" spans="1:5" ht="15.75" customHeight="1">
      <c r="A2201" s="9" t="s">
        <v>4403</v>
      </c>
      <c r="B2201" s="9" t="s">
        <v>4404</v>
      </c>
      <c r="C2201" t="str">
        <f t="shared" si="102"/>
        <v>Mr</v>
      </c>
      <c r="D2201" t="str">
        <f t="shared" si="103"/>
        <v>Roche</v>
      </c>
      <c r="E2201" t="str">
        <f t="shared" si="104"/>
        <v>onnor</v>
      </c>
    </row>
    <row r="2202" spans="1:5" ht="15.75" customHeight="1">
      <c r="A2202" s="9" t="s">
        <v>4405</v>
      </c>
      <c r="B2202" s="9" t="s">
        <v>4406</v>
      </c>
      <c r="C2202" t="str">
        <f t="shared" si="102"/>
        <v>Mr</v>
      </c>
      <c r="D2202" t="str">
        <f t="shared" si="103"/>
        <v>Hearn</v>
      </c>
      <c r="E2202" t="str">
        <f t="shared" si="104"/>
        <v>ck H.</v>
      </c>
    </row>
    <row r="2203" spans="1:5" ht="15.75" customHeight="1">
      <c r="A2203" s="9" t="s">
        <v>4407</v>
      </c>
      <c r="B2203" s="9" t="s">
        <v>4408</v>
      </c>
      <c r="C2203" t="str">
        <f t="shared" si="102"/>
        <v>, M</v>
      </c>
      <c r="D2203" t="str">
        <f t="shared" si="103"/>
        <v>Dimso</v>
      </c>
      <c r="E2203" t="str">
        <f t="shared" si="104"/>
        <v>Tyler</v>
      </c>
    </row>
    <row r="2204" spans="1:5" ht="15.75" customHeight="1">
      <c r="A2204" s="9" t="s">
        <v>4409</v>
      </c>
      <c r="B2204" s="9" t="s">
        <v>4410</v>
      </c>
      <c r="C2204" t="str">
        <f t="shared" si="102"/>
        <v>, M</v>
      </c>
      <c r="D2204" t="str">
        <f t="shared" si="103"/>
        <v>Slaso</v>
      </c>
      <c r="E2204" t="str">
        <f t="shared" si="104"/>
        <v>ah L.</v>
      </c>
    </row>
    <row r="2205" spans="1:5" ht="15.75" customHeight="1">
      <c r="A2205" s="9" t="s">
        <v>4411</v>
      </c>
      <c r="B2205" s="9" t="s">
        <v>4412</v>
      </c>
      <c r="C2205" t="str">
        <f t="shared" si="102"/>
        <v>, M</v>
      </c>
      <c r="D2205" t="str">
        <f t="shared" si="103"/>
        <v>Gibso</v>
      </c>
      <c r="E2205" t="str">
        <f t="shared" si="104"/>
        <v>rea K</v>
      </c>
    </row>
    <row r="2206" spans="1:5" ht="15.75" customHeight="1">
      <c r="A2206" s="9" t="s">
        <v>4413</v>
      </c>
      <c r="B2206" s="9" t="s">
        <v>4414</v>
      </c>
      <c r="C2206" t="str">
        <f t="shared" si="102"/>
        <v>Ms</v>
      </c>
      <c r="D2206" t="str">
        <f t="shared" si="103"/>
        <v>Erdos</v>
      </c>
      <c r="E2206" t="str">
        <f t="shared" si="104"/>
        <v>leree</v>
      </c>
    </row>
    <row r="2207" spans="1:5" ht="15.75" customHeight="1">
      <c r="A2207" s="9" t="s">
        <v>4415</v>
      </c>
      <c r="B2207" s="9" t="s">
        <v>4416</v>
      </c>
      <c r="C2207" t="str">
        <f t="shared" si="102"/>
        <v>n,</v>
      </c>
      <c r="D2207" t="str">
        <f t="shared" si="103"/>
        <v>Cushm</v>
      </c>
      <c r="E2207" t="str">
        <f t="shared" si="104"/>
        <v>don J</v>
      </c>
    </row>
    <row r="2208" spans="1:5" ht="15.75" customHeight="1">
      <c r="A2208" s="9" t="s">
        <v>4417</v>
      </c>
      <c r="B2208" s="9" t="s">
        <v>4418</v>
      </c>
      <c r="C2208" t="str">
        <f t="shared" si="102"/>
        <v>, M</v>
      </c>
      <c r="D2208" t="str">
        <f t="shared" si="103"/>
        <v>Hamme</v>
      </c>
      <c r="E2208" t="str">
        <f t="shared" si="104"/>
        <v>Steve</v>
      </c>
    </row>
    <row r="2209" spans="1:5" ht="15.75" customHeight="1">
      <c r="A2209" s="9" t="s">
        <v>4419</v>
      </c>
      <c r="B2209" s="9" t="s">
        <v>4420</v>
      </c>
      <c r="C2209" t="str">
        <f t="shared" si="102"/>
        <v>tad</v>
      </c>
      <c r="D2209" t="str">
        <f t="shared" si="103"/>
        <v>Ytter</v>
      </c>
      <c r="E2209" t="str">
        <f t="shared" si="104"/>
        <v>k Sr.</v>
      </c>
    </row>
    <row r="2210" spans="1:5" ht="15.75" customHeight="1">
      <c r="A2210" s="9" t="s">
        <v>4421</v>
      </c>
      <c r="B2210" s="9" t="s">
        <v>4422</v>
      </c>
      <c r="C2210" t="str">
        <f t="shared" si="102"/>
        <v>, M</v>
      </c>
      <c r="D2210" t="str">
        <f t="shared" si="103"/>
        <v>Princ</v>
      </c>
      <c r="E2210" t="str">
        <f t="shared" si="104"/>
        <v>Dani</v>
      </c>
    </row>
    <row r="2211" spans="1:5" ht="15.75" customHeight="1">
      <c r="A2211" s="9" t="s">
        <v>4423</v>
      </c>
      <c r="B2211" s="9" t="s">
        <v>4424</v>
      </c>
      <c r="C2211" t="str">
        <f t="shared" si="102"/>
        <v>n,</v>
      </c>
      <c r="D2211" t="str">
        <f t="shared" si="103"/>
        <v>Freem</v>
      </c>
      <c r="E2211" t="str">
        <f t="shared" si="104"/>
        <v>er A.</v>
      </c>
    </row>
    <row r="2212" spans="1:5" ht="15.75" customHeight="1">
      <c r="A2212" s="9" t="s">
        <v>4425</v>
      </c>
      <c r="B2212" s="9" t="s">
        <v>4426</v>
      </c>
      <c r="C2212" t="str">
        <f t="shared" si="102"/>
        <v>ak,</v>
      </c>
      <c r="D2212" t="str">
        <f t="shared" si="103"/>
        <v>Petru</v>
      </c>
      <c r="E2212" t="str">
        <f t="shared" si="104"/>
        <v>artin</v>
      </c>
    </row>
    <row r="2213" spans="1:5" ht="15.75" customHeight="1">
      <c r="A2213" s="9" t="s">
        <v>4427</v>
      </c>
      <c r="B2213" s="9" t="s">
        <v>4428</v>
      </c>
      <c r="C2213" t="str">
        <f t="shared" si="102"/>
        <v>Mr</v>
      </c>
      <c r="D2213" t="str">
        <f t="shared" si="103"/>
        <v>Lloyd</v>
      </c>
      <c r="E2213" t="str">
        <f t="shared" si="104"/>
        <v>Steve</v>
      </c>
    </row>
    <row r="2214" spans="1:5" ht="15.75" customHeight="1">
      <c r="A2214" s="9" t="s">
        <v>4429</v>
      </c>
      <c r="B2214" s="9" t="s">
        <v>4430</v>
      </c>
      <c r="C2214" t="str">
        <f t="shared" si="102"/>
        <v>ki,</v>
      </c>
      <c r="D2214" t="str">
        <f t="shared" si="103"/>
        <v>Zablo</v>
      </c>
      <c r="E2214" t="str">
        <f t="shared" si="104"/>
        <v>opher</v>
      </c>
    </row>
    <row r="2215" spans="1:5" ht="15.75" customHeight="1">
      <c r="A2215" s="9" t="s">
        <v>4431</v>
      </c>
      <c r="B2215" s="9" t="s">
        <v>4432</v>
      </c>
      <c r="C2215" t="str">
        <f t="shared" si="102"/>
        <v>ter</v>
      </c>
      <c r="D2215" t="str">
        <f t="shared" si="103"/>
        <v>Van M</v>
      </c>
      <c r="E2215" t="str">
        <f t="shared" si="104"/>
        <v>yn M.</v>
      </c>
    </row>
    <row r="2216" spans="1:5" ht="15.75" customHeight="1">
      <c r="A2216" s="9" t="s">
        <v>4433</v>
      </c>
      <c r="B2216" s="9" t="s">
        <v>4434</v>
      </c>
      <c r="C2216" t="str">
        <f t="shared" si="102"/>
        <v>Ms</v>
      </c>
      <c r="D2216" t="str">
        <f t="shared" si="103"/>
        <v>Babay</v>
      </c>
      <c r="E2216" t="str">
        <f t="shared" si="104"/>
        <v>Emily</v>
      </c>
    </row>
    <row r="2217" spans="1:5" ht="15.75" customHeight="1">
      <c r="A2217" s="9" t="s">
        <v>4435</v>
      </c>
      <c r="B2217" s="9" t="s">
        <v>4436</v>
      </c>
      <c r="C2217" t="str">
        <f t="shared" si="102"/>
        <v>, M</v>
      </c>
      <c r="D2217" t="str">
        <f t="shared" si="103"/>
        <v>Taylo</v>
      </c>
      <c r="E2217" t="str">
        <f t="shared" si="104"/>
        <v>ent A</v>
      </c>
    </row>
    <row r="2218" spans="1:5" ht="15.75" customHeight="1">
      <c r="A2218" s="9" t="s">
        <v>4437</v>
      </c>
      <c r="B2218" s="9" t="s">
        <v>4438</v>
      </c>
      <c r="C2218" t="str">
        <f t="shared" si="102"/>
        <v>Ms</v>
      </c>
      <c r="D2218" t="str">
        <f t="shared" si="103"/>
        <v>Smith</v>
      </c>
      <c r="E2218" t="str">
        <f t="shared" si="104"/>
        <v>fer E</v>
      </c>
    </row>
    <row r="2219" spans="1:5" ht="15.75" customHeight="1">
      <c r="A2219" s="9" t="s">
        <v>4439</v>
      </c>
      <c r="B2219" s="9" t="s">
        <v>4440</v>
      </c>
      <c r="C2219" t="str">
        <f t="shared" si="102"/>
        <v>Ms</v>
      </c>
      <c r="D2219" t="str">
        <f t="shared" si="103"/>
        <v>Moody</v>
      </c>
      <c r="E2219" t="str">
        <f t="shared" si="104"/>
        <v>Polly</v>
      </c>
    </row>
    <row r="2220" spans="1:5" ht="15.75" customHeight="1">
      <c r="A2220" s="9" t="s">
        <v>4441</v>
      </c>
      <c r="B2220" s="9" t="s">
        <v>4442</v>
      </c>
      <c r="C2220" t="str">
        <f t="shared" si="102"/>
        <v>bin</v>
      </c>
      <c r="D2220" t="str">
        <f t="shared" si="103"/>
        <v>Swier</v>
      </c>
      <c r="E2220" t="str">
        <f t="shared" si="104"/>
        <v>abeth</v>
      </c>
    </row>
    <row r="2221" spans="1:5" ht="15.75" customHeight="1">
      <c r="A2221" s="9" t="s">
        <v>4443</v>
      </c>
      <c r="B2221" s="9" t="s">
        <v>4444</v>
      </c>
      <c r="C2221" t="str">
        <f t="shared" si="102"/>
        <v>tz,</v>
      </c>
      <c r="D2221" t="str">
        <f t="shared" si="103"/>
        <v>Schwa</v>
      </c>
      <c r="E2221" t="str">
        <f t="shared" si="104"/>
        <v>ny A.</v>
      </c>
    </row>
    <row r="2222" spans="1:5" ht="15.75" customHeight="1">
      <c r="A2222" s="9" t="s">
        <v>4445</v>
      </c>
      <c r="B2222" s="9" t="s">
        <v>4446</v>
      </c>
      <c r="C2222" t="str">
        <f t="shared" si="102"/>
        <v>eri</v>
      </c>
      <c r="D2222" t="str">
        <f t="shared" si="103"/>
        <v>Sanse</v>
      </c>
      <c r="E2222" t="str">
        <f t="shared" si="104"/>
        <v>Cole</v>
      </c>
    </row>
    <row r="2223" spans="1:5" ht="15.75" customHeight="1">
      <c r="A2223" s="9" t="s">
        <v>4447</v>
      </c>
      <c r="B2223" s="9" t="s">
        <v>4448</v>
      </c>
      <c r="C2223" t="str">
        <f t="shared" si="102"/>
        <v>, M</v>
      </c>
      <c r="D2223" t="str">
        <f t="shared" si="103"/>
        <v>Lawde</v>
      </c>
      <c r="E2223" t="str">
        <f t="shared" si="104"/>
        <v>ew T.</v>
      </c>
    </row>
    <row r="2224" spans="1:5" ht="15.75" customHeight="1">
      <c r="A2224" s="9" t="s">
        <v>4449</v>
      </c>
      <c r="B2224" s="9" t="s">
        <v>4450</v>
      </c>
      <c r="C2224" t="str">
        <f t="shared" si="102"/>
        <v>Mr</v>
      </c>
      <c r="D2224" t="str">
        <f t="shared" si="103"/>
        <v>Young</v>
      </c>
      <c r="E2224" t="str">
        <f t="shared" si="104"/>
        <v>chary</v>
      </c>
    </row>
    <row r="2225" spans="1:5" ht="15.75" customHeight="1">
      <c r="A2225" s="9" t="s">
        <v>4451</v>
      </c>
      <c r="B2225" s="9" t="s">
        <v>4452</v>
      </c>
      <c r="C2225" t="str">
        <f t="shared" si="102"/>
        <v>r,</v>
      </c>
      <c r="D2225" t="str">
        <f t="shared" si="103"/>
        <v>Hoern</v>
      </c>
      <c r="E2225" t="str">
        <f t="shared" si="104"/>
        <v>ew T.</v>
      </c>
    </row>
    <row r="2226" spans="1:5" ht="15.75" customHeight="1">
      <c r="A2226" s="9" t="s">
        <v>4453</v>
      </c>
      <c r="B2226" s="9" t="s">
        <v>4454</v>
      </c>
      <c r="C2226" t="str">
        <f t="shared" si="102"/>
        <v>, M</v>
      </c>
      <c r="D2226" t="str">
        <f t="shared" si="103"/>
        <v>Benso</v>
      </c>
      <c r="E2226" t="str">
        <f t="shared" si="104"/>
        <v>Pat</v>
      </c>
    </row>
    <row r="2227" spans="1:5" ht="15.75" customHeight="1">
      <c r="A2227" s="9" t="s">
        <v>4455</v>
      </c>
      <c r="B2227" s="9" t="s">
        <v>4456</v>
      </c>
      <c r="C2227" t="str">
        <f t="shared" si="102"/>
        <v>, M</v>
      </c>
      <c r="D2227" t="str">
        <f t="shared" si="103"/>
        <v>Horto</v>
      </c>
      <c r="E2227" t="str">
        <f t="shared" si="104"/>
        <v>shley</v>
      </c>
    </row>
    <row r="2228" spans="1:5" ht="15.75" customHeight="1">
      <c r="A2228" s="9" t="s">
        <v>4457</v>
      </c>
      <c r="B2228" s="9" t="s">
        <v>4458</v>
      </c>
      <c r="C2228" t="str">
        <f t="shared" si="102"/>
        <v>, M</v>
      </c>
      <c r="D2228" t="str">
        <f t="shared" si="103"/>
        <v>McGra</v>
      </c>
      <c r="E2228" t="str">
        <f t="shared" si="104"/>
        <v>th A.</v>
      </c>
    </row>
    <row r="2229" spans="1:5" ht="15.75" customHeight="1">
      <c r="A2229" s="9" t="s">
        <v>4459</v>
      </c>
      <c r="B2229" s="9" t="s">
        <v>4460</v>
      </c>
      <c r="C2229" t="str">
        <f t="shared" si="102"/>
        <v>e,</v>
      </c>
      <c r="D2229" t="str">
        <f t="shared" si="103"/>
        <v>Beaul</v>
      </c>
      <c r="E2229" t="str">
        <f t="shared" si="104"/>
        <v>ca M.</v>
      </c>
    </row>
    <row r="2230" spans="1:5" ht="15.75" customHeight="1">
      <c r="A2230" s="9" t="s">
        <v>4461</v>
      </c>
      <c r="B2230" s="9" t="s">
        <v>4462</v>
      </c>
      <c r="C2230" t="str">
        <f t="shared" si="102"/>
        <v>Ms.</v>
      </c>
      <c r="D2230" t="str">
        <f t="shared" si="103"/>
        <v>Lunz,</v>
      </c>
      <c r="E2230" t="str">
        <f t="shared" si="104"/>
        <v>Ruth</v>
      </c>
    </row>
    <row r="2231" spans="1:5" ht="15.75" customHeight="1">
      <c r="A2231" s="9" t="s">
        <v>4463</v>
      </c>
      <c r="B2231" s="9" t="s">
        <v>4464</v>
      </c>
      <c r="C2231" t="str">
        <f t="shared" si="102"/>
        <v>Mr.</v>
      </c>
      <c r="D2231" t="str">
        <f t="shared" si="103"/>
        <v>Kyle,</v>
      </c>
      <c r="E2231" t="str">
        <f t="shared" si="104"/>
        <v>ory S</v>
      </c>
    </row>
    <row r="2232" spans="1:5" ht="15.75" customHeight="1">
      <c r="A2232" s="9" t="s">
        <v>4465</v>
      </c>
      <c r="B2232" s="9" t="s">
        <v>4466</v>
      </c>
      <c r="C2232" t="str">
        <f t="shared" si="102"/>
        <v>nwa</v>
      </c>
      <c r="D2232" t="str">
        <f t="shared" si="103"/>
        <v>Brack</v>
      </c>
      <c r="E2232" t="str">
        <f t="shared" si="104"/>
        <v>dra S</v>
      </c>
    </row>
    <row r="2233" spans="1:5" ht="15.75" customHeight="1">
      <c r="A2233" s="9" t="s">
        <v>4467</v>
      </c>
      <c r="B2233" s="9" t="s">
        <v>4468</v>
      </c>
      <c r="C2233" t="str">
        <f t="shared" si="102"/>
        <v>t,</v>
      </c>
      <c r="D2233" t="str">
        <f t="shared" si="103"/>
        <v>Schmi</v>
      </c>
      <c r="E2233" t="str">
        <f t="shared" si="104"/>
        <v>llary</v>
      </c>
    </row>
    <row r="2234" spans="1:5" ht="15.75" customHeight="1">
      <c r="A2234" s="9" t="s">
        <v>4469</v>
      </c>
      <c r="B2234" s="9" t="s">
        <v>4470</v>
      </c>
      <c r="C2234" t="str">
        <f t="shared" si="102"/>
        <v>, M</v>
      </c>
      <c r="D2234" t="str">
        <f t="shared" si="103"/>
        <v>Borde</v>
      </c>
      <c r="E2234" t="str">
        <f t="shared" si="104"/>
        <v>my K.</v>
      </c>
    </row>
    <row r="2235" spans="1:5" ht="15.75" customHeight="1">
      <c r="A2235" s="9" t="s">
        <v>4471</v>
      </c>
      <c r="B2235" s="9" t="s">
        <v>4472</v>
      </c>
      <c r="C2235" t="str">
        <f t="shared" si="102"/>
        <v>, M</v>
      </c>
      <c r="D2235" t="str">
        <f t="shared" si="103"/>
        <v>McLea</v>
      </c>
      <c r="E2235" t="str">
        <f t="shared" si="104"/>
        <v>Scott</v>
      </c>
    </row>
    <row r="2236" spans="1:5" ht="15.75" customHeight="1">
      <c r="A2236" s="9" t="s">
        <v>4473</v>
      </c>
      <c r="B2236" s="9" t="s">
        <v>4474</v>
      </c>
      <c r="C2236" t="str">
        <f t="shared" si="102"/>
        <v>Mr</v>
      </c>
      <c r="D2236" t="str">
        <f t="shared" si="103"/>
        <v>Regan</v>
      </c>
      <c r="E2236" t="str">
        <f t="shared" si="104"/>
        <v>John</v>
      </c>
    </row>
    <row r="2237" spans="1:5" ht="15.75" customHeight="1">
      <c r="A2237" s="9" t="s">
        <v>4475</v>
      </c>
      <c r="B2237" s="9" t="s">
        <v>4476</v>
      </c>
      <c r="C2237" t="str">
        <f t="shared" si="102"/>
        <v>, M</v>
      </c>
      <c r="D2237" t="str">
        <f t="shared" si="103"/>
        <v>Koeni</v>
      </c>
      <c r="E2237" t="str">
        <f t="shared" si="104"/>
        <v>aikel</v>
      </c>
    </row>
    <row r="2238" spans="1:5" ht="15.75" customHeight="1">
      <c r="A2238" s="9" t="s">
        <v>4477</v>
      </c>
      <c r="B2238" s="9" t="s">
        <v>4478</v>
      </c>
      <c r="C2238" t="str">
        <f t="shared" si="102"/>
        <v>a,</v>
      </c>
      <c r="D2238" t="str">
        <f t="shared" si="103"/>
        <v>Kitta</v>
      </c>
      <c r="E2238" t="str">
        <f t="shared" si="104"/>
        <v>iel C</v>
      </c>
    </row>
    <row r="2239" spans="1:5" ht="15.75" customHeight="1">
      <c r="A2239" s="9" t="s">
        <v>4479</v>
      </c>
      <c r="B2239" s="9" t="s">
        <v>4480</v>
      </c>
      <c r="C2239" t="str">
        <f t="shared" si="102"/>
        <v>non</v>
      </c>
      <c r="D2239" t="str">
        <f t="shared" si="103"/>
        <v>Conca</v>
      </c>
      <c r="E2239" t="str">
        <f t="shared" si="104"/>
        <v>er S.</v>
      </c>
    </row>
    <row r="2240" spans="1:5" ht="15.75" customHeight="1">
      <c r="A2240" s="9" t="s">
        <v>4481</v>
      </c>
      <c r="B2240" s="9" t="s">
        <v>4482</v>
      </c>
      <c r="C2240" t="str">
        <f t="shared" si="102"/>
        <v>n,</v>
      </c>
      <c r="D2240" t="str">
        <f t="shared" si="103"/>
        <v>Johns</v>
      </c>
      <c r="E2240" t="str">
        <f t="shared" si="104"/>
        <v>iam R</v>
      </c>
    </row>
    <row r="2241" spans="1:5" ht="15.75" customHeight="1">
      <c r="A2241" s="9" t="s">
        <v>4483</v>
      </c>
      <c r="B2241" s="9" t="s">
        <v>4484</v>
      </c>
      <c r="C2241" t="str">
        <f t="shared" si="102"/>
        <v>z,</v>
      </c>
      <c r="D2241" t="str">
        <f t="shared" si="103"/>
        <v>Schul</v>
      </c>
      <c r="E2241" t="str">
        <f t="shared" si="104"/>
        <v>yndsy</v>
      </c>
    </row>
    <row r="2242" spans="1:5" ht="15.75" customHeight="1">
      <c r="A2242" s="9" t="s">
        <v>4485</v>
      </c>
      <c r="B2242" s="9" t="s">
        <v>4486</v>
      </c>
      <c r="C2242" t="str">
        <f t="shared" si="102"/>
        <v>gan</v>
      </c>
      <c r="D2242" t="str">
        <f t="shared" si="103"/>
        <v>Brann</v>
      </c>
      <c r="E2242" t="str">
        <f t="shared" si="104"/>
        <v>ssica</v>
      </c>
    </row>
    <row r="2243" spans="1:5" ht="15.75" customHeight="1">
      <c r="A2243" s="9" t="s">
        <v>4487</v>
      </c>
      <c r="B2243" s="9" t="s">
        <v>4488</v>
      </c>
      <c r="C2243" t="str">
        <f t="shared" ref="C2243:C2306" si="105">MID(B2243,7,3)</f>
        <v>o,</v>
      </c>
      <c r="D2243" t="str">
        <f t="shared" ref="D2243:D2306" si="106">LEFT(B2243,5)</f>
        <v>Caval</v>
      </c>
      <c r="E2243" t="str">
        <f t="shared" ref="E2243:E2306" si="107">RIGHT(B2243,5)</f>
        <v>Anna</v>
      </c>
    </row>
    <row r="2244" spans="1:5" ht="15.75" customHeight="1">
      <c r="A2244" s="9" t="s">
        <v>4489</v>
      </c>
      <c r="B2244" s="9" t="s">
        <v>4490</v>
      </c>
      <c r="C2244" t="str">
        <f t="shared" si="105"/>
        <v>Mr</v>
      </c>
      <c r="D2244" t="str">
        <f t="shared" si="106"/>
        <v>Chang</v>
      </c>
      <c r="E2244" t="str">
        <f t="shared" si="107"/>
        <v>ordan</v>
      </c>
    </row>
    <row r="2245" spans="1:5" ht="15.75" customHeight="1">
      <c r="A2245" s="9" t="s">
        <v>4491</v>
      </c>
      <c r="B2245" s="9" t="s">
        <v>4492</v>
      </c>
      <c r="C2245" t="str">
        <f t="shared" si="105"/>
        <v>d,</v>
      </c>
      <c r="D2245" t="str">
        <f t="shared" si="106"/>
        <v>Axelr</v>
      </c>
      <c r="E2245" t="str">
        <f t="shared" si="107"/>
        <v>Brian</v>
      </c>
    </row>
    <row r="2246" spans="1:5" ht="15.75" customHeight="1">
      <c r="A2246" s="9" t="s">
        <v>4493</v>
      </c>
      <c r="B2246" s="9" t="s">
        <v>4494</v>
      </c>
      <c r="C2246" t="str">
        <f t="shared" si="105"/>
        <v>ort</v>
      </c>
      <c r="D2246" t="str">
        <f t="shared" si="106"/>
        <v>Daven</v>
      </c>
      <c r="E2246" t="str">
        <f t="shared" si="107"/>
        <v>ine A</v>
      </c>
    </row>
    <row r="2247" spans="1:5" ht="15.75" customHeight="1">
      <c r="A2247" s="9" t="s">
        <v>4495</v>
      </c>
      <c r="B2247" s="9" t="s">
        <v>4496</v>
      </c>
      <c r="C2247" t="str">
        <f t="shared" si="105"/>
        <v>e,</v>
      </c>
      <c r="D2247" t="str">
        <f t="shared" si="106"/>
        <v>Rober</v>
      </c>
      <c r="E2247" t="str">
        <f t="shared" si="107"/>
        <v>lanie</v>
      </c>
    </row>
    <row r="2248" spans="1:5" ht="15.75" customHeight="1">
      <c r="A2248" s="9" t="s">
        <v>4497</v>
      </c>
      <c r="B2248" s="9" t="s">
        <v>4498</v>
      </c>
      <c r="C2248" t="str">
        <f t="shared" si="105"/>
        <v>t,</v>
      </c>
      <c r="D2248" t="str">
        <f t="shared" si="106"/>
        <v>Schmi</v>
      </c>
      <c r="E2248" t="str">
        <f t="shared" si="107"/>
        <v>ssica</v>
      </c>
    </row>
    <row r="2249" spans="1:5" ht="15.75" customHeight="1">
      <c r="A2249" s="9" t="s">
        <v>4499</v>
      </c>
      <c r="B2249" s="9" t="s">
        <v>4500</v>
      </c>
      <c r="C2249" t="str">
        <f t="shared" si="105"/>
        <v>s,</v>
      </c>
      <c r="D2249" t="str">
        <f t="shared" si="106"/>
        <v>Koste</v>
      </c>
      <c r="E2249" t="str">
        <f t="shared" si="107"/>
        <v>ric S</v>
      </c>
    </row>
    <row r="2250" spans="1:5" ht="15.75" customHeight="1">
      <c r="A2250" s="9" t="s">
        <v>4501</v>
      </c>
      <c r="B2250" s="9" t="s">
        <v>4502</v>
      </c>
      <c r="C2250" t="str">
        <f t="shared" si="105"/>
        <v>Mr</v>
      </c>
      <c r="D2250" t="str">
        <f t="shared" si="106"/>
        <v>Dykes</v>
      </c>
      <c r="E2250" t="str">
        <f t="shared" si="107"/>
        <v>oseph</v>
      </c>
    </row>
    <row r="2251" spans="1:5" ht="15.75" customHeight="1">
      <c r="A2251" s="9" t="s">
        <v>4503</v>
      </c>
      <c r="B2251" s="9" t="s">
        <v>4504</v>
      </c>
      <c r="C2251" t="str">
        <f t="shared" si="105"/>
        <v>Ms</v>
      </c>
      <c r="D2251" t="str">
        <f t="shared" si="106"/>
        <v>Velan</v>
      </c>
      <c r="E2251" t="str">
        <f t="shared" si="107"/>
        <v>Mary</v>
      </c>
    </row>
    <row r="2252" spans="1:5" ht="15.75" customHeight="1">
      <c r="A2252" s="9" t="s">
        <v>4505</v>
      </c>
      <c r="B2252" s="9" t="s">
        <v>4506</v>
      </c>
      <c r="C2252" t="str">
        <f t="shared" si="105"/>
        <v>, M</v>
      </c>
      <c r="D2252" t="str">
        <f t="shared" si="106"/>
        <v>Gooli</v>
      </c>
      <c r="E2252" t="str">
        <f t="shared" si="107"/>
        <v>talie</v>
      </c>
    </row>
    <row r="2253" spans="1:5" ht="15.75" customHeight="1">
      <c r="A2253" s="9" t="s">
        <v>4507</v>
      </c>
      <c r="B2253" s="9" t="s">
        <v>4508</v>
      </c>
      <c r="C2253" t="str">
        <f t="shared" si="105"/>
        <v>Mr.</v>
      </c>
      <c r="D2253" t="str">
        <f t="shared" si="106"/>
        <v>Bain,</v>
      </c>
      <c r="E2253" t="str">
        <f t="shared" si="107"/>
        <v>opher</v>
      </c>
    </row>
    <row r="2254" spans="1:5" ht="15.75" customHeight="1">
      <c r="A2254" s="9" t="s">
        <v>4509</v>
      </c>
      <c r="B2254" s="9" t="s">
        <v>4510</v>
      </c>
      <c r="C2254" t="str">
        <f t="shared" si="105"/>
        <v>Ms</v>
      </c>
      <c r="D2254" t="str">
        <f t="shared" si="106"/>
        <v>Wieck</v>
      </c>
      <c r="E2254" t="str">
        <f t="shared" si="107"/>
        <v>Sonja</v>
      </c>
    </row>
    <row r="2255" spans="1:5" ht="15.75" customHeight="1">
      <c r="A2255" s="9" t="s">
        <v>4511</v>
      </c>
      <c r="B2255" s="9" t="s">
        <v>4512</v>
      </c>
      <c r="C2255" t="str">
        <f t="shared" si="105"/>
        <v>Ms</v>
      </c>
      <c r="D2255" t="str">
        <f t="shared" si="106"/>
        <v>Friel</v>
      </c>
      <c r="E2255" t="str">
        <f t="shared" si="107"/>
        <v>andra</v>
      </c>
    </row>
    <row r="2256" spans="1:5" ht="15.75" customHeight="1">
      <c r="A2256" s="9" t="s">
        <v>4513</v>
      </c>
      <c r="B2256" s="9" t="s">
        <v>4514</v>
      </c>
      <c r="C2256" t="str">
        <f t="shared" si="105"/>
        <v>dre</v>
      </c>
      <c r="D2256" t="str">
        <f t="shared" si="106"/>
        <v>Santa</v>
      </c>
      <c r="E2256" t="str">
        <f t="shared" si="107"/>
        <v>ha L.</v>
      </c>
    </row>
    <row r="2257" spans="1:5" ht="15.75" customHeight="1">
      <c r="A2257" s="9" t="s">
        <v>4515</v>
      </c>
      <c r="B2257" s="9" t="s">
        <v>4516</v>
      </c>
      <c r="C2257" t="str">
        <f t="shared" si="105"/>
        <v>n,</v>
      </c>
      <c r="D2257" t="str">
        <f t="shared" si="106"/>
        <v>Johns</v>
      </c>
      <c r="E2257" t="str">
        <f t="shared" si="107"/>
        <v>an C.</v>
      </c>
    </row>
    <row r="2258" spans="1:5" ht="15.75" customHeight="1">
      <c r="A2258" s="9" t="s">
        <v>4517</v>
      </c>
      <c r="B2258" s="9" t="s">
        <v>4518</v>
      </c>
      <c r="C2258" t="str">
        <f t="shared" si="105"/>
        <v>, M</v>
      </c>
      <c r="D2258" t="str">
        <f t="shared" si="106"/>
        <v>Gerbe</v>
      </c>
      <c r="E2258" t="str">
        <f t="shared" si="107"/>
        <v>Cliff</v>
      </c>
    </row>
    <row r="2259" spans="1:5" ht="15.75" customHeight="1">
      <c r="A2259" s="9" t="s">
        <v>4519</v>
      </c>
      <c r="B2259" s="9" t="s">
        <v>4520</v>
      </c>
      <c r="C2259" t="str">
        <f t="shared" si="105"/>
        <v>m,</v>
      </c>
      <c r="D2259" t="str">
        <f t="shared" si="106"/>
        <v>Benad</v>
      </c>
      <c r="E2259" t="str">
        <f t="shared" si="107"/>
        <v>Blue</v>
      </c>
    </row>
    <row r="2260" spans="1:5" ht="15.75" customHeight="1">
      <c r="A2260" s="9" t="s">
        <v>4521</v>
      </c>
      <c r="B2260" s="9" t="s">
        <v>4522</v>
      </c>
      <c r="C2260" t="str">
        <f t="shared" si="105"/>
        <v>ini</v>
      </c>
      <c r="D2260" t="str">
        <f t="shared" si="106"/>
        <v>Ragaz</v>
      </c>
      <c r="E2260" t="str">
        <f t="shared" si="107"/>
        <v>rey M</v>
      </c>
    </row>
    <row r="2261" spans="1:5" ht="15.75" customHeight="1">
      <c r="A2261" s="9" t="s">
        <v>4523</v>
      </c>
      <c r="B2261" s="9" t="s">
        <v>4524</v>
      </c>
      <c r="C2261" t="str">
        <f t="shared" si="105"/>
        <v>ger</v>
      </c>
      <c r="D2261" t="str">
        <f t="shared" si="106"/>
        <v>Kessi</v>
      </c>
      <c r="E2261" t="str">
        <f t="shared" si="107"/>
        <v>ndrew</v>
      </c>
    </row>
    <row r="2262" spans="1:5" ht="15.75" customHeight="1">
      <c r="A2262" s="9" t="s">
        <v>4525</v>
      </c>
      <c r="B2262" s="9" t="s">
        <v>4526</v>
      </c>
      <c r="C2262" t="str">
        <f t="shared" si="105"/>
        <v>, M</v>
      </c>
      <c r="D2262" t="str">
        <f t="shared" si="106"/>
        <v>Bezgi</v>
      </c>
      <c r="E2262" t="str">
        <f t="shared" si="107"/>
        <v>Julia</v>
      </c>
    </row>
    <row r="2263" spans="1:5" ht="15.75" customHeight="1">
      <c r="A2263" s="9" t="s">
        <v>4527</v>
      </c>
      <c r="B2263" s="9" t="s">
        <v>4528</v>
      </c>
      <c r="C2263" t="str">
        <f t="shared" si="105"/>
        <v>ila</v>
      </c>
      <c r="D2263" t="str">
        <f t="shared" si="106"/>
        <v>Wolde</v>
      </c>
      <c r="E2263" t="str">
        <f t="shared" si="107"/>
        <v>aniel</v>
      </c>
    </row>
    <row r="2264" spans="1:5" ht="15.75" customHeight="1">
      <c r="A2264" s="9" t="s">
        <v>4529</v>
      </c>
      <c r="B2264" s="9" t="s">
        <v>4530</v>
      </c>
      <c r="C2264" t="str">
        <f t="shared" si="105"/>
        <v>err</v>
      </c>
      <c r="D2264" t="str">
        <f t="shared" si="106"/>
        <v>Ruiz</v>
      </c>
      <c r="E2264" t="str">
        <f t="shared" si="107"/>
        <v>Jaime</v>
      </c>
    </row>
    <row r="2265" spans="1:5" ht="15.75" customHeight="1">
      <c r="A2265" s="9" t="s">
        <v>4531</v>
      </c>
      <c r="B2265" s="9" t="s">
        <v>4532</v>
      </c>
      <c r="C2265" t="str">
        <f t="shared" si="105"/>
        <v>ias</v>
      </c>
      <c r="D2265" t="str">
        <f t="shared" si="106"/>
        <v>Bin A</v>
      </c>
      <c r="E2265" t="str">
        <f t="shared" si="107"/>
        <v>hidan</v>
      </c>
    </row>
    <row r="2266" spans="1:5" ht="15.75" customHeight="1">
      <c r="A2266" s="9" t="s">
        <v>4533</v>
      </c>
      <c r="B2266" s="9" t="s">
        <v>4534</v>
      </c>
      <c r="C2266" t="str">
        <f t="shared" si="105"/>
        <v>r-D</v>
      </c>
      <c r="D2266" t="str">
        <f t="shared" si="106"/>
        <v>Fisch</v>
      </c>
      <c r="E2266" t="str">
        <f t="shared" si="107"/>
        <v>tthew</v>
      </c>
    </row>
    <row r="2267" spans="1:5" ht="15.75" customHeight="1">
      <c r="A2267" s="9" t="s">
        <v>4535</v>
      </c>
      <c r="B2267" s="9" t="s">
        <v>4536</v>
      </c>
      <c r="C2267" t="str">
        <f t="shared" si="105"/>
        <v>m,</v>
      </c>
      <c r="D2267" t="str">
        <f t="shared" si="106"/>
        <v>Pulli</v>
      </c>
      <c r="E2267" t="str">
        <f t="shared" si="107"/>
        <v>th S.</v>
      </c>
    </row>
    <row r="2268" spans="1:5" ht="15.75" customHeight="1">
      <c r="A2268" s="9" t="s">
        <v>4537</v>
      </c>
      <c r="B2268" s="9" t="s">
        <v>4538</v>
      </c>
      <c r="C2268" t="str">
        <f t="shared" si="105"/>
        <v>ger</v>
      </c>
      <c r="D2268" t="str">
        <f t="shared" si="106"/>
        <v>Guisi</v>
      </c>
      <c r="E2268" t="str">
        <f t="shared" si="107"/>
        <v>Katie</v>
      </c>
    </row>
    <row r="2269" spans="1:5" ht="15.75" customHeight="1">
      <c r="A2269" s="9" t="s">
        <v>4539</v>
      </c>
      <c r="B2269" s="9" t="s">
        <v>4540</v>
      </c>
      <c r="C2269" t="str">
        <f t="shared" si="105"/>
        <v>ch,</v>
      </c>
      <c r="D2269" t="str">
        <f t="shared" si="106"/>
        <v>Arner</v>
      </c>
      <c r="E2269" t="str">
        <f t="shared" si="107"/>
        <v>ti A.</v>
      </c>
    </row>
    <row r="2270" spans="1:5" ht="15.75" customHeight="1">
      <c r="A2270" s="9" t="s">
        <v>4541</v>
      </c>
      <c r="B2270" s="9" t="s">
        <v>4542</v>
      </c>
      <c r="C2270" t="str">
        <f t="shared" si="105"/>
        <v>Ms</v>
      </c>
      <c r="D2270" t="str">
        <f t="shared" si="106"/>
        <v>Lynch</v>
      </c>
      <c r="E2270" t="str">
        <f t="shared" si="107"/>
        <v>ra K.</v>
      </c>
    </row>
    <row r="2271" spans="1:5" ht="15.75" customHeight="1">
      <c r="A2271" s="9" t="s">
        <v>4543</v>
      </c>
      <c r="B2271" s="9" t="s">
        <v>4544</v>
      </c>
      <c r="C2271" t="str">
        <f t="shared" si="105"/>
        <v>, M</v>
      </c>
      <c r="D2271" t="str">
        <f t="shared" si="106"/>
        <v>Reill</v>
      </c>
      <c r="E2271" t="str">
        <f t="shared" si="107"/>
        <v>arine</v>
      </c>
    </row>
    <row r="2272" spans="1:5" ht="15.75" customHeight="1">
      <c r="A2272" s="9" t="s">
        <v>4545</v>
      </c>
      <c r="B2272" s="9" t="s">
        <v>4546</v>
      </c>
      <c r="C2272" t="str">
        <f t="shared" si="105"/>
        <v>e,</v>
      </c>
      <c r="D2272" t="str">
        <f t="shared" si="106"/>
        <v>Nolet</v>
      </c>
      <c r="E2272" t="str">
        <f t="shared" si="107"/>
        <v>erome</v>
      </c>
    </row>
    <row r="2273" spans="1:5" ht="15.75" customHeight="1">
      <c r="A2273" s="9" t="s">
        <v>4547</v>
      </c>
      <c r="B2273" s="9" t="s">
        <v>4548</v>
      </c>
      <c r="C2273" t="str">
        <f t="shared" si="105"/>
        <v>er,</v>
      </c>
      <c r="D2273" t="str">
        <f t="shared" si="106"/>
        <v>Chabr</v>
      </c>
      <c r="E2273" t="str">
        <f t="shared" si="107"/>
        <v>lia R</v>
      </c>
    </row>
    <row r="2274" spans="1:5" ht="15.75" customHeight="1">
      <c r="A2274" s="9" t="s">
        <v>4549</v>
      </c>
      <c r="B2274" s="9" t="s">
        <v>4550</v>
      </c>
      <c r="C2274" t="str">
        <f t="shared" si="105"/>
        <v>r.</v>
      </c>
      <c r="D2274" t="str">
        <f t="shared" si="106"/>
        <v>Lee,</v>
      </c>
      <c r="E2274" t="str">
        <f t="shared" si="107"/>
        <v>Henry</v>
      </c>
    </row>
    <row r="2275" spans="1:5" ht="15.75" customHeight="1">
      <c r="A2275" s="9" t="s">
        <v>4551</v>
      </c>
      <c r="B2275" s="9" t="s">
        <v>4552</v>
      </c>
      <c r="C2275" t="str">
        <f t="shared" si="105"/>
        <v>, M</v>
      </c>
      <c r="D2275" t="str">
        <f t="shared" si="106"/>
        <v>Knott</v>
      </c>
      <c r="E2275" t="str">
        <f t="shared" si="107"/>
        <v>el A.</v>
      </c>
    </row>
    <row r="2276" spans="1:5" ht="15.75" customHeight="1">
      <c r="A2276" s="9" t="s">
        <v>4553</v>
      </c>
      <c r="B2276" s="9" t="s">
        <v>4554</v>
      </c>
      <c r="C2276" t="str">
        <f t="shared" si="105"/>
        <v>ak,</v>
      </c>
      <c r="D2276" t="str">
        <f t="shared" si="106"/>
        <v>Pulto</v>
      </c>
      <c r="E2276" t="str">
        <f t="shared" si="107"/>
        <v>Jim</v>
      </c>
    </row>
    <row r="2277" spans="1:5" ht="15.75" customHeight="1">
      <c r="A2277" s="9" t="s">
        <v>4555</v>
      </c>
      <c r="B2277" s="9" t="s">
        <v>4556</v>
      </c>
      <c r="C2277" t="str">
        <f t="shared" si="105"/>
        <v>Mr</v>
      </c>
      <c r="D2277" t="str">
        <f t="shared" si="106"/>
        <v>Maxon</v>
      </c>
      <c r="E2277" t="str">
        <f t="shared" si="107"/>
        <v>Tim</v>
      </c>
    </row>
    <row r="2278" spans="1:5" ht="15.75" customHeight="1">
      <c r="A2278" s="9" t="s">
        <v>4557</v>
      </c>
      <c r="B2278" s="9" t="s">
        <v>4558</v>
      </c>
      <c r="C2278" t="str">
        <f t="shared" si="105"/>
        <v>Ms</v>
      </c>
      <c r="D2278" t="str">
        <f t="shared" si="106"/>
        <v>Kraai</v>
      </c>
      <c r="E2278" t="str">
        <f t="shared" si="107"/>
        <v>by L.</v>
      </c>
    </row>
    <row r="2279" spans="1:5" ht="15.75" customHeight="1">
      <c r="A2279" s="9" t="s">
        <v>4559</v>
      </c>
      <c r="B2279" s="9" t="s">
        <v>4560</v>
      </c>
      <c r="C2279" t="str">
        <f t="shared" si="105"/>
        <v>, M</v>
      </c>
      <c r="D2279" t="str">
        <f t="shared" si="106"/>
        <v>Laros</v>
      </c>
      <c r="E2279" t="str">
        <f t="shared" si="107"/>
        <v>Mark</v>
      </c>
    </row>
    <row r="2280" spans="1:5" ht="15.75" customHeight="1">
      <c r="A2280" s="9" t="s">
        <v>4561</v>
      </c>
      <c r="B2280" s="9" t="s">
        <v>4562</v>
      </c>
      <c r="C2280" t="str">
        <f t="shared" si="105"/>
        <v>Mr.</v>
      </c>
      <c r="D2280" t="str">
        <f t="shared" si="106"/>
        <v>King,</v>
      </c>
      <c r="E2280" t="str">
        <f t="shared" si="107"/>
        <v>Ali</v>
      </c>
    </row>
    <row r="2281" spans="1:5" ht="15.75" customHeight="1">
      <c r="A2281" s="9" t="s">
        <v>4563</v>
      </c>
      <c r="B2281" s="9" t="s">
        <v>4564</v>
      </c>
      <c r="C2281" t="str">
        <f t="shared" si="105"/>
        <v>Mr</v>
      </c>
      <c r="D2281" t="str">
        <f t="shared" si="106"/>
        <v>Haney</v>
      </c>
      <c r="E2281" t="str">
        <f t="shared" si="107"/>
        <v>oshua</v>
      </c>
    </row>
    <row r="2282" spans="1:5" ht="15.75" customHeight="1">
      <c r="A2282" s="9" t="s">
        <v>4565</v>
      </c>
      <c r="B2282" s="9" t="s">
        <v>4566</v>
      </c>
      <c r="C2282" t="str">
        <f t="shared" si="105"/>
        <v>, M</v>
      </c>
      <c r="D2282" t="str">
        <f t="shared" si="106"/>
        <v>Boula</v>
      </c>
      <c r="E2282" t="str">
        <f t="shared" si="107"/>
        <v>ierre</v>
      </c>
    </row>
    <row r="2283" spans="1:5" ht="15.75" customHeight="1">
      <c r="A2283" s="9" t="s">
        <v>4567</v>
      </c>
      <c r="B2283" s="9" t="s">
        <v>4568</v>
      </c>
      <c r="C2283" t="str">
        <f t="shared" si="105"/>
        <v>, M</v>
      </c>
      <c r="D2283" t="str">
        <f t="shared" si="106"/>
        <v>Peter</v>
      </c>
      <c r="E2283" t="str">
        <f t="shared" si="107"/>
        <v>Kate</v>
      </c>
    </row>
    <row r="2284" spans="1:5" ht="15.75" customHeight="1">
      <c r="A2284" s="9" t="s">
        <v>4569</v>
      </c>
      <c r="B2284" s="9" t="s">
        <v>4570</v>
      </c>
      <c r="C2284" t="str">
        <f t="shared" si="105"/>
        <v>r.</v>
      </c>
      <c r="D2284" t="str">
        <f t="shared" si="106"/>
        <v>Luy,</v>
      </c>
      <c r="E2284" t="str">
        <f t="shared" si="107"/>
        <v>David</v>
      </c>
    </row>
    <row r="2285" spans="1:5" ht="15.75" customHeight="1">
      <c r="A2285" s="9" t="s">
        <v>4571</v>
      </c>
      <c r="B2285" s="9" t="s">
        <v>4572</v>
      </c>
      <c r="C2285" t="str">
        <f t="shared" si="105"/>
        <v>Ms.</v>
      </c>
      <c r="D2285" t="str">
        <f t="shared" si="106"/>
        <v>Fava,</v>
      </c>
      <c r="E2285" t="str">
        <f t="shared" si="107"/>
        <v>Carla</v>
      </c>
    </row>
    <row r="2286" spans="1:5" ht="15.75" customHeight="1">
      <c r="A2286" s="9" t="s">
        <v>4573</v>
      </c>
      <c r="B2286" s="9" t="s">
        <v>4574</v>
      </c>
      <c r="C2286" t="str">
        <f t="shared" si="105"/>
        <v>a,</v>
      </c>
      <c r="D2286" t="str">
        <f t="shared" si="106"/>
        <v>Monto</v>
      </c>
      <c r="E2286" t="str">
        <f t="shared" si="107"/>
        <v>o Sr.</v>
      </c>
    </row>
    <row r="2287" spans="1:5" ht="15.75" customHeight="1">
      <c r="A2287" s="9" t="s">
        <v>4575</v>
      </c>
      <c r="B2287" s="9" t="s">
        <v>4576</v>
      </c>
      <c r="C2287" t="str">
        <f t="shared" si="105"/>
        <v>Ms.</v>
      </c>
      <c r="D2287" t="str">
        <f t="shared" si="106"/>
        <v>Bain,</v>
      </c>
      <c r="E2287" t="str">
        <f t="shared" si="107"/>
        <v>Hope</v>
      </c>
    </row>
    <row r="2288" spans="1:5" ht="15.75" customHeight="1">
      <c r="A2288" s="9" t="s">
        <v>4577</v>
      </c>
      <c r="B2288" s="9" t="s">
        <v>4578</v>
      </c>
      <c r="C2288" t="str">
        <f t="shared" si="105"/>
        <v>son</v>
      </c>
      <c r="D2288" t="str">
        <f t="shared" si="106"/>
        <v>Alber</v>
      </c>
      <c r="E2288" t="str">
        <f t="shared" si="107"/>
        <v>rk P.</v>
      </c>
    </row>
    <row r="2289" spans="1:5" ht="15.75" customHeight="1">
      <c r="A2289" s="9" t="s">
        <v>4579</v>
      </c>
      <c r="B2289" s="9" t="s">
        <v>4580</v>
      </c>
      <c r="C2289" t="str">
        <f t="shared" si="105"/>
        <v>, M</v>
      </c>
      <c r="D2289" t="str">
        <f t="shared" si="106"/>
        <v>Barge</v>
      </c>
      <c r="E2289" t="str">
        <f t="shared" si="107"/>
        <v>siree</v>
      </c>
    </row>
    <row r="2290" spans="1:5" ht="15.75" customHeight="1">
      <c r="A2290" s="9" t="s">
        <v>4581</v>
      </c>
      <c r="B2290" s="9" t="s">
        <v>4582</v>
      </c>
      <c r="C2290" t="str">
        <f t="shared" si="105"/>
        <v>i,</v>
      </c>
      <c r="D2290" t="str">
        <f t="shared" si="106"/>
        <v>Fraio</v>
      </c>
      <c r="E2290" t="str">
        <f t="shared" si="107"/>
        <v>o Jr.</v>
      </c>
    </row>
    <row r="2291" spans="1:5" ht="15.75" customHeight="1">
      <c r="A2291" s="9" t="s">
        <v>4583</v>
      </c>
      <c r="B2291" s="9" t="s">
        <v>4584</v>
      </c>
      <c r="C2291" t="str">
        <f t="shared" si="105"/>
        <v>Mr</v>
      </c>
      <c r="D2291" t="str">
        <f t="shared" si="106"/>
        <v>April</v>
      </c>
      <c r="E2291" t="str">
        <f t="shared" si="107"/>
        <v>sapho</v>
      </c>
    </row>
    <row r="2292" spans="1:5" ht="15.75" customHeight="1">
      <c r="A2292" s="9" t="s">
        <v>4585</v>
      </c>
      <c r="B2292" s="9" t="s">
        <v>4586</v>
      </c>
      <c r="C2292" t="str">
        <f t="shared" si="105"/>
        <v>Ms.</v>
      </c>
      <c r="D2292" t="str">
        <f t="shared" si="106"/>
        <v>King,</v>
      </c>
      <c r="E2292" t="str">
        <f t="shared" si="107"/>
        <v>in C.</v>
      </c>
    </row>
    <row r="2293" spans="1:5" ht="15.75" customHeight="1">
      <c r="A2293" s="9" t="s">
        <v>4587</v>
      </c>
      <c r="B2293" s="9" t="s">
        <v>4588</v>
      </c>
      <c r="C2293" t="str">
        <f t="shared" si="105"/>
        <v>m,</v>
      </c>
      <c r="D2293" t="str">
        <f t="shared" si="106"/>
        <v>Talhe</v>
      </c>
      <c r="E2293" t="str">
        <f t="shared" si="107"/>
        <v>lan F</v>
      </c>
    </row>
    <row r="2294" spans="1:5" ht="15.75" customHeight="1">
      <c r="A2294" s="9" t="s">
        <v>4589</v>
      </c>
      <c r="B2294" s="9" t="s">
        <v>4590</v>
      </c>
      <c r="C2294" t="str">
        <f t="shared" si="105"/>
        <v>r,</v>
      </c>
      <c r="D2294" t="str">
        <f t="shared" si="106"/>
        <v>Regni</v>
      </c>
      <c r="E2294" t="str">
        <f t="shared" si="107"/>
        <v>Ryan</v>
      </c>
    </row>
    <row r="2295" spans="1:5" ht="15.75" customHeight="1">
      <c r="A2295" s="9" t="s">
        <v>4591</v>
      </c>
      <c r="B2295" s="9" t="s">
        <v>4592</v>
      </c>
      <c r="C2295" t="str">
        <f t="shared" si="105"/>
        <v>, M</v>
      </c>
      <c r="D2295" t="str">
        <f t="shared" si="106"/>
        <v>Treec</v>
      </c>
      <c r="E2295" t="str">
        <f t="shared" si="107"/>
        <v>Hope</v>
      </c>
    </row>
    <row r="2296" spans="1:5" ht="15.75" customHeight="1">
      <c r="A2296" s="9" t="s">
        <v>4593</v>
      </c>
      <c r="B2296" s="9" t="s">
        <v>4594</v>
      </c>
      <c r="C2296" t="str">
        <f t="shared" si="105"/>
        <v>, M</v>
      </c>
      <c r="D2296" t="str">
        <f t="shared" si="106"/>
        <v>Beise</v>
      </c>
      <c r="E2296" t="str">
        <f t="shared" si="107"/>
        <v>Josh</v>
      </c>
    </row>
    <row r="2297" spans="1:5" ht="15.75" customHeight="1">
      <c r="A2297" s="9" t="s">
        <v>4595</v>
      </c>
      <c r="B2297" s="9" t="s">
        <v>4596</v>
      </c>
      <c r="C2297" t="str">
        <f t="shared" si="105"/>
        <v>Mr.</v>
      </c>
      <c r="D2297" t="str">
        <f t="shared" si="106"/>
        <v>Enke,</v>
      </c>
      <c r="E2297" t="str">
        <f t="shared" si="107"/>
        <v>cob J</v>
      </c>
    </row>
    <row r="2298" spans="1:5" ht="15.75" customHeight="1">
      <c r="A2298" s="9" t="s">
        <v>4597</v>
      </c>
      <c r="B2298" s="9" t="s">
        <v>4598</v>
      </c>
      <c r="C2298" t="str">
        <f t="shared" si="105"/>
        <v>agl</v>
      </c>
      <c r="D2298" t="str">
        <f t="shared" si="106"/>
        <v>Ruiz-</v>
      </c>
      <c r="E2298" t="str">
        <f t="shared" si="107"/>
        <v>Tomas</v>
      </c>
    </row>
    <row r="2299" spans="1:5" ht="15.75" customHeight="1">
      <c r="A2299" s="9" t="s">
        <v>4599</v>
      </c>
      <c r="B2299" s="9" t="s">
        <v>4600</v>
      </c>
      <c r="C2299" t="str">
        <f t="shared" si="105"/>
        <v>l,</v>
      </c>
      <c r="D2299" t="str">
        <f t="shared" si="106"/>
        <v>Ferre</v>
      </c>
      <c r="E2299" t="str">
        <f t="shared" si="107"/>
        <v>Evan</v>
      </c>
    </row>
    <row r="2300" spans="1:5" ht="15.75" customHeight="1">
      <c r="A2300" s="9" t="s">
        <v>4601</v>
      </c>
      <c r="B2300" s="9" t="s">
        <v>4602</v>
      </c>
      <c r="C2300" t="str">
        <f t="shared" si="105"/>
        <v>Mr</v>
      </c>
      <c r="D2300" t="str">
        <f t="shared" si="106"/>
        <v>Gates</v>
      </c>
      <c r="E2300" t="str">
        <f t="shared" si="107"/>
        <v>in K.</v>
      </c>
    </row>
    <row r="2301" spans="1:5" ht="15.75" customHeight="1">
      <c r="A2301" s="9" t="s">
        <v>4603</v>
      </c>
      <c r="B2301" s="9" t="s">
        <v>4604</v>
      </c>
      <c r="C2301" t="str">
        <f t="shared" si="105"/>
        <v>s,</v>
      </c>
      <c r="D2301" t="str">
        <f t="shared" si="106"/>
        <v>Jeffe</v>
      </c>
      <c r="E2301" t="str">
        <f t="shared" si="107"/>
        <v>trick</v>
      </c>
    </row>
    <row r="2302" spans="1:5" ht="15.75" customHeight="1">
      <c r="A2302" s="9" t="s">
        <v>4605</v>
      </c>
      <c r="B2302" s="9" t="s">
        <v>4606</v>
      </c>
      <c r="C2302" t="str">
        <f t="shared" si="105"/>
        <v>ek,</v>
      </c>
      <c r="D2302" t="str">
        <f t="shared" si="106"/>
        <v>Sulha</v>
      </c>
      <c r="E2302" t="str">
        <f t="shared" si="107"/>
        <v>Roman</v>
      </c>
    </row>
    <row r="2303" spans="1:5" ht="15.75" customHeight="1">
      <c r="A2303" s="9" t="s">
        <v>4607</v>
      </c>
      <c r="B2303" s="9" t="s">
        <v>4608</v>
      </c>
      <c r="C2303" t="str">
        <f t="shared" si="105"/>
        <v>ski</v>
      </c>
      <c r="D2303" t="str">
        <f t="shared" si="106"/>
        <v>Ozaho</v>
      </c>
      <c r="E2303" t="str">
        <f t="shared" si="107"/>
        <v>David</v>
      </c>
    </row>
    <row r="2304" spans="1:5" ht="15.75" customHeight="1">
      <c r="A2304" s="9" t="s">
        <v>4609</v>
      </c>
      <c r="B2304" s="9" t="s">
        <v>4610</v>
      </c>
      <c r="C2304" t="str">
        <f t="shared" si="105"/>
        <v>Ms</v>
      </c>
      <c r="D2304" t="str">
        <f t="shared" si="106"/>
        <v>Caron</v>
      </c>
      <c r="E2304" t="str">
        <f t="shared" si="107"/>
        <v>lyn L</v>
      </c>
    </row>
    <row r="2305" spans="1:5" ht="15.75" customHeight="1">
      <c r="A2305" s="9" t="s">
        <v>4611</v>
      </c>
      <c r="B2305" s="9" t="s">
        <v>4612</v>
      </c>
      <c r="C2305" t="str">
        <f t="shared" si="105"/>
        <v>ton</v>
      </c>
      <c r="D2305" t="str">
        <f t="shared" si="106"/>
        <v>Fulla</v>
      </c>
      <c r="E2305" t="str">
        <f t="shared" si="107"/>
        <v>Jim</v>
      </c>
    </row>
    <row r="2306" spans="1:5" ht="15.75" customHeight="1">
      <c r="A2306" s="9" t="s">
        <v>4613</v>
      </c>
      <c r="B2306" s="9" t="s">
        <v>4614</v>
      </c>
      <c r="C2306" t="str">
        <f t="shared" si="105"/>
        <v>en,</v>
      </c>
      <c r="D2306" t="str">
        <f t="shared" si="106"/>
        <v>Lindg</v>
      </c>
      <c r="E2306" t="str">
        <f t="shared" si="107"/>
        <v>hew S</v>
      </c>
    </row>
    <row r="2307" spans="1:5" ht="15.75" customHeight="1">
      <c r="A2307" s="9" t="s">
        <v>4615</v>
      </c>
      <c r="B2307" s="9" t="s">
        <v>4616</v>
      </c>
      <c r="C2307" t="str">
        <f t="shared" ref="C2307:C2336" si="108">MID(B2307,7,3)</f>
        <v>Mr</v>
      </c>
      <c r="D2307" t="str">
        <f t="shared" ref="D2307:D2336" si="109">LEFT(B2307,5)</f>
        <v>Akiha</v>
      </c>
      <c r="E2307" t="str">
        <f t="shared" ref="E2307:E2336" si="110">RIGHT(B2307,5)</f>
        <v>nneth</v>
      </c>
    </row>
    <row r="2308" spans="1:5" ht="15.75" customHeight="1">
      <c r="A2308" s="9" t="s">
        <v>4617</v>
      </c>
      <c r="B2308" s="9" t="s">
        <v>4618</v>
      </c>
      <c r="C2308" t="str">
        <f t="shared" si="108"/>
        <v>Ms</v>
      </c>
      <c r="D2308" t="str">
        <f t="shared" si="109"/>
        <v>Sweny</v>
      </c>
      <c r="E2308" t="str">
        <f t="shared" si="110"/>
        <v>ndrea</v>
      </c>
    </row>
    <row r="2309" spans="1:5" ht="15.75" customHeight="1">
      <c r="A2309" s="9" t="s">
        <v>4619</v>
      </c>
      <c r="B2309" s="9" t="s">
        <v>4620</v>
      </c>
      <c r="C2309" t="str">
        <f t="shared" si="108"/>
        <v>Ms</v>
      </c>
      <c r="D2309" t="str">
        <f t="shared" si="109"/>
        <v>Tobin</v>
      </c>
      <c r="E2309" t="str">
        <f t="shared" si="110"/>
        <v>stina</v>
      </c>
    </row>
    <row r="2310" spans="1:5" ht="15.75" customHeight="1">
      <c r="A2310" s="9" t="s">
        <v>4621</v>
      </c>
      <c r="B2310" s="9" t="s">
        <v>4622</v>
      </c>
      <c r="C2310" t="str">
        <f t="shared" si="108"/>
        <v>en,</v>
      </c>
      <c r="D2310" t="str">
        <f t="shared" si="109"/>
        <v>Peder</v>
      </c>
      <c r="E2310" t="str">
        <f t="shared" si="110"/>
        <v>isten</v>
      </c>
    </row>
    <row r="2311" spans="1:5" ht="15.75" customHeight="1">
      <c r="A2311" s="9" t="s">
        <v>4623</v>
      </c>
      <c r="B2311" s="9" t="s">
        <v>4624</v>
      </c>
      <c r="C2311" t="str">
        <f t="shared" si="108"/>
        <v>Mr</v>
      </c>
      <c r="D2311" t="str">
        <f t="shared" si="109"/>
        <v>Lynch</v>
      </c>
      <c r="E2311" t="str">
        <f t="shared" si="110"/>
        <v>tthew</v>
      </c>
    </row>
    <row r="2312" spans="1:5" ht="15.75" customHeight="1">
      <c r="A2312" s="9" t="s">
        <v>4625</v>
      </c>
      <c r="B2312" s="9" t="s">
        <v>4626</v>
      </c>
      <c r="C2312" t="str">
        <f t="shared" si="108"/>
        <v>Mrs</v>
      </c>
      <c r="D2312" t="str">
        <f t="shared" si="109"/>
        <v>Keys,</v>
      </c>
      <c r="E2312" t="str">
        <f t="shared" si="110"/>
        <v>hleen</v>
      </c>
    </row>
    <row r="2313" spans="1:5" ht="15.75" customHeight="1">
      <c r="A2313" s="9" t="s">
        <v>4627</v>
      </c>
      <c r="B2313" s="9" t="s">
        <v>4628</v>
      </c>
      <c r="C2313" t="str">
        <f t="shared" si="108"/>
        <v>, M</v>
      </c>
      <c r="D2313" t="str">
        <f t="shared" si="109"/>
        <v>Wilbu</v>
      </c>
      <c r="E2313" t="str">
        <f t="shared" si="110"/>
        <v>ndsey</v>
      </c>
    </row>
    <row r="2314" spans="1:5" ht="15.75" customHeight="1">
      <c r="A2314" s="9" t="s">
        <v>4629</v>
      </c>
      <c r="B2314" s="9" t="s">
        <v>4630</v>
      </c>
      <c r="C2314" t="str">
        <f t="shared" si="108"/>
        <v>, M</v>
      </c>
      <c r="D2314" t="str">
        <f t="shared" si="109"/>
        <v>Ditot</v>
      </c>
      <c r="E2314" t="str">
        <f t="shared" si="110"/>
        <v>obert</v>
      </c>
    </row>
    <row r="2315" spans="1:5" ht="15.75" customHeight="1">
      <c r="A2315" s="9" t="s">
        <v>4631</v>
      </c>
      <c r="B2315" s="9" t="s">
        <v>4632</v>
      </c>
      <c r="C2315" t="str">
        <f t="shared" si="108"/>
        <v>, M</v>
      </c>
      <c r="D2315" t="str">
        <f t="shared" si="109"/>
        <v>Horbo</v>
      </c>
      <c r="E2315" t="str">
        <f t="shared" si="110"/>
        <v>ah E.</v>
      </c>
    </row>
    <row r="2316" spans="1:5" ht="15.75" customHeight="1">
      <c r="A2316" s="9" t="s">
        <v>4633</v>
      </c>
      <c r="B2316" s="9" t="s">
        <v>4634</v>
      </c>
      <c r="C2316" t="str">
        <f t="shared" si="108"/>
        <v>ke,</v>
      </c>
      <c r="D2316" t="str">
        <f t="shared" si="109"/>
        <v>O'Rou</v>
      </c>
      <c r="E2316" t="str">
        <f t="shared" si="110"/>
        <v>nnery</v>
      </c>
    </row>
    <row r="2317" spans="1:5" ht="15.75" customHeight="1">
      <c r="A2317" s="9" t="s">
        <v>4635</v>
      </c>
      <c r="B2317" s="9" t="s">
        <v>4636</v>
      </c>
      <c r="C2317" t="str">
        <f t="shared" si="108"/>
        <v>ms,</v>
      </c>
      <c r="D2317" t="str">
        <f t="shared" si="109"/>
        <v>Willi</v>
      </c>
      <c r="E2317" t="str">
        <f t="shared" si="110"/>
        <v>ohn T</v>
      </c>
    </row>
    <row r="2318" spans="1:5" ht="15.75" customHeight="1">
      <c r="A2318" s="9" t="s">
        <v>4637</v>
      </c>
      <c r="B2318" s="9" t="s">
        <v>4638</v>
      </c>
      <c r="C2318" t="str">
        <f t="shared" si="108"/>
        <v>mi,</v>
      </c>
      <c r="D2318" t="str">
        <f t="shared" si="109"/>
        <v>Murak</v>
      </c>
      <c r="E2318" t="str">
        <f t="shared" si="110"/>
        <v>Koji</v>
      </c>
    </row>
    <row r="2319" spans="1:5" ht="15.75" customHeight="1">
      <c r="A2319" s="9" t="s">
        <v>4639</v>
      </c>
      <c r="B2319" s="9" t="s">
        <v>4640</v>
      </c>
      <c r="C2319" t="str">
        <f t="shared" si="108"/>
        <v>, M</v>
      </c>
      <c r="D2319" t="str">
        <f t="shared" si="109"/>
        <v>Gagno</v>
      </c>
      <c r="E2319" t="str">
        <f t="shared" si="110"/>
        <v>ice M</v>
      </c>
    </row>
    <row r="2320" spans="1:5" ht="15.75" customHeight="1">
      <c r="A2320" s="9" t="s">
        <v>4641</v>
      </c>
      <c r="B2320" s="9" t="s">
        <v>4642</v>
      </c>
      <c r="C2320" t="str">
        <f t="shared" si="108"/>
        <v>ann</v>
      </c>
      <c r="D2320" t="str">
        <f t="shared" si="109"/>
        <v>Peter</v>
      </c>
      <c r="E2320" t="str">
        <f t="shared" si="110"/>
        <v>re A.</v>
      </c>
    </row>
    <row r="2321" spans="1:5" ht="15.75" customHeight="1">
      <c r="A2321" s="9" t="s">
        <v>4643</v>
      </c>
      <c r="B2321" s="9" t="s">
        <v>4644</v>
      </c>
      <c r="C2321" t="str">
        <f t="shared" si="108"/>
        <v>-</v>
      </c>
      <c r="D2321" t="str">
        <f t="shared" si="109"/>
        <v>Grave</v>
      </c>
      <c r="E2321" t="str">
        <f t="shared" si="110"/>
        <v>Lindy</v>
      </c>
    </row>
    <row r="2322" spans="1:5" ht="15.75" customHeight="1">
      <c r="A2322" s="9" t="s">
        <v>4645</v>
      </c>
      <c r="B2322" s="9" t="s">
        <v>4646</v>
      </c>
      <c r="C2322" t="str">
        <f t="shared" si="108"/>
        <v>son</v>
      </c>
      <c r="D2322" t="str">
        <f t="shared" si="109"/>
        <v>Danie</v>
      </c>
      <c r="E2322" t="str">
        <f t="shared" si="110"/>
        <v>homas</v>
      </c>
    </row>
    <row r="2323" spans="1:5" ht="15.75" customHeight="1">
      <c r="A2323" s="9" t="s">
        <v>4647</v>
      </c>
      <c r="B2323" s="9" t="s">
        <v>4648</v>
      </c>
      <c r="C2323" t="str">
        <f t="shared" si="108"/>
        <v>, M</v>
      </c>
      <c r="D2323" t="str">
        <f t="shared" si="109"/>
        <v>Stree</v>
      </c>
      <c r="E2323" t="str">
        <f t="shared" si="110"/>
        <v>Holly</v>
      </c>
    </row>
    <row r="2324" spans="1:5" ht="15.75" customHeight="1">
      <c r="A2324" s="9" t="s">
        <v>4649</v>
      </c>
      <c r="B2324" s="9" t="s">
        <v>4650</v>
      </c>
      <c r="C2324" t="str">
        <f t="shared" si="108"/>
        <v>Mr.</v>
      </c>
      <c r="D2324" t="str">
        <f t="shared" si="109"/>
        <v>Buss,</v>
      </c>
      <c r="E2324" t="str">
        <f t="shared" si="110"/>
        <v>tthew</v>
      </c>
    </row>
    <row r="2325" spans="1:5" ht="15.75" customHeight="1">
      <c r="A2325" s="9" t="s">
        <v>4651</v>
      </c>
      <c r="B2325" s="9" t="s">
        <v>4652</v>
      </c>
      <c r="C2325" t="str">
        <f t="shared" si="108"/>
        <v>Ms</v>
      </c>
      <c r="D2325" t="str">
        <f t="shared" si="109"/>
        <v>Duffy</v>
      </c>
      <c r="E2325" t="str">
        <f t="shared" si="110"/>
        <v>han K</v>
      </c>
    </row>
    <row r="2326" spans="1:5" ht="15.75" customHeight="1">
      <c r="A2326" s="9" t="s">
        <v>4653</v>
      </c>
      <c r="B2326" s="9" t="s">
        <v>4654</v>
      </c>
      <c r="C2326" t="str">
        <f t="shared" si="108"/>
        <v>Mr</v>
      </c>
      <c r="D2326" t="str">
        <f t="shared" si="109"/>
        <v>Hines</v>
      </c>
      <c r="E2326" t="str">
        <f t="shared" si="110"/>
        <v>Fred</v>
      </c>
    </row>
    <row r="2327" spans="1:5" ht="15.75" customHeight="1">
      <c r="A2327" s="9" t="s">
        <v>4655</v>
      </c>
      <c r="B2327" s="9" t="s">
        <v>4656</v>
      </c>
      <c r="C2327" t="str">
        <f t="shared" si="108"/>
        <v>, M</v>
      </c>
      <c r="D2327" t="str">
        <f t="shared" si="109"/>
        <v>Castr</v>
      </c>
      <c r="E2327" t="str">
        <f t="shared" si="110"/>
        <v>stian</v>
      </c>
    </row>
    <row r="2328" spans="1:5" ht="15.75" customHeight="1">
      <c r="A2328" s="9" t="s">
        <v>4657</v>
      </c>
      <c r="B2328" s="9" t="s">
        <v>4658</v>
      </c>
      <c r="C2328" t="str">
        <f t="shared" si="108"/>
        <v>, M</v>
      </c>
      <c r="D2328" t="str">
        <f t="shared" si="109"/>
        <v>Howel</v>
      </c>
      <c r="E2328" t="str">
        <f t="shared" si="110"/>
        <v>Laura</v>
      </c>
    </row>
    <row r="2329" spans="1:5" ht="15.75" customHeight="1">
      <c r="A2329" s="9" t="s">
        <v>4659</v>
      </c>
      <c r="B2329" s="9" t="s">
        <v>4660</v>
      </c>
      <c r="C2329" t="str">
        <f t="shared" si="108"/>
        <v>Ms</v>
      </c>
      <c r="D2329" t="str">
        <f t="shared" si="109"/>
        <v>Avery</v>
      </c>
      <c r="E2329" t="str">
        <f t="shared" si="110"/>
        <v>icole</v>
      </c>
    </row>
    <row r="2330" spans="1:5" ht="15.75" customHeight="1">
      <c r="A2330" s="9" t="s">
        <v>4661</v>
      </c>
      <c r="B2330" s="9" t="s">
        <v>4662</v>
      </c>
      <c r="C2330" t="str">
        <f t="shared" si="108"/>
        <v>ki,</v>
      </c>
      <c r="D2330" t="str">
        <f t="shared" si="109"/>
        <v>Bohin</v>
      </c>
      <c r="E2330" t="str">
        <f t="shared" si="110"/>
        <v>san E</v>
      </c>
    </row>
    <row r="2331" spans="1:5" ht="15.75" customHeight="1">
      <c r="A2331" s="9" t="s">
        <v>4663</v>
      </c>
      <c r="B2331" s="9" t="s">
        <v>4664</v>
      </c>
      <c r="C2331" t="str">
        <f t="shared" si="108"/>
        <v>Ms</v>
      </c>
      <c r="D2331" t="str">
        <f t="shared" si="109"/>
        <v>Kohls</v>
      </c>
      <c r="E2331" t="str">
        <f t="shared" si="110"/>
        <v>Katy</v>
      </c>
    </row>
    <row r="2332" spans="1:5" ht="15.75" customHeight="1">
      <c r="A2332" s="9" t="s">
        <v>4665</v>
      </c>
      <c r="B2332" s="9" t="s">
        <v>4666</v>
      </c>
      <c r="C2332" t="str">
        <f t="shared" si="108"/>
        <v>ke,</v>
      </c>
      <c r="D2332" t="str">
        <f t="shared" si="109"/>
        <v>Briet</v>
      </c>
      <c r="E2332" t="str">
        <f t="shared" si="110"/>
        <v>ordan</v>
      </c>
    </row>
    <row r="2333" spans="1:5" ht="15.75" customHeight="1">
      <c r="A2333" s="9" t="s">
        <v>4667</v>
      </c>
      <c r="B2333" s="9" t="s">
        <v>4668</v>
      </c>
      <c r="C2333" t="str">
        <f t="shared" si="108"/>
        <v>s G</v>
      </c>
      <c r="D2333" t="str">
        <f t="shared" si="109"/>
        <v>River</v>
      </c>
      <c r="E2333" t="str">
        <f t="shared" si="110"/>
        <v>. Sr.</v>
      </c>
    </row>
    <row r="2334" spans="1:5" ht="15.75" customHeight="1">
      <c r="A2334" s="9" t="s">
        <v>4669</v>
      </c>
      <c r="B2334" s="9" t="s">
        <v>4670</v>
      </c>
      <c r="C2334" t="str">
        <f t="shared" si="108"/>
        <v>, M</v>
      </c>
      <c r="D2334" t="str">
        <f t="shared" si="109"/>
        <v>Alban</v>
      </c>
      <c r="E2334" t="str">
        <f t="shared" si="110"/>
        <v>Julie</v>
      </c>
    </row>
    <row r="2335" spans="1:5" ht="15.75" customHeight="1">
      <c r="A2335" s="9" t="s">
        <v>4671</v>
      </c>
      <c r="B2335" s="9" t="s">
        <v>4672</v>
      </c>
      <c r="C2335" t="str">
        <f t="shared" si="108"/>
        <v>ahl</v>
      </c>
      <c r="D2335" t="str">
        <f t="shared" si="109"/>
        <v>Rosen</v>
      </c>
      <c r="E2335" t="str">
        <f t="shared" si="110"/>
        <v>van P</v>
      </c>
    </row>
    <row r="2336" spans="1:5" ht="15.75" customHeight="1">
      <c r="A2336" s="9" t="s">
        <v>4673</v>
      </c>
      <c r="B2336" s="9" t="s">
        <v>4674</v>
      </c>
      <c r="C2336" t="str">
        <f t="shared" si="108"/>
        <v>, M</v>
      </c>
      <c r="D2336" t="str">
        <f t="shared" si="109"/>
        <v>Germa</v>
      </c>
      <c r="E2336" t="str">
        <f t="shared" si="110"/>
        <v>ron K</v>
      </c>
    </row>
  </sheetData>
  <pageMargins left="0.7" right="0.7" top="0.75" bottom="0.75" header="0" footer="0"/>
  <pageSetup orientation="landscape"/>
  <ignoredErrors>
    <ignoredError sqref="C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44"/>
  <sheetViews>
    <sheetView topLeftCell="A2168" workbookViewId="0">
      <selection activeCell="J2170" sqref="J2170"/>
    </sheetView>
  </sheetViews>
  <sheetFormatPr defaultColWidth="14.44140625" defaultRowHeight="15" customHeight="1"/>
  <cols>
    <col min="1" max="1" width="12.88671875" customWidth="1"/>
    <col min="2" max="3" width="8.6640625" customWidth="1"/>
    <col min="4" max="4" width="16" customWidth="1"/>
    <col min="5" max="5" width="11.6640625" customWidth="1"/>
    <col min="6" max="6" width="15.109375" customWidth="1"/>
    <col min="7" max="7" width="13.6640625" customWidth="1"/>
    <col min="8" max="8" width="24.33203125" style="2" customWidth="1"/>
    <col min="9" max="9" width="8.6640625" customWidth="1"/>
    <col min="10" max="10" width="13" customWidth="1"/>
    <col min="11" max="11" width="21" customWidth="1"/>
    <col min="12" max="27" width="8.6640625" customWidth="1"/>
  </cols>
  <sheetData>
    <row r="1" spans="1:10" ht="18.75" customHeight="1">
      <c r="A1" s="3" t="s">
        <v>0</v>
      </c>
      <c r="B1" s="4" t="s">
        <v>4675</v>
      </c>
      <c r="C1" s="4" t="s">
        <v>4676</v>
      </c>
      <c r="D1" s="5" t="s">
        <v>4677</v>
      </c>
      <c r="E1" s="4" t="s">
        <v>4678</v>
      </c>
      <c r="F1" s="4" t="s">
        <v>4679</v>
      </c>
      <c r="G1" s="4" t="s">
        <v>4680</v>
      </c>
      <c r="H1" s="4" t="s">
        <v>4681</v>
      </c>
      <c r="I1" s="4" t="s">
        <v>4682</v>
      </c>
      <c r="J1" s="4" t="s">
        <v>4683</v>
      </c>
    </row>
    <row r="2" spans="1:10" ht="15.6">
      <c r="A2" t="s">
        <v>4673</v>
      </c>
      <c r="B2">
        <v>47.41</v>
      </c>
      <c r="C2">
        <v>7.47</v>
      </c>
      <c r="D2" s="6" t="s">
        <v>4684</v>
      </c>
      <c r="E2" t="s">
        <v>4685</v>
      </c>
      <c r="F2" t="s">
        <v>4685</v>
      </c>
      <c r="G2" t="s">
        <v>4685</v>
      </c>
      <c r="H2" s="2">
        <v>0</v>
      </c>
      <c r="I2" t="s">
        <v>4686</v>
      </c>
      <c r="J2" t="str">
        <f>IF(B2&lt;=18.5,"under weight",IF(B2&gt;=18.5-24.9,"normal weight",IF(B2&gt;=25-29.9,"over weight",IF(B2&gt;=30,"obesity","unobesity"))))</f>
        <v>normal weight</v>
      </c>
    </row>
    <row r="3" spans="1:10" ht="15.6">
      <c r="A3" t="s">
        <v>4671</v>
      </c>
      <c r="B3">
        <v>30.36</v>
      </c>
      <c r="C3">
        <v>5.77</v>
      </c>
      <c r="D3" s="6" t="s">
        <v>4687</v>
      </c>
      <c r="E3" t="s">
        <v>4685</v>
      </c>
      <c r="F3" t="s">
        <v>4685</v>
      </c>
      <c r="G3" t="s">
        <v>4685</v>
      </c>
      <c r="H3" s="2">
        <v>0</v>
      </c>
      <c r="I3" t="s">
        <v>4686</v>
      </c>
      <c r="J3" t="str">
        <f t="shared" ref="J3:J21" si="0">IF(B3&gt;=18.5,"under weight",IF(B3&gt;=18.5-24.9,"normal weight",IF(B3&gt;=25-29.9,"over weight",IF(B3&gt;=30,"obesity","unobesity"))))</f>
        <v>under weight</v>
      </c>
    </row>
    <row r="4" spans="1:10" ht="15.6">
      <c r="A4" t="s">
        <v>4669</v>
      </c>
      <c r="B4">
        <v>34.484999999999999</v>
      </c>
      <c r="C4">
        <v>11.87</v>
      </c>
      <c r="D4" s="6" t="s">
        <v>4684</v>
      </c>
      <c r="E4" t="s">
        <v>4686</v>
      </c>
      <c r="F4" t="s">
        <v>4685</v>
      </c>
      <c r="G4" t="s">
        <v>4685</v>
      </c>
      <c r="H4" s="2">
        <v>2</v>
      </c>
      <c r="I4" t="s">
        <v>4686</v>
      </c>
      <c r="J4" t="str">
        <f t="shared" si="0"/>
        <v>under weight</v>
      </c>
    </row>
    <row r="5" spans="1:10" ht="15.6">
      <c r="A5" t="s">
        <v>4667</v>
      </c>
      <c r="B5">
        <v>38.094999999999999</v>
      </c>
      <c r="C5">
        <v>6.05</v>
      </c>
      <c r="D5" s="6" t="s">
        <v>4687</v>
      </c>
      <c r="E5" t="s">
        <v>4685</v>
      </c>
      <c r="F5" t="s">
        <v>4685</v>
      </c>
      <c r="G5" t="s">
        <v>4685</v>
      </c>
      <c r="H5" s="2">
        <v>0</v>
      </c>
      <c r="I5" t="s">
        <v>4686</v>
      </c>
      <c r="J5" t="str">
        <f t="shared" si="0"/>
        <v>under weight</v>
      </c>
    </row>
    <row r="6" spans="1:10" ht="15.6">
      <c r="A6" t="s">
        <v>4665</v>
      </c>
      <c r="B6">
        <v>35.53</v>
      </c>
      <c r="C6">
        <v>5.45</v>
      </c>
      <c r="D6" s="6" t="s">
        <v>4687</v>
      </c>
      <c r="E6" t="s">
        <v>4685</v>
      </c>
      <c r="F6" t="s">
        <v>4685</v>
      </c>
      <c r="G6" t="s">
        <v>4685</v>
      </c>
      <c r="H6" s="2">
        <v>0</v>
      </c>
      <c r="I6" t="s">
        <v>4686</v>
      </c>
      <c r="J6" t="str">
        <f t="shared" si="0"/>
        <v>under weight</v>
      </c>
    </row>
    <row r="7" spans="1:10" ht="15.6">
      <c r="A7" t="s">
        <v>4663</v>
      </c>
      <c r="B7">
        <v>32.799999999999997</v>
      </c>
      <c r="C7">
        <v>6.59</v>
      </c>
      <c r="D7" s="6" t="s">
        <v>4684</v>
      </c>
      <c r="E7" t="s">
        <v>4685</v>
      </c>
      <c r="F7" t="s">
        <v>4685</v>
      </c>
      <c r="G7" t="s">
        <v>4685</v>
      </c>
      <c r="H7" s="2">
        <v>0</v>
      </c>
      <c r="I7" t="s">
        <v>4686</v>
      </c>
      <c r="J7" t="str">
        <f t="shared" si="0"/>
        <v>under weight</v>
      </c>
    </row>
    <row r="8" spans="1:10" ht="15.6">
      <c r="A8" t="s">
        <v>4661</v>
      </c>
      <c r="B8">
        <v>36.4</v>
      </c>
      <c r="C8">
        <v>6.07</v>
      </c>
      <c r="D8" s="6" t="s">
        <v>4687</v>
      </c>
      <c r="E8" t="s">
        <v>4685</v>
      </c>
      <c r="F8" t="s">
        <v>4685</v>
      </c>
      <c r="G8" t="s">
        <v>4685</v>
      </c>
      <c r="H8" s="2">
        <v>0</v>
      </c>
      <c r="I8" t="s">
        <v>4686</v>
      </c>
      <c r="J8" t="str">
        <f t="shared" si="0"/>
        <v>under weight</v>
      </c>
    </row>
    <row r="9" spans="1:10" ht="15.6">
      <c r="A9" t="s">
        <v>4659</v>
      </c>
      <c r="B9">
        <v>36.96</v>
      </c>
      <c r="C9">
        <v>7.93</v>
      </c>
      <c r="D9" s="6" t="s">
        <v>4684</v>
      </c>
      <c r="E9" t="s">
        <v>4685</v>
      </c>
      <c r="F9" t="s">
        <v>4685</v>
      </c>
      <c r="G9" t="s">
        <v>4685</v>
      </c>
      <c r="H9" s="2">
        <v>3</v>
      </c>
      <c r="I9" t="s">
        <v>4686</v>
      </c>
      <c r="J9" t="str">
        <f t="shared" si="0"/>
        <v>under weight</v>
      </c>
    </row>
    <row r="10" spans="1:10" ht="15.6">
      <c r="A10" t="s">
        <v>4657</v>
      </c>
      <c r="B10">
        <v>41.14</v>
      </c>
      <c r="C10">
        <v>9.58</v>
      </c>
      <c r="D10" s="6" t="s">
        <v>4684</v>
      </c>
      <c r="E10" t="s">
        <v>4686</v>
      </c>
      <c r="F10" t="s">
        <v>4685</v>
      </c>
      <c r="G10" t="s">
        <v>4688</v>
      </c>
      <c r="H10" s="2">
        <v>1</v>
      </c>
      <c r="I10" t="s">
        <v>4686</v>
      </c>
      <c r="J10" t="str">
        <f t="shared" si="0"/>
        <v>under weight</v>
      </c>
    </row>
    <row r="11" spans="1:10" ht="15.6">
      <c r="A11" t="s">
        <v>4655</v>
      </c>
      <c r="B11">
        <v>38.06</v>
      </c>
      <c r="C11">
        <v>10.79</v>
      </c>
      <c r="D11" s="6" t="s">
        <v>4684</v>
      </c>
      <c r="E11" t="s">
        <v>4685</v>
      </c>
      <c r="F11" t="s">
        <v>4685</v>
      </c>
      <c r="G11" t="s">
        <v>4685</v>
      </c>
      <c r="H11" s="2">
        <v>0</v>
      </c>
      <c r="I11" t="s">
        <v>4686</v>
      </c>
      <c r="J11" t="str">
        <f t="shared" si="0"/>
        <v>under weight</v>
      </c>
    </row>
    <row r="12" spans="1:10" ht="14.4">
      <c r="A12" t="s">
        <v>4653</v>
      </c>
      <c r="B12">
        <v>37.700000000000003</v>
      </c>
      <c r="C12">
        <v>5.96</v>
      </c>
      <c r="E12" t="s">
        <v>4686</v>
      </c>
      <c r="F12" t="s">
        <v>4685</v>
      </c>
      <c r="G12" t="s">
        <v>4685</v>
      </c>
      <c r="H12" s="2">
        <v>2</v>
      </c>
      <c r="I12" t="s">
        <v>4686</v>
      </c>
      <c r="J12" t="str">
        <f t="shared" si="0"/>
        <v>under weight</v>
      </c>
    </row>
    <row r="13" spans="1:10" ht="15.6">
      <c r="A13" t="s">
        <v>4651</v>
      </c>
      <c r="B13">
        <v>42.13</v>
      </c>
      <c r="C13">
        <v>11.9</v>
      </c>
      <c r="D13" s="6" t="s">
        <v>4684</v>
      </c>
      <c r="E13" t="s">
        <v>4685</v>
      </c>
      <c r="F13" t="s">
        <v>4685</v>
      </c>
      <c r="G13" t="s">
        <v>4685</v>
      </c>
      <c r="H13" s="2">
        <v>0</v>
      </c>
      <c r="I13" t="s">
        <v>4686</v>
      </c>
      <c r="J13" t="str">
        <f t="shared" si="0"/>
        <v>under weight</v>
      </c>
    </row>
    <row r="14" spans="1:10" ht="15.6">
      <c r="A14" t="s">
        <v>4649</v>
      </c>
      <c r="B14">
        <v>40.92</v>
      </c>
      <c r="C14">
        <v>8.41</v>
      </c>
      <c r="D14" s="6" t="s">
        <v>4684</v>
      </c>
      <c r="E14" t="s">
        <v>4685</v>
      </c>
      <c r="F14" t="s">
        <v>4685</v>
      </c>
      <c r="G14" t="s">
        <v>4685</v>
      </c>
      <c r="H14" s="2">
        <v>0</v>
      </c>
      <c r="I14" t="s">
        <v>4686</v>
      </c>
      <c r="J14" t="str">
        <f t="shared" si="0"/>
        <v>under weight</v>
      </c>
    </row>
    <row r="15" spans="1:10" ht="15.6">
      <c r="A15" t="s">
        <v>4647</v>
      </c>
      <c r="B15">
        <v>40.564999999999998</v>
      </c>
      <c r="C15">
        <v>7.02</v>
      </c>
      <c r="D15" s="6" t="s">
        <v>4684</v>
      </c>
      <c r="E15" t="s">
        <v>4685</v>
      </c>
      <c r="F15" t="s">
        <v>4685</v>
      </c>
      <c r="G15" t="s">
        <v>4685</v>
      </c>
      <c r="H15" s="2">
        <v>0</v>
      </c>
      <c r="I15" t="s">
        <v>4686</v>
      </c>
      <c r="J15" t="str">
        <f t="shared" si="0"/>
        <v>under weight</v>
      </c>
    </row>
    <row r="16" spans="1:10" ht="15.6">
      <c r="A16" t="s">
        <v>4645</v>
      </c>
      <c r="B16">
        <v>36.384999999999998</v>
      </c>
      <c r="C16">
        <v>7.59</v>
      </c>
      <c r="D16" s="6" t="s">
        <v>4684</v>
      </c>
      <c r="E16" t="s">
        <v>4686</v>
      </c>
      <c r="F16" t="s">
        <v>4685</v>
      </c>
      <c r="G16" t="s">
        <v>4685</v>
      </c>
      <c r="H16" s="2">
        <v>2</v>
      </c>
      <c r="I16" t="s">
        <v>4686</v>
      </c>
      <c r="J16" t="str">
        <f t="shared" si="0"/>
        <v>under weight</v>
      </c>
    </row>
    <row r="17" spans="1:10" ht="15.6">
      <c r="A17" t="s">
        <v>4643</v>
      </c>
      <c r="B17">
        <v>39.9</v>
      </c>
      <c r="C17">
        <v>11.32</v>
      </c>
      <c r="D17" s="6" t="s">
        <v>4684</v>
      </c>
      <c r="E17" t="s">
        <v>4685</v>
      </c>
      <c r="F17" t="s">
        <v>4685</v>
      </c>
      <c r="G17" t="s">
        <v>4685</v>
      </c>
      <c r="H17" s="2">
        <v>0</v>
      </c>
      <c r="I17" t="s">
        <v>4686</v>
      </c>
      <c r="J17" t="str">
        <f t="shared" si="0"/>
        <v>under weight</v>
      </c>
    </row>
    <row r="18" spans="1:10" ht="15.6">
      <c r="A18" t="s">
        <v>4641</v>
      </c>
      <c r="B18">
        <v>33.799999999999997</v>
      </c>
      <c r="C18">
        <v>7.67</v>
      </c>
      <c r="D18" s="6" t="s">
        <v>4684</v>
      </c>
      <c r="E18" t="s">
        <v>4685</v>
      </c>
      <c r="F18" t="s">
        <v>4685</v>
      </c>
      <c r="G18" t="s">
        <v>4685</v>
      </c>
      <c r="H18" s="2">
        <v>3</v>
      </c>
      <c r="I18" t="s">
        <v>4686</v>
      </c>
      <c r="J18" t="str">
        <f t="shared" si="0"/>
        <v>under weight</v>
      </c>
    </row>
    <row r="19" spans="1:10" ht="15.6">
      <c r="A19" t="s">
        <v>4639</v>
      </c>
      <c r="B19">
        <v>36.765000000000001</v>
      </c>
      <c r="C19">
        <v>7.29</v>
      </c>
      <c r="D19" s="6" t="s">
        <v>4684</v>
      </c>
      <c r="E19" t="s">
        <v>4686</v>
      </c>
      <c r="F19" t="s">
        <v>4685</v>
      </c>
      <c r="G19" t="s">
        <v>4688</v>
      </c>
      <c r="H19" s="2">
        <v>1</v>
      </c>
      <c r="I19" t="s">
        <v>4686</v>
      </c>
      <c r="J19" t="str">
        <f t="shared" si="0"/>
        <v>under weight</v>
      </c>
    </row>
    <row r="20" spans="1:10" ht="14.4">
      <c r="A20" t="s">
        <v>4637</v>
      </c>
      <c r="B20">
        <v>36.954999999999998</v>
      </c>
      <c r="C20">
        <v>4.72</v>
      </c>
      <c r="E20" t="s">
        <v>4686</v>
      </c>
      <c r="F20" t="s">
        <v>4685</v>
      </c>
      <c r="G20" t="s">
        <v>4685</v>
      </c>
      <c r="H20" s="2">
        <v>1</v>
      </c>
      <c r="I20" t="s">
        <v>4686</v>
      </c>
      <c r="J20" t="str">
        <f t="shared" si="0"/>
        <v>under weight</v>
      </c>
    </row>
    <row r="21" spans="1:10" ht="15.75" customHeight="1">
      <c r="A21" t="s">
        <v>4635</v>
      </c>
      <c r="B21">
        <v>42.9</v>
      </c>
      <c r="C21">
        <v>11.41</v>
      </c>
      <c r="D21" s="6" t="s">
        <v>4684</v>
      </c>
      <c r="E21" t="s">
        <v>4685</v>
      </c>
      <c r="F21" t="s">
        <v>4685</v>
      </c>
      <c r="G21" t="s">
        <v>4685</v>
      </c>
      <c r="H21" s="2">
        <v>0</v>
      </c>
      <c r="I21" t="s">
        <v>4686</v>
      </c>
      <c r="J21" t="str">
        <f t="shared" si="0"/>
        <v>under weight</v>
      </c>
    </row>
    <row r="22" spans="1:10" ht="15.75" customHeight="1">
      <c r="A22" t="s">
        <v>4633</v>
      </c>
      <c r="B22">
        <v>36.299999999999997</v>
      </c>
      <c r="C22">
        <v>11.5</v>
      </c>
      <c r="D22" s="6" t="s">
        <v>4684</v>
      </c>
      <c r="E22" t="s">
        <v>4686</v>
      </c>
      <c r="F22" t="s">
        <v>4685</v>
      </c>
      <c r="G22" t="s">
        <v>4685</v>
      </c>
      <c r="H22" s="2">
        <v>2</v>
      </c>
      <c r="I22" t="s">
        <v>4686</v>
      </c>
      <c r="J22" t="str">
        <f t="shared" ref="J22:J276" si="1">IF(B22&lt;=18.5,"underweight",IF(B22&gt;=18.5-24.9,"normalweight",IF(B22&gt;=25-29.9,"overweight","obesity")))</f>
        <v>normalweight</v>
      </c>
    </row>
    <row r="23" spans="1:10" ht="15.75" customHeight="1">
      <c r="A23" t="s">
        <v>4631</v>
      </c>
      <c r="B23">
        <v>32.200000000000003</v>
      </c>
      <c r="C23">
        <v>6.22</v>
      </c>
      <c r="E23" t="s">
        <v>4686</v>
      </c>
      <c r="F23" t="s">
        <v>4685</v>
      </c>
      <c r="G23" t="s">
        <v>4685</v>
      </c>
      <c r="H23" s="2">
        <v>2</v>
      </c>
      <c r="I23" t="s">
        <v>4686</v>
      </c>
      <c r="J23" t="str">
        <f t="shared" si="1"/>
        <v>normalweight</v>
      </c>
    </row>
    <row r="24" spans="1:10" ht="15.75" customHeight="1">
      <c r="A24" t="s">
        <v>4629</v>
      </c>
      <c r="B24">
        <v>31.3</v>
      </c>
      <c r="C24">
        <v>11.38</v>
      </c>
      <c r="D24" s="6" t="s">
        <v>4684</v>
      </c>
      <c r="E24" t="s">
        <v>4685</v>
      </c>
      <c r="F24" t="s">
        <v>4685</v>
      </c>
      <c r="G24" t="s">
        <v>4685</v>
      </c>
      <c r="H24" s="2">
        <v>3</v>
      </c>
      <c r="I24" t="s">
        <v>4686</v>
      </c>
      <c r="J24" t="str">
        <f t="shared" si="1"/>
        <v>normalweight</v>
      </c>
    </row>
    <row r="25" spans="1:10" ht="15.75" customHeight="1">
      <c r="A25" t="s">
        <v>4627</v>
      </c>
      <c r="B25">
        <v>41.8</v>
      </c>
      <c r="C25">
        <v>7.89</v>
      </c>
      <c r="D25" s="6" t="s">
        <v>4684</v>
      </c>
      <c r="E25" t="s">
        <v>4686</v>
      </c>
      <c r="F25" t="s">
        <v>4685</v>
      </c>
      <c r="G25" t="s">
        <v>4685</v>
      </c>
      <c r="H25" s="2">
        <v>2</v>
      </c>
      <c r="I25" t="s">
        <v>4686</v>
      </c>
      <c r="J25" t="str">
        <f t="shared" si="1"/>
        <v>normalweight</v>
      </c>
    </row>
    <row r="26" spans="1:10" ht="15.75" customHeight="1">
      <c r="A26" t="s">
        <v>4625</v>
      </c>
      <c r="B26">
        <v>35.090000000000003</v>
      </c>
      <c r="C26">
        <v>4.38</v>
      </c>
      <c r="E26" t="s">
        <v>4686</v>
      </c>
      <c r="F26" t="s">
        <v>4685</v>
      </c>
      <c r="G26" t="s">
        <v>4685</v>
      </c>
      <c r="H26" s="2">
        <v>2</v>
      </c>
      <c r="I26" t="s">
        <v>4686</v>
      </c>
      <c r="J26" t="str">
        <f t="shared" si="1"/>
        <v>normalweight</v>
      </c>
    </row>
    <row r="27" spans="1:10" ht="15.75" customHeight="1">
      <c r="A27" t="s">
        <v>4623</v>
      </c>
      <c r="B27">
        <v>33.880000000000003</v>
      </c>
      <c r="C27">
        <v>7.01</v>
      </c>
      <c r="D27" s="6" t="s">
        <v>4684</v>
      </c>
      <c r="E27" t="s">
        <v>4685</v>
      </c>
      <c r="F27" t="s">
        <v>4685</v>
      </c>
      <c r="G27" t="s">
        <v>4685</v>
      </c>
      <c r="H27" s="2">
        <v>3</v>
      </c>
      <c r="I27" t="s">
        <v>4686</v>
      </c>
      <c r="J27" t="str">
        <f t="shared" si="1"/>
        <v>normalweight</v>
      </c>
    </row>
    <row r="28" spans="1:10" ht="15.75" customHeight="1">
      <c r="A28" t="s">
        <v>4621</v>
      </c>
      <c r="B28">
        <v>30.875</v>
      </c>
      <c r="C28">
        <v>11.88</v>
      </c>
      <c r="D28" s="6" t="s">
        <v>4684</v>
      </c>
      <c r="E28" t="s">
        <v>4685</v>
      </c>
      <c r="F28" t="s">
        <v>4685</v>
      </c>
      <c r="G28" t="s">
        <v>4685</v>
      </c>
      <c r="H28" s="2">
        <v>0</v>
      </c>
      <c r="I28" t="s">
        <v>4686</v>
      </c>
      <c r="J28" t="str">
        <f t="shared" si="1"/>
        <v>normalweight</v>
      </c>
    </row>
    <row r="29" spans="1:10" ht="15.75" customHeight="1">
      <c r="A29" t="s">
        <v>4619</v>
      </c>
      <c r="B29">
        <v>36.86</v>
      </c>
      <c r="C29">
        <v>5.19</v>
      </c>
      <c r="E29" t="s">
        <v>4686</v>
      </c>
      <c r="F29" t="s">
        <v>4685</v>
      </c>
      <c r="G29" t="s">
        <v>4688</v>
      </c>
      <c r="H29" s="2">
        <v>1</v>
      </c>
      <c r="I29" t="s">
        <v>4686</v>
      </c>
      <c r="J29" t="str">
        <f t="shared" si="1"/>
        <v>normalweight</v>
      </c>
    </row>
    <row r="30" spans="1:10" ht="15.75" customHeight="1">
      <c r="A30" t="s">
        <v>4617</v>
      </c>
      <c r="B30">
        <v>35.86</v>
      </c>
      <c r="C30">
        <v>6.74</v>
      </c>
      <c r="D30" s="6" t="s">
        <v>4684</v>
      </c>
      <c r="E30" t="s">
        <v>4686</v>
      </c>
      <c r="F30" t="s">
        <v>4685</v>
      </c>
      <c r="G30" t="s">
        <v>4685</v>
      </c>
      <c r="H30" s="2">
        <v>2</v>
      </c>
      <c r="I30" t="s">
        <v>4686</v>
      </c>
      <c r="J30" t="str">
        <f t="shared" si="1"/>
        <v>normalweight</v>
      </c>
    </row>
    <row r="31" spans="1:10" ht="15.75" customHeight="1">
      <c r="A31" t="s">
        <v>4615</v>
      </c>
      <c r="B31">
        <v>37.049999999999997</v>
      </c>
      <c r="C31">
        <v>8.44</v>
      </c>
      <c r="D31" s="6" t="s">
        <v>4684</v>
      </c>
      <c r="E31" t="s">
        <v>4685</v>
      </c>
      <c r="F31" t="s">
        <v>4685</v>
      </c>
      <c r="G31" t="s">
        <v>4685</v>
      </c>
      <c r="H31" s="2">
        <v>0</v>
      </c>
      <c r="I31" t="s">
        <v>4686</v>
      </c>
      <c r="J31" t="str">
        <f t="shared" si="1"/>
        <v>normalweight</v>
      </c>
    </row>
    <row r="32" spans="1:10" ht="15.75" customHeight="1">
      <c r="A32" t="s">
        <v>4613</v>
      </c>
      <c r="B32">
        <v>43.89</v>
      </c>
      <c r="C32">
        <v>8.7100000000000009</v>
      </c>
      <c r="D32" s="6" t="s">
        <v>4684</v>
      </c>
      <c r="E32" t="s">
        <v>4685</v>
      </c>
      <c r="F32" t="s">
        <v>4685</v>
      </c>
      <c r="G32" t="s">
        <v>4685</v>
      </c>
      <c r="H32" s="2">
        <v>0</v>
      </c>
      <c r="I32" t="s">
        <v>4686</v>
      </c>
      <c r="J32" t="str">
        <f t="shared" si="1"/>
        <v>normalweight</v>
      </c>
    </row>
    <row r="33" spans="1:10" ht="15.75" customHeight="1">
      <c r="A33" t="s">
        <v>4611</v>
      </c>
      <c r="B33">
        <v>42.35</v>
      </c>
      <c r="C33">
        <v>5.08</v>
      </c>
      <c r="E33" t="s">
        <v>4686</v>
      </c>
      <c r="F33" t="s">
        <v>4685</v>
      </c>
      <c r="G33" t="s">
        <v>4685</v>
      </c>
      <c r="H33" s="2">
        <v>0</v>
      </c>
      <c r="I33" t="s">
        <v>4686</v>
      </c>
      <c r="J33" t="str">
        <f t="shared" si="1"/>
        <v>normalweight</v>
      </c>
    </row>
    <row r="34" spans="1:10" ht="15.75" customHeight="1">
      <c r="A34" t="s">
        <v>4609</v>
      </c>
      <c r="B34">
        <v>31.35</v>
      </c>
      <c r="C34">
        <v>6.86</v>
      </c>
      <c r="D34" s="6" t="s">
        <v>4684</v>
      </c>
      <c r="E34" t="s">
        <v>4685</v>
      </c>
      <c r="F34" t="s">
        <v>4685</v>
      </c>
      <c r="G34" t="s">
        <v>4685</v>
      </c>
      <c r="H34" s="2">
        <v>0</v>
      </c>
      <c r="I34" t="s">
        <v>4686</v>
      </c>
      <c r="J34" t="str">
        <f t="shared" si="1"/>
        <v>normalweight</v>
      </c>
    </row>
    <row r="35" spans="1:10" ht="15.75" customHeight="1">
      <c r="A35" t="s">
        <v>4607</v>
      </c>
      <c r="B35">
        <v>47.6</v>
      </c>
      <c r="C35">
        <v>5.95</v>
      </c>
      <c r="E35" t="s">
        <v>4686</v>
      </c>
      <c r="F35" t="s">
        <v>4685</v>
      </c>
      <c r="G35" t="s">
        <v>4685</v>
      </c>
      <c r="H35" s="2">
        <v>0</v>
      </c>
      <c r="I35" t="s">
        <v>4686</v>
      </c>
      <c r="J35" t="str">
        <f t="shared" si="1"/>
        <v>normalweight</v>
      </c>
    </row>
    <row r="36" spans="1:10" ht="15.75" customHeight="1">
      <c r="A36" t="s">
        <v>4605</v>
      </c>
      <c r="B36">
        <v>46.2</v>
      </c>
      <c r="C36">
        <v>6.09</v>
      </c>
      <c r="E36" t="s">
        <v>4685</v>
      </c>
      <c r="F36" t="s">
        <v>4685</v>
      </c>
      <c r="G36" t="s">
        <v>4688</v>
      </c>
      <c r="H36" s="2">
        <v>1</v>
      </c>
      <c r="I36" t="s">
        <v>4686</v>
      </c>
      <c r="J36" t="str">
        <f t="shared" si="1"/>
        <v>normalweight</v>
      </c>
    </row>
    <row r="37" spans="1:10" ht="15.75" customHeight="1">
      <c r="A37" t="s">
        <v>4603</v>
      </c>
      <c r="B37">
        <v>32.015000000000001</v>
      </c>
      <c r="C37">
        <v>11.75</v>
      </c>
      <c r="D37" s="6" t="s">
        <v>4684</v>
      </c>
      <c r="E37" t="s">
        <v>4685</v>
      </c>
      <c r="F37" t="s">
        <v>4685</v>
      </c>
      <c r="G37" t="s">
        <v>4685</v>
      </c>
      <c r="H37" s="2">
        <v>0</v>
      </c>
      <c r="I37" t="s">
        <v>4686</v>
      </c>
      <c r="J37" t="str">
        <f t="shared" si="1"/>
        <v>normalweight</v>
      </c>
    </row>
    <row r="38" spans="1:10" ht="15.75" customHeight="1">
      <c r="A38" t="s">
        <v>4601</v>
      </c>
      <c r="B38">
        <v>40.564999999999998</v>
      </c>
      <c r="C38">
        <v>7.37</v>
      </c>
      <c r="D38" s="6" t="s">
        <v>4684</v>
      </c>
      <c r="E38" t="s">
        <v>4685</v>
      </c>
      <c r="F38" t="s">
        <v>4685</v>
      </c>
      <c r="G38" t="s">
        <v>4685</v>
      </c>
      <c r="H38" s="2">
        <v>0</v>
      </c>
      <c r="I38" t="s">
        <v>4686</v>
      </c>
      <c r="J38" t="str">
        <f t="shared" si="1"/>
        <v>normalweight</v>
      </c>
    </row>
    <row r="39" spans="1:10" ht="15.75" customHeight="1">
      <c r="A39" t="s">
        <v>4599</v>
      </c>
      <c r="B39">
        <v>32.450000000000003</v>
      </c>
      <c r="C39">
        <v>11.91</v>
      </c>
      <c r="D39" s="6" t="s">
        <v>4684</v>
      </c>
      <c r="E39" t="s">
        <v>4685</v>
      </c>
      <c r="F39" t="s">
        <v>4685</v>
      </c>
      <c r="G39" t="s">
        <v>4685</v>
      </c>
      <c r="H39" s="2">
        <v>0</v>
      </c>
      <c r="I39" t="s">
        <v>4686</v>
      </c>
      <c r="J39" t="str">
        <f t="shared" si="1"/>
        <v>normalweight</v>
      </c>
    </row>
    <row r="40" spans="1:10" ht="15.75" customHeight="1">
      <c r="A40" t="s">
        <v>4597</v>
      </c>
      <c r="B40">
        <v>34.96</v>
      </c>
      <c r="C40">
        <v>6.52</v>
      </c>
      <c r="D40" s="6" t="s">
        <v>4684</v>
      </c>
      <c r="E40" t="s">
        <v>4685</v>
      </c>
      <c r="F40" t="s">
        <v>4685</v>
      </c>
      <c r="G40" t="s">
        <v>4685</v>
      </c>
      <c r="H40" s="2">
        <v>0</v>
      </c>
      <c r="I40" t="s">
        <v>4686</v>
      </c>
      <c r="J40" t="str">
        <f t="shared" si="1"/>
        <v>normalweight</v>
      </c>
    </row>
    <row r="41" spans="1:10" ht="15.75" customHeight="1">
      <c r="A41" t="s">
        <v>4595</v>
      </c>
      <c r="B41">
        <v>35.5</v>
      </c>
      <c r="C41">
        <v>5.14</v>
      </c>
      <c r="E41" t="s">
        <v>4685</v>
      </c>
      <c r="F41" t="s">
        <v>4685</v>
      </c>
      <c r="G41" t="s">
        <v>4688</v>
      </c>
      <c r="H41" s="2">
        <v>1</v>
      </c>
      <c r="I41" t="s">
        <v>4686</v>
      </c>
      <c r="J41" t="str">
        <f t="shared" si="1"/>
        <v>normalweight</v>
      </c>
    </row>
    <row r="42" spans="1:10" ht="15.75" customHeight="1">
      <c r="A42" t="s">
        <v>4591</v>
      </c>
      <c r="B42">
        <v>52.58</v>
      </c>
      <c r="C42">
        <v>4.1900000000000004</v>
      </c>
      <c r="E42" t="s">
        <v>4685</v>
      </c>
      <c r="F42" t="s">
        <v>4686</v>
      </c>
      <c r="G42" t="s">
        <v>4685</v>
      </c>
      <c r="H42" s="2">
        <v>1</v>
      </c>
      <c r="I42" t="s">
        <v>4686</v>
      </c>
      <c r="J42" t="str">
        <f t="shared" si="1"/>
        <v>normalweight</v>
      </c>
    </row>
    <row r="43" spans="1:10" ht="15.75" customHeight="1">
      <c r="A43" t="s">
        <v>4589</v>
      </c>
      <c r="B43">
        <v>35.200000000000003</v>
      </c>
      <c r="C43">
        <v>11.68</v>
      </c>
      <c r="D43" s="6" t="s">
        <v>4684</v>
      </c>
      <c r="E43" t="s">
        <v>4686</v>
      </c>
      <c r="F43" t="s">
        <v>4685</v>
      </c>
      <c r="G43" t="s">
        <v>4685</v>
      </c>
      <c r="H43" s="2">
        <v>0</v>
      </c>
      <c r="I43" t="s">
        <v>4686</v>
      </c>
      <c r="J43" t="str">
        <f t="shared" si="1"/>
        <v>normalweight</v>
      </c>
    </row>
    <row r="44" spans="1:10" ht="15.75" customHeight="1">
      <c r="A44" t="s">
        <v>4587</v>
      </c>
      <c r="B44">
        <v>38.06</v>
      </c>
      <c r="C44">
        <v>6.98</v>
      </c>
      <c r="D44" s="6" t="s">
        <v>4684</v>
      </c>
      <c r="E44" t="s">
        <v>4685</v>
      </c>
      <c r="F44" t="s">
        <v>4685</v>
      </c>
      <c r="G44" t="s">
        <v>4685</v>
      </c>
      <c r="H44" s="2">
        <v>0</v>
      </c>
      <c r="I44" t="s">
        <v>4686</v>
      </c>
      <c r="J44" t="str">
        <f t="shared" si="1"/>
        <v>normalweight</v>
      </c>
    </row>
    <row r="45" spans="1:10" ht="15.75" customHeight="1">
      <c r="A45" t="s">
        <v>4585</v>
      </c>
      <c r="B45">
        <v>34.21</v>
      </c>
      <c r="C45">
        <v>8.34</v>
      </c>
      <c r="D45" s="6" t="s">
        <v>4684</v>
      </c>
      <c r="E45" t="s">
        <v>4685</v>
      </c>
      <c r="F45" t="s">
        <v>4685</v>
      </c>
      <c r="G45" t="s">
        <v>4685</v>
      </c>
      <c r="H45" s="2">
        <v>0</v>
      </c>
      <c r="I45" t="s">
        <v>4686</v>
      </c>
      <c r="J45" t="str">
        <f t="shared" si="1"/>
        <v>normalweight</v>
      </c>
    </row>
    <row r="46" spans="1:10" ht="15.75" customHeight="1">
      <c r="A46" t="s">
        <v>4435</v>
      </c>
      <c r="B46">
        <v>38.94</v>
      </c>
      <c r="C46">
        <v>8.49</v>
      </c>
      <c r="D46" s="6" t="s">
        <v>4684</v>
      </c>
      <c r="E46" t="s">
        <v>4686</v>
      </c>
      <c r="F46" t="s">
        <v>4685</v>
      </c>
      <c r="G46" t="s">
        <v>4685</v>
      </c>
      <c r="H46" s="2">
        <v>1</v>
      </c>
      <c r="I46" t="s">
        <v>4686</v>
      </c>
      <c r="J46" t="str">
        <f t="shared" si="1"/>
        <v>normalweight</v>
      </c>
    </row>
    <row r="47" spans="1:10" ht="15.75" customHeight="1">
      <c r="A47" t="s">
        <v>4583</v>
      </c>
      <c r="B47">
        <v>30.21</v>
      </c>
      <c r="C47">
        <v>5.34</v>
      </c>
      <c r="E47" t="s">
        <v>4686</v>
      </c>
      <c r="F47" t="s">
        <v>4685</v>
      </c>
      <c r="G47" t="s">
        <v>4685</v>
      </c>
      <c r="H47" s="2">
        <v>1</v>
      </c>
      <c r="I47" t="s">
        <v>4686</v>
      </c>
      <c r="J47" t="str">
        <f t="shared" si="1"/>
        <v>normalweight</v>
      </c>
    </row>
    <row r="48" spans="1:10" ht="15.75" customHeight="1">
      <c r="A48" t="s">
        <v>4581</v>
      </c>
      <c r="B48">
        <v>33.630000000000003</v>
      </c>
      <c r="C48">
        <v>4.43</v>
      </c>
      <c r="E48" t="s">
        <v>4686</v>
      </c>
      <c r="F48" t="s">
        <v>4685</v>
      </c>
      <c r="G48" t="s">
        <v>4685</v>
      </c>
      <c r="H48" s="2">
        <v>2</v>
      </c>
      <c r="I48" t="s">
        <v>4686</v>
      </c>
      <c r="J48" t="str">
        <f t="shared" si="1"/>
        <v>normalweight</v>
      </c>
    </row>
    <row r="49" spans="1:10" ht="15.75" customHeight="1">
      <c r="A49" t="s">
        <v>4579</v>
      </c>
      <c r="B49">
        <v>40.369999999999997</v>
      </c>
      <c r="C49">
        <v>4.47</v>
      </c>
      <c r="E49" t="s">
        <v>4685</v>
      </c>
      <c r="F49" t="s">
        <v>4685</v>
      </c>
      <c r="G49" t="s">
        <v>4685</v>
      </c>
      <c r="H49" s="2">
        <v>0</v>
      </c>
      <c r="I49" t="s">
        <v>4686</v>
      </c>
      <c r="J49" t="str">
        <f t="shared" si="1"/>
        <v>normalweight</v>
      </c>
    </row>
    <row r="50" spans="1:10" ht="15.75" customHeight="1">
      <c r="A50" t="s">
        <v>4577</v>
      </c>
      <c r="B50">
        <v>53.09</v>
      </c>
      <c r="C50">
        <v>4.82</v>
      </c>
      <c r="E50" t="s">
        <v>4686</v>
      </c>
      <c r="F50" t="s">
        <v>4685</v>
      </c>
      <c r="G50" t="s">
        <v>4685</v>
      </c>
      <c r="H50" s="2">
        <v>2</v>
      </c>
      <c r="I50" t="s">
        <v>4686</v>
      </c>
      <c r="J50" t="str">
        <f t="shared" si="1"/>
        <v>normalweight</v>
      </c>
    </row>
    <row r="51" spans="1:10" ht="15.75" customHeight="1">
      <c r="A51" t="s">
        <v>4575</v>
      </c>
      <c r="B51">
        <v>31.79</v>
      </c>
      <c r="C51">
        <v>5.51</v>
      </c>
      <c r="E51" t="s">
        <v>4686</v>
      </c>
      <c r="F51" t="s">
        <v>4685</v>
      </c>
      <c r="G51" t="s">
        <v>4685</v>
      </c>
      <c r="H51" s="2">
        <v>2</v>
      </c>
      <c r="I51" t="s">
        <v>4686</v>
      </c>
      <c r="J51" t="str">
        <f t="shared" si="1"/>
        <v>normalweight</v>
      </c>
    </row>
    <row r="52" spans="1:10" ht="15.75" customHeight="1">
      <c r="A52" t="s">
        <v>4573</v>
      </c>
      <c r="B52">
        <v>41.895000000000003</v>
      </c>
      <c r="C52">
        <v>10.87</v>
      </c>
      <c r="D52" s="6" t="s">
        <v>4684</v>
      </c>
      <c r="E52" t="s">
        <v>4686</v>
      </c>
      <c r="F52" t="s">
        <v>4685</v>
      </c>
      <c r="G52" t="s">
        <v>4685</v>
      </c>
      <c r="H52" s="2">
        <v>1</v>
      </c>
      <c r="I52" t="s">
        <v>4686</v>
      </c>
      <c r="J52" t="str">
        <f t="shared" si="1"/>
        <v>normalweight</v>
      </c>
    </row>
    <row r="53" spans="1:10" ht="15.75" customHeight="1">
      <c r="A53" t="s">
        <v>4571</v>
      </c>
      <c r="B53">
        <v>31.16</v>
      </c>
      <c r="C53">
        <v>9.34</v>
      </c>
      <c r="D53" s="6" t="s">
        <v>4684</v>
      </c>
      <c r="E53" t="s">
        <v>4685</v>
      </c>
      <c r="F53" t="s">
        <v>4685</v>
      </c>
      <c r="G53" t="s">
        <v>4685</v>
      </c>
      <c r="H53" s="2">
        <v>0</v>
      </c>
      <c r="I53" t="s">
        <v>4686</v>
      </c>
      <c r="J53" t="str">
        <f t="shared" si="1"/>
        <v>normalweight</v>
      </c>
    </row>
    <row r="54" spans="1:10" ht="15.75" customHeight="1">
      <c r="A54" t="s">
        <v>4569</v>
      </c>
      <c r="B54">
        <v>34.104999999999997</v>
      </c>
      <c r="C54">
        <v>5.03</v>
      </c>
      <c r="E54" t="s">
        <v>4686</v>
      </c>
      <c r="F54" t="s">
        <v>4685</v>
      </c>
      <c r="G54" t="s">
        <v>4688</v>
      </c>
      <c r="H54" s="2">
        <v>1</v>
      </c>
      <c r="I54" t="s">
        <v>4686</v>
      </c>
      <c r="J54" t="str">
        <f t="shared" si="1"/>
        <v>normalweight</v>
      </c>
    </row>
    <row r="55" spans="1:10" ht="15.75" customHeight="1">
      <c r="A55" t="s">
        <v>4593</v>
      </c>
      <c r="B55">
        <v>51.93</v>
      </c>
      <c r="C55">
        <v>11.05</v>
      </c>
      <c r="D55" s="6" t="s">
        <v>4684</v>
      </c>
      <c r="E55" t="s">
        <v>4685</v>
      </c>
      <c r="F55" t="s">
        <v>4685</v>
      </c>
      <c r="G55" t="s">
        <v>4685</v>
      </c>
      <c r="H55" s="2">
        <v>0</v>
      </c>
      <c r="I55" t="s">
        <v>4686</v>
      </c>
      <c r="J55" t="str">
        <f t="shared" si="1"/>
        <v>normalweight</v>
      </c>
    </row>
    <row r="56" spans="1:10" ht="15.75" customHeight="1">
      <c r="A56" t="s">
        <v>4567</v>
      </c>
      <c r="B56">
        <v>38.950000000000003</v>
      </c>
      <c r="C56">
        <v>11.95</v>
      </c>
      <c r="D56" s="6" t="s">
        <v>4684</v>
      </c>
      <c r="E56" t="s">
        <v>4685</v>
      </c>
      <c r="F56" t="s">
        <v>4685</v>
      </c>
      <c r="G56" t="s">
        <v>4685</v>
      </c>
      <c r="H56" s="2">
        <v>0</v>
      </c>
      <c r="I56" t="s">
        <v>4686</v>
      </c>
      <c r="J56" t="str">
        <f t="shared" si="1"/>
        <v>normalweight</v>
      </c>
    </row>
    <row r="57" spans="1:10" ht="15.75" customHeight="1">
      <c r="A57" t="s">
        <v>4565</v>
      </c>
      <c r="B57">
        <v>36.630000000000003</v>
      </c>
      <c r="C57">
        <v>7.72</v>
      </c>
      <c r="D57" s="6" t="s">
        <v>4684</v>
      </c>
      <c r="E57" t="s">
        <v>4686</v>
      </c>
      <c r="F57" t="s">
        <v>4685</v>
      </c>
      <c r="G57" t="s">
        <v>4685</v>
      </c>
      <c r="H57" s="2">
        <v>1</v>
      </c>
      <c r="I57" t="s">
        <v>4686</v>
      </c>
      <c r="J57" t="str">
        <f t="shared" si="1"/>
        <v>normalweight</v>
      </c>
    </row>
    <row r="58" spans="1:10" ht="15.75" customHeight="1">
      <c r="A58" t="s">
        <v>4563</v>
      </c>
      <c r="B58">
        <v>34.200000000000003</v>
      </c>
      <c r="C58">
        <v>5.75</v>
      </c>
      <c r="E58" t="s">
        <v>4685</v>
      </c>
      <c r="F58" t="s">
        <v>4685</v>
      </c>
      <c r="G58" t="s">
        <v>4685</v>
      </c>
      <c r="H58" s="2">
        <v>2</v>
      </c>
      <c r="I58" t="s">
        <v>4686</v>
      </c>
      <c r="J58" t="str">
        <f t="shared" si="1"/>
        <v>normalweight</v>
      </c>
    </row>
    <row r="59" spans="1:10" ht="15.75" customHeight="1">
      <c r="A59" t="s">
        <v>4561</v>
      </c>
      <c r="B59">
        <v>50.63</v>
      </c>
      <c r="C59">
        <v>11.89</v>
      </c>
      <c r="D59" s="6" t="s">
        <v>4684</v>
      </c>
      <c r="E59" t="s">
        <v>4685</v>
      </c>
      <c r="F59" t="s">
        <v>4685</v>
      </c>
      <c r="G59" t="s">
        <v>4685</v>
      </c>
      <c r="H59" s="2">
        <v>0</v>
      </c>
      <c r="I59" t="s">
        <v>4686</v>
      </c>
      <c r="J59" t="str">
        <f t="shared" si="1"/>
        <v>normalweight</v>
      </c>
    </row>
    <row r="60" spans="1:10" ht="15.75" customHeight="1">
      <c r="A60" t="s">
        <v>4559</v>
      </c>
      <c r="B60">
        <v>36.479999999999997</v>
      </c>
      <c r="C60">
        <v>6.2</v>
      </c>
      <c r="E60" t="s">
        <v>4685</v>
      </c>
      <c r="F60" t="s">
        <v>4685</v>
      </c>
      <c r="G60" t="s">
        <v>4685</v>
      </c>
      <c r="H60" s="2">
        <v>0</v>
      </c>
      <c r="I60" t="s">
        <v>4686</v>
      </c>
      <c r="J60" t="str">
        <f t="shared" si="1"/>
        <v>normalweight</v>
      </c>
    </row>
    <row r="61" spans="1:10" ht="15.75" customHeight="1">
      <c r="A61" t="s">
        <v>4557</v>
      </c>
      <c r="B61">
        <v>54.82</v>
      </c>
      <c r="C61">
        <v>10.61</v>
      </c>
      <c r="D61" s="6" t="s">
        <v>4684</v>
      </c>
      <c r="E61" t="s">
        <v>4685</v>
      </c>
      <c r="F61" t="s">
        <v>4685</v>
      </c>
      <c r="G61" t="s">
        <v>4685</v>
      </c>
      <c r="H61" s="2">
        <v>0</v>
      </c>
      <c r="I61" t="s">
        <v>4686</v>
      </c>
      <c r="J61" t="str">
        <f t="shared" si="1"/>
        <v>normalweight</v>
      </c>
    </row>
    <row r="62" spans="1:10" ht="15.75" customHeight="1">
      <c r="A62" t="s">
        <v>4555</v>
      </c>
      <c r="B62">
        <v>38.06</v>
      </c>
      <c r="C62">
        <v>6.04</v>
      </c>
      <c r="E62" t="s">
        <v>4685</v>
      </c>
      <c r="F62" t="s">
        <v>4685</v>
      </c>
      <c r="G62" t="s">
        <v>4688</v>
      </c>
      <c r="H62" s="2">
        <v>1</v>
      </c>
      <c r="I62" t="s">
        <v>4686</v>
      </c>
      <c r="J62" t="str">
        <f t="shared" si="1"/>
        <v>normalweight</v>
      </c>
    </row>
    <row r="63" spans="1:10" ht="15.75" customHeight="1">
      <c r="A63" t="s">
        <v>4553</v>
      </c>
      <c r="B63">
        <v>51.48</v>
      </c>
      <c r="C63">
        <v>9.33</v>
      </c>
      <c r="D63" s="6" t="s">
        <v>4684</v>
      </c>
      <c r="E63" t="s">
        <v>4686</v>
      </c>
      <c r="F63" t="s">
        <v>4685</v>
      </c>
      <c r="G63" t="s">
        <v>4685</v>
      </c>
      <c r="H63" s="2">
        <v>0</v>
      </c>
      <c r="I63" t="s">
        <v>4686</v>
      </c>
      <c r="J63" t="str">
        <f t="shared" si="1"/>
        <v>normalweight</v>
      </c>
    </row>
    <row r="64" spans="1:10" ht="15.75" customHeight="1">
      <c r="A64" t="s">
        <v>4551</v>
      </c>
      <c r="B64">
        <v>52.06</v>
      </c>
      <c r="C64">
        <v>11.47</v>
      </c>
      <c r="D64" s="6" t="s">
        <v>4684</v>
      </c>
      <c r="E64" t="s">
        <v>4685</v>
      </c>
      <c r="F64" t="s">
        <v>4685</v>
      </c>
      <c r="G64" t="s">
        <v>4685</v>
      </c>
      <c r="H64" s="2">
        <v>0</v>
      </c>
      <c r="I64" t="s">
        <v>4686</v>
      </c>
      <c r="J64" t="str">
        <f t="shared" si="1"/>
        <v>normalweight</v>
      </c>
    </row>
    <row r="65" spans="1:10" ht="15.75" customHeight="1">
      <c r="A65" t="s">
        <v>4549</v>
      </c>
      <c r="B65">
        <v>30.684999999999999</v>
      </c>
      <c r="C65">
        <v>7.02</v>
      </c>
      <c r="D65" s="6" t="s">
        <v>4684</v>
      </c>
      <c r="E65" t="s">
        <v>4686</v>
      </c>
      <c r="F65" t="s">
        <v>4685</v>
      </c>
      <c r="G65" t="s">
        <v>4685</v>
      </c>
      <c r="H65" s="2">
        <v>0</v>
      </c>
      <c r="I65" t="s">
        <v>4686</v>
      </c>
      <c r="J65" t="str">
        <f t="shared" si="1"/>
        <v>normalweight</v>
      </c>
    </row>
    <row r="66" spans="1:10" ht="15.75" customHeight="1">
      <c r="A66" t="s">
        <v>4547</v>
      </c>
      <c r="B66">
        <v>36.08</v>
      </c>
      <c r="C66">
        <v>8.8000000000000007</v>
      </c>
      <c r="D66" s="6" t="s">
        <v>4684</v>
      </c>
      <c r="E66" t="s">
        <v>4686</v>
      </c>
      <c r="F66" t="s">
        <v>4685</v>
      </c>
      <c r="G66" t="s">
        <v>4685</v>
      </c>
      <c r="H66" s="2">
        <v>1</v>
      </c>
      <c r="I66" t="s">
        <v>4686</v>
      </c>
      <c r="J66" t="str">
        <f t="shared" si="1"/>
        <v>normalweight</v>
      </c>
    </row>
    <row r="67" spans="1:10" ht="15.75" customHeight="1">
      <c r="A67" t="s">
        <v>4545</v>
      </c>
      <c r="B67">
        <v>54.99</v>
      </c>
      <c r="C67">
        <v>8.68</v>
      </c>
      <c r="D67" s="6" t="s">
        <v>4684</v>
      </c>
      <c r="E67" t="s">
        <v>4685</v>
      </c>
      <c r="F67" t="s">
        <v>4685</v>
      </c>
      <c r="G67" t="s">
        <v>4685</v>
      </c>
      <c r="H67" s="2">
        <v>2</v>
      </c>
      <c r="I67" t="s">
        <v>4686</v>
      </c>
      <c r="J67" t="str">
        <f t="shared" si="1"/>
        <v>normalweight</v>
      </c>
    </row>
    <row r="68" spans="1:10" ht="15.75" customHeight="1">
      <c r="A68" t="s">
        <v>4543</v>
      </c>
      <c r="B68">
        <v>35.97</v>
      </c>
      <c r="C68">
        <v>6.12</v>
      </c>
      <c r="D68" s="6"/>
      <c r="E68" t="s">
        <v>4685</v>
      </c>
      <c r="F68" t="s">
        <v>4685</v>
      </c>
      <c r="G68" t="s">
        <v>4688</v>
      </c>
      <c r="H68" s="2">
        <v>1</v>
      </c>
      <c r="I68" t="s">
        <v>4686</v>
      </c>
      <c r="J68" t="str">
        <f t="shared" si="1"/>
        <v>normalweight</v>
      </c>
    </row>
    <row r="69" spans="1:10" ht="15.75" customHeight="1">
      <c r="A69" t="s">
        <v>4541</v>
      </c>
      <c r="B69">
        <v>45.54</v>
      </c>
      <c r="C69">
        <v>5.4</v>
      </c>
      <c r="E69" t="s">
        <v>4686</v>
      </c>
      <c r="F69" t="s">
        <v>4685</v>
      </c>
      <c r="G69" t="s">
        <v>4688</v>
      </c>
      <c r="H69" s="2">
        <v>1</v>
      </c>
      <c r="I69" t="s">
        <v>4686</v>
      </c>
      <c r="J69" t="str">
        <f t="shared" si="1"/>
        <v>normalweight</v>
      </c>
    </row>
    <row r="70" spans="1:10" ht="15.75" customHeight="1">
      <c r="A70" t="s">
        <v>4539</v>
      </c>
      <c r="B70">
        <v>35.53</v>
      </c>
      <c r="C70">
        <v>4.3600000000000003</v>
      </c>
      <c r="E70" t="s">
        <v>4686</v>
      </c>
      <c r="F70" t="s">
        <v>4685</v>
      </c>
      <c r="G70" t="s">
        <v>4685</v>
      </c>
      <c r="H70" s="2">
        <v>0</v>
      </c>
      <c r="I70" t="s">
        <v>4686</v>
      </c>
      <c r="J70" t="str">
        <f t="shared" si="1"/>
        <v>normalweight</v>
      </c>
    </row>
    <row r="71" spans="1:10" ht="15.75" customHeight="1">
      <c r="A71" t="s">
        <v>4537</v>
      </c>
      <c r="B71">
        <v>30.8</v>
      </c>
      <c r="C71">
        <v>9.77</v>
      </c>
      <c r="D71" s="6" t="s">
        <v>4684</v>
      </c>
      <c r="E71" t="s">
        <v>4685</v>
      </c>
      <c r="F71" t="s">
        <v>4685</v>
      </c>
      <c r="G71" t="s">
        <v>4685</v>
      </c>
      <c r="H71" s="2">
        <v>0</v>
      </c>
      <c r="I71" t="s">
        <v>4686</v>
      </c>
      <c r="J71" t="str">
        <f t="shared" si="1"/>
        <v>normalweight</v>
      </c>
    </row>
    <row r="72" spans="1:10" ht="15.75" customHeight="1">
      <c r="A72" t="s">
        <v>4535</v>
      </c>
      <c r="B72">
        <v>38.39</v>
      </c>
      <c r="C72">
        <v>4.25</v>
      </c>
      <c r="E72" t="s">
        <v>4685</v>
      </c>
      <c r="F72" t="s">
        <v>4685</v>
      </c>
      <c r="G72" t="s">
        <v>4685</v>
      </c>
      <c r="H72" s="2">
        <v>1</v>
      </c>
      <c r="I72" t="s">
        <v>4686</v>
      </c>
      <c r="J72" t="str">
        <f t="shared" si="1"/>
        <v>normalweight</v>
      </c>
    </row>
    <row r="73" spans="1:10" ht="15.75" customHeight="1">
      <c r="A73" t="s">
        <v>4533</v>
      </c>
      <c r="B73">
        <v>32.299999999999997</v>
      </c>
      <c r="C73">
        <v>4.76</v>
      </c>
      <c r="E73" t="s">
        <v>4685</v>
      </c>
      <c r="F73" t="s">
        <v>4685</v>
      </c>
      <c r="G73" t="s">
        <v>4685</v>
      </c>
      <c r="H73" s="2">
        <v>2</v>
      </c>
      <c r="I73" t="s">
        <v>4686</v>
      </c>
      <c r="J73" t="str">
        <f t="shared" si="1"/>
        <v>normalweight</v>
      </c>
    </row>
    <row r="74" spans="1:10" ht="15.75" customHeight="1">
      <c r="A74" t="s">
        <v>4531</v>
      </c>
      <c r="B74">
        <v>48.8</v>
      </c>
      <c r="C74">
        <v>6.22</v>
      </c>
      <c r="E74" t="s">
        <v>4686</v>
      </c>
      <c r="F74" t="s">
        <v>4685</v>
      </c>
      <c r="G74" t="s">
        <v>4685</v>
      </c>
      <c r="H74" s="2">
        <v>2</v>
      </c>
      <c r="I74" t="s">
        <v>4686</v>
      </c>
      <c r="J74" t="str">
        <f t="shared" si="1"/>
        <v>normalweight</v>
      </c>
    </row>
    <row r="75" spans="1:10" ht="15.75" customHeight="1">
      <c r="A75" t="s">
        <v>4529</v>
      </c>
      <c r="B75">
        <v>45.5</v>
      </c>
      <c r="C75">
        <v>7.96</v>
      </c>
      <c r="D75" s="6" t="s">
        <v>4684</v>
      </c>
      <c r="E75" t="s">
        <v>4685</v>
      </c>
      <c r="F75" t="s">
        <v>4685</v>
      </c>
      <c r="G75" t="s">
        <v>4685</v>
      </c>
      <c r="H75" s="2">
        <v>0</v>
      </c>
      <c r="I75" t="s">
        <v>4686</v>
      </c>
      <c r="J75" t="str">
        <f t="shared" si="1"/>
        <v>normalweight</v>
      </c>
    </row>
    <row r="76" spans="1:10" ht="15.75" customHeight="1">
      <c r="A76" t="s">
        <v>4527</v>
      </c>
      <c r="B76">
        <v>53.61</v>
      </c>
      <c r="C76">
        <v>10.92</v>
      </c>
      <c r="D76" s="6" t="s">
        <v>4684</v>
      </c>
      <c r="E76" t="s">
        <v>4686</v>
      </c>
      <c r="F76" t="s">
        <v>4685</v>
      </c>
      <c r="G76" t="s">
        <v>4685</v>
      </c>
      <c r="H76" s="2">
        <v>1</v>
      </c>
      <c r="I76" t="s">
        <v>4686</v>
      </c>
      <c r="J76" t="str">
        <f t="shared" si="1"/>
        <v>normalweight</v>
      </c>
    </row>
    <row r="77" spans="1:10" ht="15.75" customHeight="1">
      <c r="A77" t="s">
        <v>4525</v>
      </c>
      <c r="B77">
        <v>36.19</v>
      </c>
      <c r="C77">
        <v>11.51</v>
      </c>
      <c r="D77" s="6" t="s">
        <v>4684</v>
      </c>
      <c r="E77" t="s">
        <v>4686</v>
      </c>
      <c r="F77" t="s">
        <v>4685</v>
      </c>
      <c r="G77" t="s">
        <v>4685</v>
      </c>
      <c r="H77" s="2">
        <v>1</v>
      </c>
      <c r="I77" t="s">
        <v>4686</v>
      </c>
      <c r="J77" t="str">
        <f t="shared" si="1"/>
        <v>normalweight</v>
      </c>
    </row>
    <row r="78" spans="1:10" ht="15.75" customHeight="1">
      <c r="A78" t="s">
        <v>4523</v>
      </c>
      <c r="B78">
        <v>34.6</v>
      </c>
      <c r="C78">
        <v>5.99</v>
      </c>
      <c r="E78" t="s">
        <v>4686</v>
      </c>
      <c r="F78" t="s">
        <v>4685</v>
      </c>
      <c r="G78" t="s">
        <v>4685</v>
      </c>
      <c r="H78" s="2">
        <v>0</v>
      </c>
      <c r="I78" t="s">
        <v>4686</v>
      </c>
      <c r="J78" t="str">
        <f t="shared" si="1"/>
        <v>normalweight</v>
      </c>
    </row>
    <row r="79" spans="1:10" ht="15.75" customHeight="1">
      <c r="A79" t="s">
        <v>4521</v>
      </c>
      <c r="B79">
        <v>54.12</v>
      </c>
      <c r="C79">
        <v>11.57</v>
      </c>
      <c r="D79" s="6" t="s">
        <v>4684</v>
      </c>
      <c r="E79" t="s">
        <v>4685</v>
      </c>
      <c r="F79" t="s">
        <v>4685</v>
      </c>
      <c r="G79" t="s">
        <v>4685</v>
      </c>
      <c r="H79" s="2">
        <v>0</v>
      </c>
      <c r="I79" t="s">
        <v>4686</v>
      </c>
      <c r="J79" t="str">
        <f t="shared" si="1"/>
        <v>normalweight</v>
      </c>
    </row>
    <row r="80" spans="1:10" ht="15.75" customHeight="1">
      <c r="A80" t="s">
        <v>4519</v>
      </c>
      <c r="B80">
        <v>48.82</v>
      </c>
      <c r="C80">
        <v>6.67</v>
      </c>
      <c r="D80" s="6" t="s">
        <v>4684</v>
      </c>
      <c r="E80" t="s">
        <v>4686</v>
      </c>
      <c r="F80" t="s">
        <v>4685</v>
      </c>
      <c r="G80" t="s">
        <v>4685</v>
      </c>
      <c r="H80" s="2">
        <v>0</v>
      </c>
      <c r="I80" t="s">
        <v>4686</v>
      </c>
      <c r="J80" t="str">
        <f t="shared" si="1"/>
        <v>normalweight</v>
      </c>
    </row>
    <row r="81" spans="1:10" ht="15.75" customHeight="1">
      <c r="A81" t="s">
        <v>4517</v>
      </c>
      <c r="B81">
        <v>51.01</v>
      </c>
      <c r="C81">
        <v>9.1999999999999993</v>
      </c>
      <c r="D81" s="6" t="s">
        <v>4684</v>
      </c>
      <c r="E81" t="s">
        <v>4685</v>
      </c>
      <c r="F81" t="s">
        <v>4685</v>
      </c>
      <c r="G81" t="s">
        <v>4685</v>
      </c>
      <c r="H81" s="2">
        <v>0</v>
      </c>
      <c r="I81" t="s">
        <v>4686</v>
      </c>
      <c r="J81" t="str">
        <f t="shared" si="1"/>
        <v>normalweight</v>
      </c>
    </row>
    <row r="82" spans="1:10" ht="15.75" customHeight="1">
      <c r="A82" t="s">
        <v>4515</v>
      </c>
      <c r="B82">
        <v>45.65</v>
      </c>
      <c r="C82">
        <v>5.1100000000000003</v>
      </c>
      <c r="E82" t="s">
        <v>4686</v>
      </c>
      <c r="F82" t="s">
        <v>4685</v>
      </c>
      <c r="G82" t="s">
        <v>4685</v>
      </c>
      <c r="H82" s="2">
        <v>1</v>
      </c>
      <c r="I82" t="s">
        <v>4686</v>
      </c>
      <c r="J82" t="str">
        <f t="shared" si="1"/>
        <v>normalweight</v>
      </c>
    </row>
    <row r="83" spans="1:10" ht="15.75" customHeight="1">
      <c r="A83" t="s">
        <v>4513</v>
      </c>
      <c r="B83">
        <v>52.9</v>
      </c>
      <c r="C83">
        <v>5.34</v>
      </c>
      <c r="E83" t="s">
        <v>4685</v>
      </c>
      <c r="F83" t="s">
        <v>4685</v>
      </c>
      <c r="G83" t="s">
        <v>4685</v>
      </c>
      <c r="H83" s="2">
        <v>0</v>
      </c>
      <c r="I83" t="s">
        <v>4686</v>
      </c>
      <c r="J83" t="str">
        <f t="shared" si="1"/>
        <v>normalweight</v>
      </c>
    </row>
    <row r="84" spans="1:10" ht="15.75" customHeight="1">
      <c r="A84" t="s">
        <v>4511</v>
      </c>
      <c r="B84">
        <v>45.41</v>
      </c>
      <c r="C84">
        <v>4.03</v>
      </c>
      <c r="E84" t="s">
        <v>4686</v>
      </c>
      <c r="F84" t="s">
        <v>4685</v>
      </c>
      <c r="G84" t="s">
        <v>4685</v>
      </c>
      <c r="H84" s="2">
        <v>1</v>
      </c>
      <c r="I84" t="s">
        <v>4686</v>
      </c>
      <c r="J84" t="str">
        <f t="shared" si="1"/>
        <v>normalweight</v>
      </c>
    </row>
    <row r="85" spans="1:10" ht="15.75" customHeight="1">
      <c r="A85" t="s">
        <v>4509</v>
      </c>
      <c r="B85">
        <v>49.41</v>
      </c>
      <c r="C85">
        <v>4.2300000000000004</v>
      </c>
      <c r="E85" t="s">
        <v>4686</v>
      </c>
      <c r="F85" t="s">
        <v>4685</v>
      </c>
      <c r="G85" t="s">
        <v>4688</v>
      </c>
      <c r="H85" s="2">
        <v>1</v>
      </c>
      <c r="I85" t="s">
        <v>4686</v>
      </c>
      <c r="J85" t="str">
        <f t="shared" si="1"/>
        <v>normalweight</v>
      </c>
    </row>
    <row r="86" spans="1:10" ht="15.75" customHeight="1">
      <c r="A86" t="s">
        <v>4507</v>
      </c>
      <c r="B86">
        <v>31.824999999999999</v>
      </c>
      <c r="C86">
        <v>4.0599999999999996</v>
      </c>
      <c r="E86" t="s">
        <v>4685</v>
      </c>
      <c r="F86" t="s">
        <v>4685</v>
      </c>
      <c r="G86" t="s">
        <v>4685</v>
      </c>
      <c r="H86" s="2">
        <v>2</v>
      </c>
      <c r="I86" t="s">
        <v>4686</v>
      </c>
      <c r="J86" t="str">
        <f t="shared" si="1"/>
        <v>normalweight</v>
      </c>
    </row>
    <row r="87" spans="1:10" ht="15.75" customHeight="1">
      <c r="A87" t="s">
        <v>4505</v>
      </c>
      <c r="B87">
        <v>51.28</v>
      </c>
      <c r="C87">
        <v>4.68</v>
      </c>
      <c r="E87" t="s">
        <v>4685</v>
      </c>
      <c r="F87" t="s">
        <v>4685</v>
      </c>
      <c r="G87" t="s">
        <v>4685</v>
      </c>
      <c r="H87" s="2">
        <v>2</v>
      </c>
      <c r="I87" t="s">
        <v>4686</v>
      </c>
      <c r="J87" t="str">
        <f t="shared" si="1"/>
        <v>normalweight</v>
      </c>
    </row>
    <row r="88" spans="1:10" ht="15.75" customHeight="1">
      <c r="A88" t="s">
        <v>4503</v>
      </c>
      <c r="B88">
        <v>34.96</v>
      </c>
      <c r="C88">
        <v>4.34</v>
      </c>
      <c r="E88" t="s">
        <v>4685</v>
      </c>
      <c r="F88" t="s">
        <v>4685</v>
      </c>
      <c r="G88" t="s">
        <v>4688</v>
      </c>
      <c r="H88" s="2">
        <v>1</v>
      </c>
      <c r="I88" t="s">
        <v>4686</v>
      </c>
      <c r="J88" t="str">
        <f t="shared" si="1"/>
        <v>normalweight</v>
      </c>
    </row>
    <row r="89" spans="1:10" ht="15.75" customHeight="1">
      <c r="A89" t="s">
        <v>4501</v>
      </c>
      <c r="B89">
        <v>33.11</v>
      </c>
      <c r="C89">
        <v>10.51</v>
      </c>
      <c r="D89" s="6" t="s">
        <v>4684</v>
      </c>
      <c r="E89" t="s">
        <v>4685</v>
      </c>
      <c r="F89" t="s">
        <v>4685</v>
      </c>
      <c r="G89" t="s">
        <v>4685</v>
      </c>
      <c r="H89" s="2">
        <v>0</v>
      </c>
      <c r="I89" t="s">
        <v>4686</v>
      </c>
      <c r="J89" t="str">
        <f t="shared" si="1"/>
        <v>normalweight</v>
      </c>
    </row>
    <row r="90" spans="1:10" ht="15.75" customHeight="1">
      <c r="A90" t="s">
        <v>4499</v>
      </c>
      <c r="B90">
        <v>54.74</v>
      </c>
      <c r="C90">
        <v>5.84</v>
      </c>
      <c r="E90" t="s">
        <v>4686</v>
      </c>
      <c r="F90" t="s">
        <v>4685</v>
      </c>
      <c r="G90" t="s">
        <v>4688</v>
      </c>
      <c r="H90" s="2">
        <v>1</v>
      </c>
      <c r="I90" t="s">
        <v>4686</v>
      </c>
      <c r="J90" t="str">
        <f t="shared" si="1"/>
        <v>normalweight</v>
      </c>
    </row>
    <row r="91" spans="1:10" ht="15.75" customHeight="1">
      <c r="A91" t="s">
        <v>4497</v>
      </c>
      <c r="B91">
        <v>32.56</v>
      </c>
      <c r="C91">
        <v>5.41</v>
      </c>
      <c r="E91" t="s">
        <v>4685</v>
      </c>
      <c r="F91" t="s">
        <v>4685</v>
      </c>
      <c r="G91" t="s">
        <v>4688</v>
      </c>
      <c r="H91" s="2">
        <v>1</v>
      </c>
      <c r="I91" t="s">
        <v>4686</v>
      </c>
      <c r="J91" t="str">
        <f t="shared" si="1"/>
        <v>normalweight</v>
      </c>
    </row>
    <row r="92" spans="1:10" ht="15.75" customHeight="1">
      <c r="A92" t="s">
        <v>4495</v>
      </c>
      <c r="B92">
        <v>39.049999999999997</v>
      </c>
      <c r="C92">
        <v>6.06</v>
      </c>
      <c r="E92" t="s">
        <v>4685</v>
      </c>
      <c r="F92" t="s">
        <v>4685</v>
      </c>
      <c r="G92" t="s">
        <v>4685</v>
      </c>
      <c r="H92" s="2">
        <v>1</v>
      </c>
      <c r="I92" t="s">
        <v>4686</v>
      </c>
      <c r="J92" t="str">
        <f t="shared" si="1"/>
        <v>normalweight</v>
      </c>
    </row>
    <row r="93" spans="1:10" ht="15.75" customHeight="1">
      <c r="A93" t="s">
        <v>4493</v>
      </c>
      <c r="B93">
        <v>42.75</v>
      </c>
      <c r="C93">
        <v>4.22</v>
      </c>
      <c r="E93" t="s">
        <v>4685</v>
      </c>
      <c r="F93" t="s">
        <v>4685</v>
      </c>
      <c r="G93" t="s">
        <v>4685</v>
      </c>
      <c r="H93" s="2">
        <v>0</v>
      </c>
      <c r="I93" t="s">
        <v>4686</v>
      </c>
      <c r="J93" t="str">
        <f t="shared" si="1"/>
        <v>normalweight</v>
      </c>
    </row>
    <row r="94" spans="1:10" ht="15.75" customHeight="1">
      <c r="A94" t="s">
        <v>4491</v>
      </c>
      <c r="B94">
        <v>50.58</v>
      </c>
      <c r="C94">
        <v>5.12</v>
      </c>
      <c r="E94" t="s">
        <v>4685</v>
      </c>
      <c r="F94" t="s">
        <v>4685</v>
      </c>
      <c r="G94" t="s">
        <v>4685</v>
      </c>
      <c r="H94" s="2">
        <v>2</v>
      </c>
      <c r="I94" t="s">
        <v>4686</v>
      </c>
      <c r="J94" t="str">
        <f t="shared" si="1"/>
        <v>normalweight</v>
      </c>
    </row>
    <row r="95" spans="1:10" ht="15.75" customHeight="1">
      <c r="A95" t="s">
        <v>4489</v>
      </c>
      <c r="B95">
        <v>30.495000000000001</v>
      </c>
      <c r="C95">
        <v>4.57</v>
      </c>
      <c r="E95" t="s">
        <v>4686</v>
      </c>
      <c r="F95" t="s">
        <v>4685</v>
      </c>
      <c r="G95" t="s">
        <v>4685</v>
      </c>
      <c r="H95" s="2">
        <v>0</v>
      </c>
      <c r="I95" t="s">
        <v>4686</v>
      </c>
      <c r="J95" t="str">
        <f t="shared" si="1"/>
        <v>normalweight</v>
      </c>
    </row>
    <row r="96" spans="1:10" ht="15.75" customHeight="1">
      <c r="A96" t="s">
        <v>4487</v>
      </c>
      <c r="B96">
        <v>48.31</v>
      </c>
      <c r="C96">
        <v>9.58</v>
      </c>
      <c r="D96" s="6" t="s">
        <v>4684</v>
      </c>
      <c r="E96" t="s">
        <v>4686</v>
      </c>
      <c r="F96" t="s">
        <v>4685</v>
      </c>
      <c r="G96" t="s">
        <v>4685</v>
      </c>
      <c r="H96" s="2">
        <v>2</v>
      </c>
      <c r="I96" t="s">
        <v>4686</v>
      </c>
      <c r="J96" t="str">
        <f t="shared" si="1"/>
        <v>normalweight</v>
      </c>
    </row>
    <row r="97" spans="1:10" ht="15.75" customHeight="1">
      <c r="A97" t="s">
        <v>4485</v>
      </c>
      <c r="B97">
        <v>48.99</v>
      </c>
      <c r="C97">
        <v>9.7799999999999994</v>
      </c>
      <c r="D97" s="6" t="s">
        <v>4684</v>
      </c>
      <c r="E97" t="s">
        <v>4686</v>
      </c>
      <c r="F97" t="s">
        <v>4685</v>
      </c>
      <c r="G97" t="s">
        <v>4685</v>
      </c>
      <c r="H97" s="2">
        <v>1</v>
      </c>
      <c r="I97" t="s">
        <v>4686</v>
      </c>
      <c r="J97" t="str">
        <f t="shared" si="1"/>
        <v>normalweight</v>
      </c>
    </row>
    <row r="98" spans="1:10" ht="15.75" customHeight="1">
      <c r="A98" t="s">
        <v>4483</v>
      </c>
      <c r="B98">
        <v>38.39</v>
      </c>
      <c r="C98">
        <v>4.1100000000000003</v>
      </c>
      <c r="E98" t="s">
        <v>4686</v>
      </c>
      <c r="F98" t="s">
        <v>4685</v>
      </c>
      <c r="G98" t="s">
        <v>4685</v>
      </c>
      <c r="H98" s="2">
        <v>0</v>
      </c>
      <c r="I98" t="s">
        <v>4686</v>
      </c>
      <c r="J98" t="str">
        <f t="shared" si="1"/>
        <v>normalweight</v>
      </c>
    </row>
    <row r="99" spans="1:10" ht="15.75" customHeight="1">
      <c r="A99" t="s">
        <v>4481</v>
      </c>
      <c r="B99">
        <v>44.34</v>
      </c>
      <c r="C99">
        <v>4.0199999999999996</v>
      </c>
      <c r="E99" t="s">
        <v>4686</v>
      </c>
      <c r="F99" t="s">
        <v>4685</v>
      </c>
      <c r="G99" t="s">
        <v>4685</v>
      </c>
      <c r="H99" s="2">
        <v>2</v>
      </c>
      <c r="I99" t="s">
        <v>4686</v>
      </c>
      <c r="J99" t="str">
        <f t="shared" si="1"/>
        <v>normalweight</v>
      </c>
    </row>
    <row r="100" spans="1:10" ht="15.75" customHeight="1">
      <c r="A100" t="s">
        <v>4479</v>
      </c>
      <c r="B100">
        <v>41.51</v>
      </c>
      <c r="C100">
        <v>6.92</v>
      </c>
      <c r="D100" s="6" t="s">
        <v>4684</v>
      </c>
      <c r="E100" t="s">
        <v>4685</v>
      </c>
      <c r="F100" t="s">
        <v>4685</v>
      </c>
      <c r="G100" t="s">
        <v>4685</v>
      </c>
      <c r="H100" s="2">
        <v>0</v>
      </c>
      <c r="I100" t="s">
        <v>4686</v>
      </c>
      <c r="J100" t="str">
        <f t="shared" si="1"/>
        <v>normalweight</v>
      </c>
    </row>
    <row r="101" spans="1:10" ht="15.75" customHeight="1">
      <c r="A101" t="s">
        <v>4477</v>
      </c>
      <c r="B101">
        <v>48.2</v>
      </c>
      <c r="C101">
        <v>4.84</v>
      </c>
      <c r="E101" t="s">
        <v>4685</v>
      </c>
      <c r="F101" t="s">
        <v>4685</v>
      </c>
      <c r="G101" t="s">
        <v>4685</v>
      </c>
      <c r="H101" s="2">
        <v>0</v>
      </c>
      <c r="I101" t="s">
        <v>4686</v>
      </c>
      <c r="J101" t="str">
        <f t="shared" si="1"/>
        <v>normalweight</v>
      </c>
    </row>
    <row r="102" spans="1:10" ht="15.75" customHeight="1">
      <c r="A102" t="s">
        <v>4475</v>
      </c>
      <c r="B102">
        <v>35.75</v>
      </c>
      <c r="C102">
        <v>8</v>
      </c>
      <c r="D102" s="6" t="s">
        <v>4684</v>
      </c>
      <c r="E102" t="s">
        <v>4686</v>
      </c>
      <c r="F102" t="s">
        <v>4685</v>
      </c>
      <c r="G102" t="s">
        <v>4685</v>
      </c>
      <c r="H102" s="2">
        <v>0</v>
      </c>
      <c r="I102" t="s">
        <v>4686</v>
      </c>
      <c r="J102" t="str">
        <f t="shared" si="1"/>
        <v>normalweight</v>
      </c>
    </row>
    <row r="103" spans="1:10" ht="15.75" customHeight="1">
      <c r="A103" t="s">
        <v>4473</v>
      </c>
      <c r="B103">
        <v>53.81</v>
      </c>
      <c r="C103">
        <v>8.77</v>
      </c>
      <c r="D103" s="6" t="s">
        <v>4684</v>
      </c>
      <c r="E103" t="s">
        <v>4686</v>
      </c>
      <c r="F103" t="s">
        <v>4685</v>
      </c>
      <c r="G103" t="s">
        <v>4685</v>
      </c>
      <c r="H103" s="2">
        <v>0</v>
      </c>
      <c r="I103" t="s">
        <v>4686</v>
      </c>
      <c r="J103" t="str">
        <f t="shared" si="1"/>
        <v>normalweight</v>
      </c>
    </row>
    <row r="104" spans="1:10" ht="15.75" customHeight="1">
      <c r="A104" t="s">
        <v>4471</v>
      </c>
      <c r="B104">
        <v>49.48</v>
      </c>
      <c r="C104">
        <v>4.96</v>
      </c>
      <c r="E104" t="s">
        <v>4685</v>
      </c>
      <c r="F104" t="s">
        <v>4685</v>
      </c>
      <c r="G104" t="s">
        <v>4688</v>
      </c>
      <c r="H104" s="2">
        <v>1</v>
      </c>
      <c r="I104" t="s">
        <v>4686</v>
      </c>
      <c r="J104" t="str">
        <f t="shared" si="1"/>
        <v>normalweight</v>
      </c>
    </row>
    <row r="105" spans="1:10" ht="15.75" customHeight="1">
      <c r="A105" t="s">
        <v>4469</v>
      </c>
      <c r="B105">
        <v>34.1</v>
      </c>
      <c r="C105">
        <v>4.43</v>
      </c>
      <c r="E105" t="s">
        <v>4686</v>
      </c>
      <c r="F105" t="s">
        <v>4685</v>
      </c>
      <c r="G105" t="s">
        <v>4685</v>
      </c>
      <c r="H105" s="2">
        <v>0</v>
      </c>
      <c r="I105" t="s">
        <v>4686</v>
      </c>
      <c r="J105" t="str">
        <f t="shared" si="1"/>
        <v>normalweight</v>
      </c>
    </row>
    <row r="106" spans="1:10" ht="15.75" customHeight="1">
      <c r="A106" t="s">
        <v>4467</v>
      </c>
      <c r="B106">
        <v>35.299999999999997</v>
      </c>
      <c r="C106">
        <v>5.82</v>
      </c>
      <c r="E106" t="s">
        <v>4686</v>
      </c>
      <c r="F106" t="s">
        <v>4685</v>
      </c>
      <c r="G106" t="s">
        <v>4688</v>
      </c>
      <c r="H106" s="2">
        <v>1</v>
      </c>
      <c r="I106" t="s">
        <v>4686</v>
      </c>
      <c r="J106" t="str">
        <f t="shared" si="1"/>
        <v>normalweight</v>
      </c>
    </row>
    <row r="107" spans="1:10" ht="15.75" customHeight="1">
      <c r="A107" t="s">
        <v>4465</v>
      </c>
      <c r="B107">
        <v>43.83</v>
      </c>
      <c r="C107">
        <v>6.03</v>
      </c>
      <c r="E107" t="s">
        <v>4686</v>
      </c>
      <c r="F107" t="s">
        <v>4685</v>
      </c>
      <c r="G107" t="s">
        <v>4685</v>
      </c>
      <c r="H107" s="2">
        <v>2</v>
      </c>
      <c r="I107" t="s">
        <v>4686</v>
      </c>
      <c r="J107" t="str">
        <f t="shared" si="1"/>
        <v>normalweight</v>
      </c>
    </row>
    <row r="108" spans="1:10" ht="15.75" customHeight="1">
      <c r="A108" t="s">
        <v>4463</v>
      </c>
      <c r="B108">
        <v>50.07</v>
      </c>
      <c r="C108">
        <v>9.27</v>
      </c>
      <c r="D108" s="6" t="s">
        <v>4684</v>
      </c>
      <c r="E108" t="s">
        <v>4685</v>
      </c>
      <c r="F108" t="s">
        <v>4685</v>
      </c>
      <c r="G108" t="s">
        <v>4685</v>
      </c>
      <c r="H108" s="2">
        <v>0</v>
      </c>
      <c r="I108" t="s">
        <v>4686</v>
      </c>
      <c r="J108" t="str">
        <f t="shared" si="1"/>
        <v>normalweight</v>
      </c>
    </row>
    <row r="109" spans="1:10" ht="15.75" customHeight="1">
      <c r="A109" t="s">
        <v>4461</v>
      </c>
      <c r="B109">
        <v>32.774999999999999</v>
      </c>
      <c r="C109">
        <v>5.53</v>
      </c>
      <c r="E109" t="s">
        <v>4685</v>
      </c>
      <c r="F109" t="s">
        <v>4685</v>
      </c>
      <c r="G109" t="s">
        <v>4685</v>
      </c>
      <c r="H109" s="2">
        <v>0</v>
      </c>
      <c r="I109" t="s">
        <v>4686</v>
      </c>
      <c r="J109" t="str">
        <f t="shared" si="1"/>
        <v>normalweight</v>
      </c>
    </row>
    <row r="110" spans="1:10" ht="15.75" customHeight="1">
      <c r="A110" t="s">
        <v>4459</v>
      </c>
      <c r="B110">
        <v>34.104999999999997</v>
      </c>
      <c r="C110">
        <v>5.07</v>
      </c>
      <c r="E110" t="s">
        <v>4685</v>
      </c>
      <c r="F110" t="s">
        <v>4685</v>
      </c>
      <c r="G110" t="s">
        <v>4685</v>
      </c>
      <c r="H110" s="2">
        <v>1</v>
      </c>
      <c r="I110" t="s">
        <v>4686</v>
      </c>
      <c r="J110" t="str">
        <f t="shared" si="1"/>
        <v>normalweight</v>
      </c>
    </row>
    <row r="111" spans="1:10" ht="15.75" customHeight="1">
      <c r="A111" t="s">
        <v>4457</v>
      </c>
      <c r="B111">
        <v>48.93</v>
      </c>
      <c r="C111">
        <v>11.17</v>
      </c>
      <c r="D111" s="6" t="s">
        <v>4684</v>
      </c>
      <c r="E111" t="s">
        <v>4686</v>
      </c>
      <c r="F111" t="s">
        <v>4685</v>
      </c>
      <c r="G111" t="s">
        <v>4685</v>
      </c>
      <c r="H111" s="2">
        <v>1</v>
      </c>
      <c r="I111" t="s">
        <v>4686</v>
      </c>
      <c r="J111" t="str">
        <f t="shared" si="1"/>
        <v>normalweight</v>
      </c>
    </row>
    <row r="112" spans="1:10" ht="15.75" customHeight="1">
      <c r="A112" t="s">
        <v>4455</v>
      </c>
      <c r="B112">
        <v>37.07</v>
      </c>
      <c r="C112">
        <v>6.14</v>
      </c>
      <c r="E112" t="s">
        <v>4686</v>
      </c>
      <c r="F112" t="s">
        <v>4685</v>
      </c>
      <c r="G112" t="s">
        <v>4685</v>
      </c>
      <c r="H112" s="2">
        <v>0</v>
      </c>
      <c r="I112" t="s">
        <v>4686</v>
      </c>
      <c r="J112" t="str">
        <f t="shared" si="1"/>
        <v>normalweight</v>
      </c>
    </row>
    <row r="113" spans="1:10" ht="15.75" customHeight="1">
      <c r="A113" t="s">
        <v>4453</v>
      </c>
      <c r="B113">
        <v>51.51</v>
      </c>
      <c r="C113">
        <v>6.26</v>
      </c>
      <c r="E113" t="s">
        <v>4686</v>
      </c>
      <c r="F113" t="s">
        <v>4685</v>
      </c>
      <c r="G113" t="s">
        <v>4688</v>
      </c>
      <c r="H113" s="2">
        <v>1</v>
      </c>
      <c r="I113" t="s">
        <v>4686</v>
      </c>
      <c r="J113" t="str">
        <f t="shared" si="1"/>
        <v>normalweight</v>
      </c>
    </row>
    <row r="114" spans="1:10" ht="15.75" customHeight="1">
      <c r="A114" t="s">
        <v>4451</v>
      </c>
      <c r="B114">
        <v>34.799999999999997</v>
      </c>
      <c r="C114">
        <v>4.72</v>
      </c>
      <c r="E114" t="s">
        <v>4686</v>
      </c>
      <c r="F114" t="s">
        <v>4685</v>
      </c>
      <c r="G114" t="s">
        <v>4685</v>
      </c>
      <c r="H114" s="2">
        <v>0</v>
      </c>
      <c r="I114" t="s">
        <v>4686</v>
      </c>
      <c r="J114" t="str">
        <f t="shared" si="1"/>
        <v>normalweight</v>
      </c>
    </row>
    <row r="115" spans="1:10" ht="15.75" customHeight="1">
      <c r="A115" t="s">
        <v>4449</v>
      </c>
      <c r="B115">
        <v>36.67</v>
      </c>
      <c r="C115">
        <v>5.18</v>
      </c>
      <c r="E115" t="s">
        <v>4685</v>
      </c>
      <c r="F115" t="s">
        <v>4685</v>
      </c>
      <c r="G115" t="s">
        <v>4685</v>
      </c>
      <c r="H115" s="2">
        <v>1</v>
      </c>
      <c r="I115" t="s">
        <v>4686</v>
      </c>
      <c r="J115" t="str">
        <f t="shared" si="1"/>
        <v>normalweight</v>
      </c>
    </row>
    <row r="116" spans="1:10" ht="15.75" customHeight="1">
      <c r="A116" t="s">
        <v>4447</v>
      </c>
      <c r="B116">
        <v>30.9</v>
      </c>
      <c r="C116">
        <v>9.4</v>
      </c>
      <c r="D116" s="6" t="s">
        <v>4684</v>
      </c>
      <c r="E116" t="s">
        <v>4685</v>
      </c>
      <c r="F116" t="s">
        <v>4685</v>
      </c>
      <c r="G116" t="s">
        <v>4685</v>
      </c>
      <c r="H116" s="2">
        <v>2</v>
      </c>
      <c r="I116" t="s">
        <v>4686</v>
      </c>
      <c r="J116" t="str">
        <f t="shared" si="1"/>
        <v>normalweight</v>
      </c>
    </row>
    <row r="117" spans="1:10" ht="15.75" customHeight="1">
      <c r="A117" t="s">
        <v>4445</v>
      </c>
      <c r="B117">
        <v>30.495000000000001</v>
      </c>
      <c r="C117">
        <v>6.29</v>
      </c>
      <c r="E117" t="s">
        <v>4685</v>
      </c>
      <c r="F117" t="s">
        <v>4685</v>
      </c>
      <c r="G117" t="s">
        <v>4685</v>
      </c>
      <c r="H117" s="2">
        <v>0</v>
      </c>
      <c r="I117" t="s">
        <v>4686</v>
      </c>
      <c r="J117" t="str">
        <f t="shared" si="1"/>
        <v>normalweight</v>
      </c>
    </row>
    <row r="118" spans="1:10" ht="15.75" customHeight="1">
      <c r="A118" t="s">
        <v>4443</v>
      </c>
      <c r="B118">
        <v>44.88</v>
      </c>
      <c r="C118">
        <v>6.04</v>
      </c>
      <c r="E118" t="s">
        <v>4685</v>
      </c>
      <c r="F118" t="s">
        <v>4685</v>
      </c>
      <c r="G118" t="s">
        <v>4688</v>
      </c>
      <c r="H118" s="2">
        <v>1</v>
      </c>
      <c r="I118" t="s">
        <v>4686</v>
      </c>
      <c r="J118" t="str">
        <f t="shared" si="1"/>
        <v>normalweight</v>
      </c>
    </row>
    <row r="119" spans="1:10" ht="15.75" customHeight="1">
      <c r="A119" t="s">
        <v>4441</v>
      </c>
      <c r="B119">
        <v>44.32</v>
      </c>
      <c r="C119">
        <v>10.55</v>
      </c>
      <c r="D119" s="6" t="s">
        <v>4684</v>
      </c>
      <c r="E119" t="s">
        <v>4685</v>
      </c>
      <c r="F119" t="s">
        <v>4685</v>
      </c>
      <c r="G119" t="s">
        <v>4685</v>
      </c>
      <c r="H119" s="2">
        <v>0</v>
      </c>
      <c r="I119" t="s">
        <v>4686</v>
      </c>
      <c r="J119" t="str">
        <f t="shared" si="1"/>
        <v>normalweight</v>
      </c>
    </row>
    <row r="120" spans="1:10" ht="15.75" customHeight="1">
      <c r="A120" t="s">
        <v>4439</v>
      </c>
      <c r="B120">
        <v>46.39</v>
      </c>
      <c r="C120">
        <v>5.09</v>
      </c>
      <c r="E120" t="s">
        <v>4685</v>
      </c>
      <c r="F120" t="s">
        <v>4685</v>
      </c>
      <c r="G120" t="s">
        <v>4685</v>
      </c>
      <c r="H120" s="2">
        <v>0</v>
      </c>
      <c r="I120" t="s">
        <v>4686</v>
      </c>
      <c r="J120" t="str">
        <f t="shared" si="1"/>
        <v>normalweight</v>
      </c>
    </row>
    <row r="121" spans="1:10" ht="15.75" customHeight="1">
      <c r="A121" t="s">
        <v>4437</v>
      </c>
      <c r="B121">
        <v>42.13</v>
      </c>
      <c r="C121">
        <v>5.2</v>
      </c>
      <c r="E121" t="s">
        <v>4686</v>
      </c>
      <c r="F121" t="s">
        <v>4685</v>
      </c>
      <c r="G121" t="s">
        <v>4685</v>
      </c>
      <c r="H121" s="2">
        <v>1</v>
      </c>
      <c r="I121" t="s">
        <v>4686</v>
      </c>
      <c r="J121" t="str">
        <f t="shared" si="1"/>
        <v>normalweight</v>
      </c>
    </row>
    <row r="122" spans="1:10" ht="15.75" customHeight="1">
      <c r="A122" t="s">
        <v>4435</v>
      </c>
      <c r="B122">
        <v>30.78</v>
      </c>
      <c r="C122">
        <v>8.4499999999999993</v>
      </c>
      <c r="D122" s="6" t="s">
        <v>4684</v>
      </c>
      <c r="E122" t="s">
        <v>4686</v>
      </c>
      <c r="F122" t="s">
        <v>4685</v>
      </c>
      <c r="G122" t="s">
        <v>4685</v>
      </c>
      <c r="H122" s="2">
        <v>0</v>
      </c>
      <c r="I122" t="s">
        <v>4686</v>
      </c>
      <c r="J122" t="str">
        <f t="shared" si="1"/>
        <v>normalweight</v>
      </c>
    </row>
    <row r="123" spans="1:10" ht="15.75" customHeight="1">
      <c r="A123" t="s">
        <v>4433</v>
      </c>
      <c r="B123">
        <v>31.35</v>
      </c>
      <c r="C123">
        <v>9.5399999999999991</v>
      </c>
      <c r="D123" s="6" t="s">
        <v>4684</v>
      </c>
      <c r="E123" t="s">
        <v>4685</v>
      </c>
      <c r="F123" t="s">
        <v>4685</v>
      </c>
      <c r="G123" t="s">
        <v>4685</v>
      </c>
      <c r="H123" s="2">
        <v>0</v>
      </c>
      <c r="I123" t="s">
        <v>4686</v>
      </c>
      <c r="J123" t="str">
        <f t="shared" si="1"/>
        <v>normalweight</v>
      </c>
    </row>
    <row r="124" spans="1:10" ht="15.75" customHeight="1">
      <c r="A124" t="s">
        <v>4431</v>
      </c>
      <c r="B124">
        <v>41.46</v>
      </c>
      <c r="C124">
        <v>4.99</v>
      </c>
      <c r="E124" t="s">
        <v>4686</v>
      </c>
      <c r="F124" t="s">
        <v>4685</v>
      </c>
      <c r="G124" t="s">
        <v>4685</v>
      </c>
      <c r="H124" s="2">
        <v>2</v>
      </c>
      <c r="I124" t="s">
        <v>4686</v>
      </c>
      <c r="J124" t="str">
        <f t="shared" si="1"/>
        <v>normalweight</v>
      </c>
    </row>
    <row r="125" spans="1:10" ht="15.75" customHeight="1">
      <c r="A125" t="s">
        <v>4429</v>
      </c>
      <c r="B125">
        <v>48</v>
      </c>
      <c r="C125">
        <v>10.54</v>
      </c>
      <c r="D125" s="6" t="s">
        <v>4684</v>
      </c>
      <c r="E125" t="s">
        <v>4685</v>
      </c>
      <c r="F125" t="s">
        <v>4685</v>
      </c>
      <c r="G125" t="s">
        <v>4685</v>
      </c>
      <c r="H125" s="2">
        <v>0</v>
      </c>
      <c r="I125" t="s">
        <v>4686</v>
      </c>
      <c r="J125" t="str">
        <f t="shared" si="1"/>
        <v>normalweight</v>
      </c>
    </row>
    <row r="126" spans="1:10" ht="15.75" customHeight="1">
      <c r="A126" t="s">
        <v>4427</v>
      </c>
      <c r="B126">
        <v>49.13</v>
      </c>
      <c r="C126">
        <v>4.54</v>
      </c>
      <c r="E126" t="s">
        <v>4685</v>
      </c>
      <c r="F126" t="s">
        <v>4685</v>
      </c>
      <c r="G126" t="s">
        <v>4685</v>
      </c>
      <c r="H126" s="2">
        <v>0</v>
      </c>
      <c r="I126" t="s">
        <v>4686</v>
      </c>
      <c r="J126" t="str">
        <f t="shared" si="1"/>
        <v>normalweight</v>
      </c>
    </row>
    <row r="127" spans="1:10" ht="15.75" customHeight="1">
      <c r="A127" t="s">
        <v>4425</v>
      </c>
      <c r="B127">
        <v>37.799999999999997</v>
      </c>
      <c r="C127">
        <v>6.29</v>
      </c>
      <c r="E127" t="s">
        <v>4685</v>
      </c>
      <c r="F127" t="s">
        <v>4685</v>
      </c>
      <c r="G127" t="s">
        <v>4685</v>
      </c>
      <c r="H127" s="2">
        <v>1</v>
      </c>
      <c r="I127" t="s">
        <v>4686</v>
      </c>
      <c r="J127" t="str">
        <f t="shared" si="1"/>
        <v>normalweight</v>
      </c>
    </row>
    <row r="128" spans="1:10" ht="15.75" customHeight="1">
      <c r="A128" t="s">
        <v>4423</v>
      </c>
      <c r="B128">
        <v>38.299999999999997</v>
      </c>
      <c r="C128">
        <v>9.51</v>
      </c>
      <c r="D128" s="6" t="s">
        <v>4684</v>
      </c>
      <c r="E128" t="s">
        <v>4685</v>
      </c>
      <c r="F128" t="s">
        <v>4685</v>
      </c>
      <c r="G128" t="s">
        <v>4685</v>
      </c>
      <c r="H128" s="2">
        <v>0</v>
      </c>
      <c r="I128" t="s">
        <v>4686</v>
      </c>
      <c r="J128" t="str">
        <f t="shared" si="1"/>
        <v>normalweight</v>
      </c>
    </row>
    <row r="129" spans="1:10" ht="15.75" customHeight="1">
      <c r="A129" t="s">
        <v>4421</v>
      </c>
      <c r="B129">
        <v>32.774999999999999</v>
      </c>
      <c r="C129">
        <v>4.72</v>
      </c>
      <c r="E129" t="s">
        <v>4685</v>
      </c>
      <c r="F129" t="s">
        <v>4685</v>
      </c>
      <c r="G129" t="s">
        <v>4685</v>
      </c>
      <c r="H129" s="2">
        <v>0</v>
      </c>
      <c r="I129" t="s">
        <v>4686</v>
      </c>
      <c r="J129" t="str">
        <f t="shared" si="1"/>
        <v>normalweight</v>
      </c>
    </row>
    <row r="130" spans="1:10" ht="15.75" customHeight="1">
      <c r="A130" t="s">
        <v>4419</v>
      </c>
      <c r="B130">
        <v>34.200000000000003</v>
      </c>
      <c r="C130">
        <v>5.91</v>
      </c>
      <c r="E130" t="s">
        <v>4686</v>
      </c>
      <c r="F130" t="s">
        <v>4685</v>
      </c>
      <c r="G130" t="s">
        <v>4685</v>
      </c>
      <c r="H130" s="2">
        <v>0</v>
      </c>
      <c r="I130" t="s">
        <v>4686</v>
      </c>
      <c r="J130" t="str">
        <f t="shared" si="1"/>
        <v>normalweight</v>
      </c>
    </row>
    <row r="131" spans="1:10" ht="15.75" customHeight="1">
      <c r="A131" t="s">
        <v>4417</v>
      </c>
      <c r="B131">
        <v>30.2</v>
      </c>
      <c r="C131">
        <v>9.58</v>
      </c>
      <c r="D131" s="6" t="s">
        <v>4684</v>
      </c>
      <c r="E131" t="s">
        <v>4685</v>
      </c>
      <c r="F131" t="s">
        <v>4685</v>
      </c>
      <c r="G131" t="s">
        <v>4685</v>
      </c>
      <c r="H131" s="2">
        <v>0</v>
      </c>
      <c r="I131" t="s">
        <v>4686</v>
      </c>
      <c r="J131" t="str">
        <f t="shared" si="1"/>
        <v>normalweight</v>
      </c>
    </row>
    <row r="132" spans="1:10" ht="15.75" customHeight="1">
      <c r="A132" t="s">
        <v>4415</v>
      </c>
      <c r="B132">
        <v>48.32</v>
      </c>
      <c r="C132">
        <v>5.77</v>
      </c>
      <c r="E132" t="s">
        <v>4685</v>
      </c>
      <c r="F132" t="s">
        <v>4685</v>
      </c>
      <c r="G132" t="s">
        <v>4685</v>
      </c>
      <c r="H132" s="2">
        <v>0</v>
      </c>
      <c r="I132" t="s">
        <v>4686</v>
      </c>
      <c r="J132" t="str">
        <f t="shared" si="1"/>
        <v>normalweight</v>
      </c>
    </row>
    <row r="133" spans="1:10" ht="15.75" customHeight="1">
      <c r="A133" t="s">
        <v>4413</v>
      </c>
      <c r="B133">
        <v>44.86</v>
      </c>
      <c r="C133">
        <v>4.38</v>
      </c>
      <c r="E133" t="s">
        <v>4686</v>
      </c>
      <c r="F133" t="s">
        <v>4685</v>
      </c>
      <c r="G133" t="s">
        <v>4685</v>
      </c>
      <c r="H133" s="2">
        <v>0</v>
      </c>
      <c r="I133" t="s">
        <v>4686</v>
      </c>
      <c r="J133" t="str">
        <f t="shared" si="1"/>
        <v>normalweight</v>
      </c>
    </row>
    <row r="134" spans="1:10" ht="15.75" customHeight="1">
      <c r="A134" t="s">
        <v>4411</v>
      </c>
      <c r="B134">
        <v>52.15</v>
      </c>
      <c r="C134">
        <v>5.65</v>
      </c>
      <c r="E134" t="s">
        <v>4685</v>
      </c>
      <c r="F134" t="s">
        <v>4685</v>
      </c>
      <c r="G134" t="s">
        <v>4685</v>
      </c>
      <c r="H134" s="2">
        <v>1</v>
      </c>
      <c r="I134" t="s">
        <v>4686</v>
      </c>
      <c r="J134" t="str">
        <f t="shared" si="1"/>
        <v>normalweight</v>
      </c>
    </row>
    <row r="135" spans="1:10" ht="15.75" customHeight="1">
      <c r="A135" t="s">
        <v>4409</v>
      </c>
      <c r="B135">
        <v>41.12</v>
      </c>
      <c r="C135">
        <v>7.54</v>
      </c>
      <c r="D135" s="6" t="s">
        <v>4684</v>
      </c>
      <c r="E135" t="s">
        <v>4686</v>
      </c>
      <c r="F135" t="s">
        <v>4685</v>
      </c>
      <c r="G135" t="s">
        <v>4685</v>
      </c>
      <c r="H135" s="2">
        <v>0</v>
      </c>
      <c r="I135" t="s">
        <v>4686</v>
      </c>
      <c r="J135" t="str">
        <f t="shared" si="1"/>
        <v>normalweight</v>
      </c>
    </row>
    <row r="136" spans="1:10" ht="15.75" customHeight="1">
      <c r="A136" t="s">
        <v>4407</v>
      </c>
      <c r="B136">
        <v>38.39</v>
      </c>
      <c r="C136">
        <v>5.1100000000000003</v>
      </c>
      <c r="E136" t="s">
        <v>4686</v>
      </c>
      <c r="F136" t="s">
        <v>4685</v>
      </c>
      <c r="G136" t="s">
        <v>4685</v>
      </c>
      <c r="H136" s="2">
        <v>1</v>
      </c>
      <c r="I136" t="s">
        <v>4686</v>
      </c>
      <c r="J136" t="str">
        <f t="shared" si="1"/>
        <v>normalweight</v>
      </c>
    </row>
    <row r="137" spans="1:10" ht="15.75" customHeight="1">
      <c r="A137" t="s">
        <v>4405</v>
      </c>
      <c r="B137">
        <v>46.85</v>
      </c>
      <c r="C137">
        <v>4.25</v>
      </c>
      <c r="E137" t="s">
        <v>4685</v>
      </c>
      <c r="F137" t="s">
        <v>4685</v>
      </c>
      <c r="G137" t="s">
        <v>4688</v>
      </c>
      <c r="H137" s="2">
        <v>1</v>
      </c>
      <c r="I137" t="s">
        <v>4686</v>
      </c>
      <c r="J137" t="str">
        <f t="shared" si="1"/>
        <v>normalweight</v>
      </c>
    </row>
    <row r="138" spans="1:10" ht="15.75" customHeight="1">
      <c r="A138" t="s">
        <v>4403</v>
      </c>
      <c r="B138">
        <v>42.24</v>
      </c>
      <c r="C138">
        <v>5.55</v>
      </c>
      <c r="E138" t="s">
        <v>4685</v>
      </c>
      <c r="F138" t="s">
        <v>4686</v>
      </c>
      <c r="G138" t="s">
        <v>4685</v>
      </c>
      <c r="H138" s="2">
        <v>1</v>
      </c>
      <c r="I138" t="s">
        <v>4686</v>
      </c>
      <c r="J138" t="str">
        <f t="shared" si="1"/>
        <v>normalweight</v>
      </c>
    </row>
    <row r="139" spans="1:10" ht="15.75" customHeight="1">
      <c r="A139" t="s">
        <v>4401</v>
      </c>
      <c r="B139">
        <v>34.39</v>
      </c>
      <c r="C139">
        <v>5.78</v>
      </c>
      <c r="E139" t="s">
        <v>4685</v>
      </c>
      <c r="F139" t="s">
        <v>4685</v>
      </c>
      <c r="G139" t="s">
        <v>4685</v>
      </c>
      <c r="H139" s="2">
        <v>0</v>
      </c>
      <c r="I139" t="s">
        <v>4686</v>
      </c>
      <c r="J139" t="str">
        <f t="shared" si="1"/>
        <v>normalweight</v>
      </c>
    </row>
    <row r="140" spans="1:10" ht="15.75" customHeight="1">
      <c r="A140" t="s">
        <v>4399</v>
      </c>
      <c r="B140">
        <v>42.89</v>
      </c>
      <c r="C140">
        <v>5.28</v>
      </c>
      <c r="E140" t="s">
        <v>4686</v>
      </c>
      <c r="F140" t="s">
        <v>4685</v>
      </c>
      <c r="G140" t="s">
        <v>4685</v>
      </c>
      <c r="H140" s="2">
        <v>0</v>
      </c>
      <c r="I140" t="s">
        <v>4686</v>
      </c>
      <c r="J140" t="str">
        <f t="shared" si="1"/>
        <v>normalweight</v>
      </c>
    </row>
    <row r="141" spans="1:10" ht="15.75" customHeight="1">
      <c r="A141" t="s">
        <v>4397</v>
      </c>
      <c r="B141">
        <v>36.299999999999997</v>
      </c>
      <c r="C141">
        <v>5.39</v>
      </c>
      <c r="E141" t="s">
        <v>4685</v>
      </c>
      <c r="F141" t="s">
        <v>4685</v>
      </c>
      <c r="G141" t="s">
        <v>4685</v>
      </c>
      <c r="H141" s="2">
        <v>0</v>
      </c>
      <c r="I141" t="s">
        <v>4686</v>
      </c>
      <c r="J141" t="str">
        <f t="shared" si="1"/>
        <v>normalweight</v>
      </c>
    </row>
    <row r="142" spans="1:10" ht="15.75" customHeight="1">
      <c r="A142" t="s">
        <v>4395</v>
      </c>
      <c r="B142">
        <v>35.200000000000003</v>
      </c>
      <c r="C142">
        <v>8.01</v>
      </c>
      <c r="D142" s="6" t="s">
        <v>4684</v>
      </c>
      <c r="E142" t="s">
        <v>4686</v>
      </c>
      <c r="F142" t="s">
        <v>4685</v>
      </c>
      <c r="G142" t="s">
        <v>4685</v>
      </c>
      <c r="H142" s="2">
        <v>1</v>
      </c>
      <c r="I142" t="s">
        <v>4686</v>
      </c>
      <c r="J142" t="str">
        <f t="shared" si="1"/>
        <v>normalweight</v>
      </c>
    </row>
    <row r="143" spans="1:10" ht="15.75" customHeight="1">
      <c r="A143" t="s">
        <v>4393</v>
      </c>
      <c r="B143">
        <v>53.62</v>
      </c>
      <c r="C143">
        <v>5.21</v>
      </c>
      <c r="E143" t="s">
        <v>4685</v>
      </c>
      <c r="F143" t="s">
        <v>4685</v>
      </c>
      <c r="G143" t="s">
        <v>4685</v>
      </c>
      <c r="H143" s="2">
        <v>0</v>
      </c>
      <c r="I143" t="s">
        <v>4686</v>
      </c>
      <c r="J143" t="str">
        <f t="shared" si="1"/>
        <v>normalweight</v>
      </c>
    </row>
    <row r="144" spans="1:10" ht="15.75" customHeight="1">
      <c r="A144" t="s">
        <v>4391</v>
      </c>
      <c r="B144">
        <v>36.67</v>
      </c>
      <c r="C144">
        <v>6.27</v>
      </c>
      <c r="E144" t="s">
        <v>4685</v>
      </c>
      <c r="F144" t="s">
        <v>4685</v>
      </c>
      <c r="G144" t="s">
        <v>4685</v>
      </c>
      <c r="H144" s="2">
        <v>0</v>
      </c>
      <c r="I144" t="s">
        <v>4686</v>
      </c>
      <c r="J144" t="str">
        <f t="shared" si="1"/>
        <v>normalweight</v>
      </c>
    </row>
    <row r="145" spans="1:10" ht="15.75" customHeight="1">
      <c r="A145" t="s">
        <v>4389</v>
      </c>
      <c r="B145">
        <v>33.4</v>
      </c>
      <c r="C145">
        <v>10.73</v>
      </c>
      <c r="D145" s="6" t="s">
        <v>4684</v>
      </c>
      <c r="E145" t="s">
        <v>4686</v>
      </c>
      <c r="F145" t="s">
        <v>4685</v>
      </c>
      <c r="G145" t="s">
        <v>4685</v>
      </c>
      <c r="H145" s="2">
        <v>1</v>
      </c>
      <c r="I145" t="s">
        <v>4686</v>
      </c>
      <c r="J145" t="str">
        <f t="shared" si="1"/>
        <v>normalweight</v>
      </c>
    </row>
    <row r="146" spans="1:10" ht="15.75" customHeight="1">
      <c r="A146" t="s">
        <v>4387</v>
      </c>
      <c r="B146">
        <v>42.71</v>
      </c>
      <c r="C146">
        <v>10.52</v>
      </c>
      <c r="D146" s="6" t="s">
        <v>4684</v>
      </c>
      <c r="E146" t="s">
        <v>4685</v>
      </c>
      <c r="F146" t="s">
        <v>4685</v>
      </c>
      <c r="G146" t="s">
        <v>4685</v>
      </c>
      <c r="H146" s="2">
        <v>0</v>
      </c>
      <c r="I146" t="s">
        <v>4686</v>
      </c>
      <c r="J146" t="str">
        <f t="shared" si="1"/>
        <v>normalweight</v>
      </c>
    </row>
    <row r="147" spans="1:10" ht="15.75" customHeight="1">
      <c r="A147" t="s">
        <v>4385</v>
      </c>
      <c r="B147">
        <v>41.52</v>
      </c>
      <c r="C147">
        <v>11.82</v>
      </c>
      <c r="D147" s="6" t="s">
        <v>4684</v>
      </c>
      <c r="E147" t="s">
        <v>4686</v>
      </c>
      <c r="F147" t="s">
        <v>4685</v>
      </c>
      <c r="G147" t="s">
        <v>4685</v>
      </c>
      <c r="H147" s="2">
        <v>2</v>
      </c>
      <c r="I147" t="s">
        <v>4686</v>
      </c>
      <c r="J147" t="str">
        <f t="shared" si="1"/>
        <v>normalweight</v>
      </c>
    </row>
    <row r="148" spans="1:10" ht="15.75" customHeight="1">
      <c r="A148" t="s">
        <v>4383</v>
      </c>
      <c r="B148">
        <v>39.4</v>
      </c>
      <c r="C148">
        <v>6.76</v>
      </c>
      <c r="D148" s="6" t="s">
        <v>4684</v>
      </c>
      <c r="E148" t="s">
        <v>4685</v>
      </c>
      <c r="F148" t="s">
        <v>4685</v>
      </c>
      <c r="G148" t="s">
        <v>4685</v>
      </c>
      <c r="H148" s="2">
        <v>0</v>
      </c>
      <c r="I148" t="s">
        <v>4686</v>
      </c>
      <c r="J148" t="str">
        <f t="shared" si="1"/>
        <v>normalweight</v>
      </c>
    </row>
    <row r="149" spans="1:10" ht="15.75" customHeight="1">
      <c r="A149" t="s">
        <v>4381</v>
      </c>
      <c r="B149">
        <v>46.45</v>
      </c>
      <c r="C149">
        <v>5.62</v>
      </c>
      <c r="E149" t="s">
        <v>4685</v>
      </c>
      <c r="F149" t="s">
        <v>4685</v>
      </c>
      <c r="G149" t="s">
        <v>4685</v>
      </c>
      <c r="H149" s="2">
        <v>0</v>
      </c>
      <c r="I149" t="s">
        <v>4686</v>
      </c>
      <c r="J149" t="str">
        <f t="shared" si="1"/>
        <v>normalweight</v>
      </c>
    </row>
    <row r="150" spans="1:10" ht="15.75" customHeight="1">
      <c r="A150" t="s">
        <v>4379</v>
      </c>
      <c r="B150">
        <v>35.75</v>
      </c>
      <c r="C150">
        <v>4.1900000000000004</v>
      </c>
      <c r="E150" t="s">
        <v>4685</v>
      </c>
      <c r="F150" t="s">
        <v>4685</v>
      </c>
      <c r="G150" t="s">
        <v>4685</v>
      </c>
      <c r="H150" s="2">
        <v>0</v>
      </c>
      <c r="I150" t="s">
        <v>4686</v>
      </c>
      <c r="J150" t="str">
        <f t="shared" si="1"/>
        <v>normalweight</v>
      </c>
    </row>
    <row r="151" spans="1:10" ht="15.75" customHeight="1">
      <c r="A151" t="s">
        <v>4377</v>
      </c>
      <c r="B151">
        <v>26.07</v>
      </c>
      <c r="C151">
        <v>5.32</v>
      </c>
      <c r="E151" t="s">
        <v>4685</v>
      </c>
      <c r="F151" t="s">
        <v>4685</v>
      </c>
      <c r="G151" t="s">
        <v>4685</v>
      </c>
      <c r="H151" s="2">
        <v>0</v>
      </c>
      <c r="I151" t="s">
        <v>4686</v>
      </c>
      <c r="J151" t="str">
        <f t="shared" si="1"/>
        <v>normalweight</v>
      </c>
    </row>
    <row r="152" spans="1:10" ht="15.75" customHeight="1">
      <c r="A152" t="s">
        <v>4375</v>
      </c>
      <c r="B152">
        <v>36.54</v>
      </c>
      <c r="C152">
        <v>4.46</v>
      </c>
      <c r="E152" t="s">
        <v>4686</v>
      </c>
      <c r="F152" t="s">
        <v>4685</v>
      </c>
      <c r="G152" t="s">
        <v>4685</v>
      </c>
      <c r="H152" s="2">
        <v>1</v>
      </c>
      <c r="I152" t="s">
        <v>4686</v>
      </c>
      <c r="J152" t="str">
        <f t="shared" si="1"/>
        <v>normalweight</v>
      </c>
    </row>
    <row r="153" spans="1:10" ht="15.75" customHeight="1">
      <c r="A153" t="s">
        <v>4373</v>
      </c>
      <c r="B153">
        <v>51.64</v>
      </c>
      <c r="C153">
        <v>5.65</v>
      </c>
      <c r="E153" t="s">
        <v>4685</v>
      </c>
      <c r="F153" t="s">
        <v>4685</v>
      </c>
      <c r="G153" t="s">
        <v>4685</v>
      </c>
      <c r="H153" s="2">
        <v>0</v>
      </c>
      <c r="I153" t="s">
        <v>4686</v>
      </c>
      <c r="J153" t="str">
        <f t="shared" si="1"/>
        <v>normalweight</v>
      </c>
    </row>
    <row r="154" spans="1:10" ht="15.75" customHeight="1">
      <c r="A154" t="s">
        <v>4371</v>
      </c>
      <c r="B154">
        <v>42.83</v>
      </c>
      <c r="C154">
        <v>6.04</v>
      </c>
      <c r="E154" t="s">
        <v>4685</v>
      </c>
      <c r="F154" t="s">
        <v>4685</v>
      </c>
      <c r="G154" t="s">
        <v>4685</v>
      </c>
      <c r="H154" s="2">
        <v>2</v>
      </c>
      <c r="I154" t="s">
        <v>4686</v>
      </c>
      <c r="J154" t="str">
        <f t="shared" si="1"/>
        <v>normalweight</v>
      </c>
    </row>
    <row r="155" spans="1:10" ht="15.75" customHeight="1">
      <c r="A155" t="s">
        <v>4369</v>
      </c>
      <c r="B155">
        <v>40.15</v>
      </c>
      <c r="C155">
        <v>5.76</v>
      </c>
      <c r="E155" t="s">
        <v>4685</v>
      </c>
      <c r="F155" t="s">
        <v>4685</v>
      </c>
      <c r="G155" t="s">
        <v>4685</v>
      </c>
      <c r="H155" s="2">
        <v>1</v>
      </c>
      <c r="I155" t="s">
        <v>4686</v>
      </c>
      <c r="J155" t="str">
        <f t="shared" si="1"/>
        <v>normalweight</v>
      </c>
    </row>
    <row r="156" spans="1:10" ht="15.75" customHeight="1">
      <c r="A156" t="s">
        <v>4367</v>
      </c>
      <c r="B156">
        <v>27.8</v>
      </c>
      <c r="C156">
        <v>4.3600000000000003</v>
      </c>
      <c r="E156" t="s">
        <v>4685</v>
      </c>
      <c r="F156" t="s">
        <v>4685</v>
      </c>
      <c r="G156" t="s">
        <v>4688</v>
      </c>
      <c r="H156" s="2">
        <v>1</v>
      </c>
      <c r="I156" t="s">
        <v>4686</v>
      </c>
      <c r="J156" t="str">
        <f t="shared" si="1"/>
        <v>normalweight</v>
      </c>
    </row>
    <row r="157" spans="1:10" ht="15.75" customHeight="1">
      <c r="A157" t="s">
        <v>4365</v>
      </c>
      <c r="B157">
        <v>45.81</v>
      </c>
      <c r="C157">
        <v>4.76</v>
      </c>
      <c r="E157" t="s">
        <v>4686</v>
      </c>
      <c r="F157" t="s">
        <v>4685</v>
      </c>
      <c r="G157" t="s">
        <v>4688</v>
      </c>
      <c r="H157" s="2">
        <v>1</v>
      </c>
      <c r="I157" t="s">
        <v>4686</v>
      </c>
      <c r="J157" t="str">
        <f t="shared" si="1"/>
        <v>normalweight</v>
      </c>
    </row>
    <row r="158" spans="1:10" ht="15.75" customHeight="1">
      <c r="A158" t="s">
        <v>4363</v>
      </c>
      <c r="B158">
        <v>34.43</v>
      </c>
      <c r="C158">
        <v>10.82</v>
      </c>
      <c r="D158" s="6" t="s">
        <v>4684</v>
      </c>
      <c r="E158" t="s">
        <v>4686</v>
      </c>
      <c r="F158" t="s">
        <v>4685</v>
      </c>
      <c r="G158" t="s">
        <v>4685</v>
      </c>
      <c r="H158" s="2">
        <v>1</v>
      </c>
      <c r="I158" t="s">
        <v>4686</v>
      </c>
      <c r="J158" t="str">
        <f t="shared" si="1"/>
        <v>normalweight</v>
      </c>
    </row>
    <row r="159" spans="1:10" ht="15.75" customHeight="1">
      <c r="A159" t="s">
        <v>4361</v>
      </c>
      <c r="B159">
        <v>41.33</v>
      </c>
      <c r="C159">
        <v>4.01</v>
      </c>
      <c r="E159" t="s">
        <v>4686</v>
      </c>
      <c r="F159" t="s">
        <v>4685</v>
      </c>
      <c r="G159" t="s">
        <v>4685</v>
      </c>
      <c r="H159" s="2">
        <v>0</v>
      </c>
      <c r="I159" t="s">
        <v>4686</v>
      </c>
      <c r="J159" t="str">
        <f t="shared" si="1"/>
        <v>normalweight</v>
      </c>
    </row>
    <row r="160" spans="1:10" ht="15.75" customHeight="1">
      <c r="A160" t="s">
        <v>4359</v>
      </c>
      <c r="B160">
        <v>31.92</v>
      </c>
      <c r="C160">
        <v>5.12</v>
      </c>
      <c r="E160" t="s">
        <v>4686</v>
      </c>
      <c r="F160" t="s">
        <v>4685</v>
      </c>
      <c r="G160" t="s">
        <v>4685</v>
      </c>
      <c r="H160" s="2">
        <v>1</v>
      </c>
      <c r="I160" t="s">
        <v>4686</v>
      </c>
      <c r="J160" t="str">
        <f t="shared" si="1"/>
        <v>normalweight</v>
      </c>
    </row>
    <row r="161" spans="1:10" ht="15.75" customHeight="1">
      <c r="A161" t="s">
        <v>4357</v>
      </c>
      <c r="B161">
        <v>39.799999999999997</v>
      </c>
      <c r="C161">
        <v>10.54</v>
      </c>
      <c r="D161" s="6" t="s">
        <v>4684</v>
      </c>
      <c r="E161" t="s">
        <v>4686</v>
      </c>
      <c r="F161" t="s">
        <v>4685</v>
      </c>
      <c r="G161" t="s">
        <v>4685</v>
      </c>
      <c r="H161" s="2">
        <v>2</v>
      </c>
      <c r="I161" t="s">
        <v>4686</v>
      </c>
      <c r="J161" t="str">
        <f t="shared" si="1"/>
        <v>normalweight</v>
      </c>
    </row>
    <row r="162" spans="1:10" ht="15.75" customHeight="1">
      <c r="A162" t="s">
        <v>4355</v>
      </c>
      <c r="B162">
        <v>42.82</v>
      </c>
      <c r="C162">
        <v>4.21</v>
      </c>
      <c r="E162" t="s">
        <v>4685</v>
      </c>
      <c r="F162" t="s">
        <v>4685</v>
      </c>
      <c r="G162" t="s">
        <v>4685</v>
      </c>
      <c r="H162" s="2">
        <v>0</v>
      </c>
      <c r="I162" t="s">
        <v>4686</v>
      </c>
      <c r="J162" t="str">
        <f t="shared" si="1"/>
        <v>normalweight</v>
      </c>
    </row>
    <row r="163" spans="1:10" ht="15.75" customHeight="1">
      <c r="A163" t="s">
        <v>4353</v>
      </c>
      <c r="B163">
        <v>33.630000000000003</v>
      </c>
      <c r="C163">
        <v>5.42</v>
      </c>
      <c r="E163" t="s">
        <v>4685</v>
      </c>
      <c r="F163" t="s">
        <v>4685</v>
      </c>
      <c r="G163" t="s">
        <v>4685</v>
      </c>
      <c r="H163" s="2">
        <v>0</v>
      </c>
      <c r="I163" t="s">
        <v>4686</v>
      </c>
      <c r="J163" t="str">
        <f t="shared" si="1"/>
        <v>normalweight</v>
      </c>
    </row>
    <row r="164" spans="1:10" ht="15.75" customHeight="1">
      <c r="A164" t="s">
        <v>4351</v>
      </c>
      <c r="B164">
        <v>37.07</v>
      </c>
      <c r="C164">
        <v>4.28</v>
      </c>
      <c r="E164" t="s">
        <v>4685</v>
      </c>
      <c r="F164" t="s">
        <v>4686</v>
      </c>
      <c r="G164" t="s">
        <v>4685</v>
      </c>
      <c r="H164" s="2">
        <v>1</v>
      </c>
      <c r="I164" t="s">
        <v>4686</v>
      </c>
      <c r="J164" t="str">
        <f t="shared" si="1"/>
        <v>normalweight</v>
      </c>
    </row>
    <row r="165" spans="1:10" ht="15.75" customHeight="1">
      <c r="A165" t="s">
        <v>4349</v>
      </c>
      <c r="B165">
        <v>35.625</v>
      </c>
      <c r="C165">
        <v>8.9</v>
      </c>
      <c r="D165" s="6" t="s">
        <v>4684</v>
      </c>
      <c r="E165" t="s">
        <v>4685</v>
      </c>
      <c r="F165" t="s">
        <v>4685</v>
      </c>
      <c r="G165" t="s">
        <v>4685</v>
      </c>
      <c r="H165" s="2">
        <v>0</v>
      </c>
      <c r="I165" t="s">
        <v>4686</v>
      </c>
      <c r="J165" t="str">
        <f t="shared" si="1"/>
        <v>normalweight</v>
      </c>
    </row>
    <row r="166" spans="1:10" ht="15.75" customHeight="1">
      <c r="A166" t="s">
        <v>4347</v>
      </c>
      <c r="B166">
        <v>42.69</v>
      </c>
      <c r="C166">
        <v>4.8899999999999997</v>
      </c>
      <c r="E166" t="s">
        <v>4685</v>
      </c>
      <c r="F166" t="s">
        <v>4685</v>
      </c>
      <c r="G166" t="s">
        <v>4688</v>
      </c>
      <c r="H166" s="2">
        <v>1</v>
      </c>
      <c r="I166" t="s">
        <v>4686</v>
      </c>
      <c r="J166" t="str">
        <f t="shared" si="1"/>
        <v>normalweight</v>
      </c>
    </row>
    <row r="167" spans="1:10" ht="15.75" customHeight="1">
      <c r="A167" t="s">
        <v>4345</v>
      </c>
      <c r="B167">
        <v>37.869999999999997</v>
      </c>
      <c r="C167">
        <v>4.29</v>
      </c>
      <c r="E167" t="s">
        <v>4686</v>
      </c>
      <c r="F167" t="s">
        <v>4685</v>
      </c>
      <c r="G167" t="s">
        <v>4688</v>
      </c>
      <c r="H167" s="2">
        <v>1</v>
      </c>
      <c r="I167" t="s">
        <v>4686</v>
      </c>
      <c r="J167" t="str">
        <f t="shared" si="1"/>
        <v>normalweight</v>
      </c>
    </row>
    <row r="168" spans="1:10" ht="15.75" customHeight="1">
      <c r="A168" t="s">
        <v>4343</v>
      </c>
      <c r="B168">
        <v>40.61</v>
      </c>
      <c r="C168">
        <v>8</v>
      </c>
      <c r="D168" s="6" t="s">
        <v>4684</v>
      </c>
      <c r="E168" t="s">
        <v>4686</v>
      </c>
      <c r="F168" t="s">
        <v>4685</v>
      </c>
      <c r="G168" t="s">
        <v>4685</v>
      </c>
      <c r="H168" s="2">
        <v>1</v>
      </c>
      <c r="I168" t="s">
        <v>4686</v>
      </c>
      <c r="J168" t="str">
        <f t="shared" si="1"/>
        <v>normalweight</v>
      </c>
    </row>
    <row r="169" spans="1:10" ht="15.75" customHeight="1">
      <c r="A169" t="s">
        <v>4341</v>
      </c>
      <c r="B169">
        <v>30.78</v>
      </c>
      <c r="C169">
        <v>4.67</v>
      </c>
      <c r="E169" t="s">
        <v>4686</v>
      </c>
      <c r="F169" t="s">
        <v>4685</v>
      </c>
      <c r="G169" t="s">
        <v>4685</v>
      </c>
      <c r="H169" s="2">
        <v>0</v>
      </c>
      <c r="I169" t="s">
        <v>4686</v>
      </c>
      <c r="J169" t="str">
        <f t="shared" si="1"/>
        <v>normalweight</v>
      </c>
    </row>
    <row r="170" spans="1:10" ht="15.75" customHeight="1">
      <c r="A170" t="s">
        <v>4339</v>
      </c>
      <c r="B170">
        <v>49.49</v>
      </c>
      <c r="C170">
        <v>4.5</v>
      </c>
      <c r="E170" t="s">
        <v>4685</v>
      </c>
      <c r="F170" t="s">
        <v>4685</v>
      </c>
      <c r="G170" t="s">
        <v>4685</v>
      </c>
      <c r="H170" s="2">
        <v>0</v>
      </c>
      <c r="I170" t="s">
        <v>4686</v>
      </c>
      <c r="J170" t="str">
        <f t="shared" si="1"/>
        <v>normalweight</v>
      </c>
    </row>
    <row r="171" spans="1:10" ht="15.75" customHeight="1">
      <c r="A171" t="s">
        <v>4337</v>
      </c>
      <c r="B171">
        <v>37.619999999999997</v>
      </c>
      <c r="C171">
        <v>6.32</v>
      </c>
      <c r="E171" t="s">
        <v>4686</v>
      </c>
      <c r="F171" t="s">
        <v>4686</v>
      </c>
      <c r="G171" t="s">
        <v>4685</v>
      </c>
      <c r="H171" s="2">
        <v>2</v>
      </c>
      <c r="I171" t="s">
        <v>4686</v>
      </c>
      <c r="J171" t="str">
        <f t="shared" si="1"/>
        <v>normalweight</v>
      </c>
    </row>
    <row r="172" spans="1:10" ht="15.75" customHeight="1">
      <c r="A172" t="s">
        <v>4335</v>
      </c>
      <c r="B172">
        <v>36.08</v>
      </c>
      <c r="C172">
        <v>6.1</v>
      </c>
      <c r="E172" t="s">
        <v>4686</v>
      </c>
      <c r="F172" t="s">
        <v>4685</v>
      </c>
      <c r="G172" t="s">
        <v>4685</v>
      </c>
      <c r="H172" s="2">
        <v>1</v>
      </c>
      <c r="I172" t="s">
        <v>4686</v>
      </c>
      <c r="J172" t="str">
        <f t="shared" si="1"/>
        <v>normalweight</v>
      </c>
    </row>
    <row r="173" spans="1:10" ht="15.75" customHeight="1">
      <c r="A173" t="s">
        <v>4333</v>
      </c>
      <c r="B173">
        <v>33.5</v>
      </c>
      <c r="C173">
        <v>5.4</v>
      </c>
      <c r="E173" t="s">
        <v>4685</v>
      </c>
      <c r="F173" t="s">
        <v>4685</v>
      </c>
      <c r="G173" t="s">
        <v>4685</v>
      </c>
      <c r="H173" s="2">
        <v>0</v>
      </c>
      <c r="I173" t="s">
        <v>4686</v>
      </c>
      <c r="J173" t="str">
        <f t="shared" si="1"/>
        <v>normalweight</v>
      </c>
    </row>
    <row r="174" spans="1:10" ht="15.75" customHeight="1">
      <c r="A174" t="s">
        <v>4331</v>
      </c>
      <c r="B174">
        <v>47.46</v>
      </c>
      <c r="C174">
        <v>6.24</v>
      </c>
      <c r="E174" t="s">
        <v>4686</v>
      </c>
      <c r="F174" t="s">
        <v>4685</v>
      </c>
      <c r="G174" t="s">
        <v>4685</v>
      </c>
      <c r="H174" s="2">
        <v>1</v>
      </c>
      <c r="I174" t="s">
        <v>4686</v>
      </c>
      <c r="J174" t="str">
        <f t="shared" si="1"/>
        <v>normalweight</v>
      </c>
    </row>
    <row r="175" spans="1:10" ht="15.75" customHeight="1">
      <c r="A175" t="s">
        <v>4329</v>
      </c>
      <c r="B175">
        <v>49.24</v>
      </c>
      <c r="C175">
        <v>4.45</v>
      </c>
      <c r="E175" t="s">
        <v>4685</v>
      </c>
      <c r="F175" t="s">
        <v>4685</v>
      </c>
      <c r="G175" t="s">
        <v>4685</v>
      </c>
      <c r="H175" s="2">
        <v>0</v>
      </c>
      <c r="I175" t="s">
        <v>4686</v>
      </c>
      <c r="J175" t="str">
        <f t="shared" si="1"/>
        <v>normalweight</v>
      </c>
    </row>
    <row r="176" spans="1:10" ht="15.75" customHeight="1">
      <c r="A176" t="s">
        <v>4327</v>
      </c>
      <c r="B176">
        <v>54.4</v>
      </c>
      <c r="C176">
        <v>5.22</v>
      </c>
      <c r="E176" t="s">
        <v>4685</v>
      </c>
      <c r="F176" t="s">
        <v>4685</v>
      </c>
      <c r="G176" t="s">
        <v>4685</v>
      </c>
      <c r="H176" s="2">
        <v>1</v>
      </c>
      <c r="I176" t="s">
        <v>4686</v>
      </c>
      <c r="J176" t="str">
        <f t="shared" si="1"/>
        <v>normalweight</v>
      </c>
    </row>
    <row r="177" spans="1:10" ht="15.75" customHeight="1">
      <c r="A177" t="s">
        <v>4325</v>
      </c>
      <c r="B177">
        <v>35.53</v>
      </c>
      <c r="C177">
        <v>4.6100000000000003</v>
      </c>
      <c r="E177" t="s">
        <v>4685</v>
      </c>
      <c r="F177" t="s">
        <v>4685</v>
      </c>
      <c r="G177" t="s">
        <v>4685</v>
      </c>
      <c r="H177" s="2">
        <v>1</v>
      </c>
      <c r="I177" t="s">
        <v>4686</v>
      </c>
      <c r="J177" t="str">
        <f t="shared" si="1"/>
        <v>normalweight</v>
      </c>
    </row>
    <row r="178" spans="1:10" ht="15.75" customHeight="1">
      <c r="A178" t="s">
        <v>4323</v>
      </c>
      <c r="B178">
        <v>39.729999999999997</v>
      </c>
      <c r="C178">
        <v>6.24</v>
      </c>
      <c r="E178" t="s">
        <v>4685</v>
      </c>
      <c r="F178" t="s">
        <v>4685</v>
      </c>
      <c r="G178" t="s">
        <v>4685</v>
      </c>
      <c r="H178" s="2">
        <v>0</v>
      </c>
      <c r="I178" t="s">
        <v>4686</v>
      </c>
      <c r="J178" t="str">
        <f t="shared" si="1"/>
        <v>normalweight</v>
      </c>
    </row>
    <row r="179" spans="1:10" ht="15.75" customHeight="1">
      <c r="A179" t="s">
        <v>4321</v>
      </c>
      <c r="B179">
        <v>35.68</v>
      </c>
      <c r="C179">
        <v>10.039999999999999</v>
      </c>
      <c r="D179" s="6" t="s">
        <v>4684</v>
      </c>
      <c r="E179" t="s">
        <v>4685</v>
      </c>
      <c r="F179" t="s">
        <v>4685</v>
      </c>
      <c r="G179" t="s">
        <v>4685</v>
      </c>
      <c r="H179" s="2">
        <v>0</v>
      </c>
      <c r="I179" t="s">
        <v>4686</v>
      </c>
      <c r="J179" t="str">
        <f t="shared" si="1"/>
        <v>normalweight</v>
      </c>
    </row>
    <row r="180" spans="1:10" ht="15.75" customHeight="1">
      <c r="A180" t="s">
        <v>4319</v>
      </c>
      <c r="B180">
        <v>48.86</v>
      </c>
      <c r="C180">
        <v>6.09</v>
      </c>
      <c r="E180" t="s">
        <v>4685</v>
      </c>
      <c r="F180" t="s">
        <v>4685</v>
      </c>
      <c r="G180" t="s">
        <v>4685</v>
      </c>
      <c r="H180" s="2">
        <v>0</v>
      </c>
      <c r="I180" t="s">
        <v>4686</v>
      </c>
      <c r="J180" t="str">
        <f t="shared" si="1"/>
        <v>normalweight</v>
      </c>
    </row>
    <row r="181" spans="1:10" ht="15.75" customHeight="1">
      <c r="A181" t="s">
        <v>4317</v>
      </c>
      <c r="B181">
        <v>34.799999999999997</v>
      </c>
      <c r="C181">
        <v>11.4</v>
      </c>
      <c r="D181" s="6" t="s">
        <v>4684</v>
      </c>
      <c r="E181" t="s">
        <v>4686</v>
      </c>
      <c r="F181" t="s">
        <v>4685</v>
      </c>
      <c r="G181" t="s">
        <v>4688</v>
      </c>
      <c r="H181" s="2">
        <v>1</v>
      </c>
      <c r="I181" t="s">
        <v>4685</v>
      </c>
      <c r="J181" t="str">
        <f t="shared" si="1"/>
        <v>normalweight</v>
      </c>
    </row>
    <row r="182" spans="1:10" ht="15.75" customHeight="1">
      <c r="A182" t="s">
        <v>4315</v>
      </c>
      <c r="B182">
        <v>32.49</v>
      </c>
      <c r="C182">
        <v>4.29</v>
      </c>
      <c r="E182" t="s">
        <v>4685</v>
      </c>
      <c r="F182" t="s">
        <v>4685</v>
      </c>
      <c r="G182" t="s">
        <v>4688</v>
      </c>
      <c r="H182" s="2">
        <v>1</v>
      </c>
      <c r="I182" t="s">
        <v>4686</v>
      </c>
      <c r="J182" t="str">
        <f t="shared" si="1"/>
        <v>normalweight</v>
      </c>
    </row>
    <row r="183" spans="1:10" ht="15.75" customHeight="1">
      <c r="A183" t="s">
        <v>4313</v>
      </c>
      <c r="B183">
        <v>39</v>
      </c>
      <c r="C183">
        <v>5.7</v>
      </c>
      <c r="E183" t="s">
        <v>4685</v>
      </c>
      <c r="F183" t="s">
        <v>4685</v>
      </c>
      <c r="G183" t="s">
        <v>4685</v>
      </c>
      <c r="H183" s="2">
        <v>2</v>
      </c>
      <c r="I183" t="s">
        <v>4686</v>
      </c>
      <c r="J183" t="str">
        <f t="shared" si="1"/>
        <v>normalweight</v>
      </c>
    </row>
    <row r="184" spans="1:10" ht="15.75" customHeight="1">
      <c r="A184" t="s">
        <v>4311</v>
      </c>
      <c r="B184">
        <v>35.299999999999997</v>
      </c>
      <c r="C184">
        <v>6.09</v>
      </c>
      <c r="E184" t="s">
        <v>4685</v>
      </c>
      <c r="F184" t="s">
        <v>4685</v>
      </c>
      <c r="G184" t="s">
        <v>4685</v>
      </c>
      <c r="H184" s="2">
        <v>1</v>
      </c>
      <c r="I184" t="s">
        <v>4686</v>
      </c>
      <c r="J184" t="str">
        <f t="shared" si="1"/>
        <v>normalweight</v>
      </c>
    </row>
    <row r="185" spans="1:10" ht="15.75" customHeight="1">
      <c r="A185" t="s">
        <v>4309</v>
      </c>
      <c r="B185">
        <v>33.42</v>
      </c>
      <c r="C185">
        <v>10.67</v>
      </c>
      <c r="D185" s="6" t="s">
        <v>4684</v>
      </c>
      <c r="E185" t="s">
        <v>4685</v>
      </c>
      <c r="F185" t="s">
        <v>4685</v>
      </c>
      <c r="G185" t="s">
        <v>4685</v>
      </c>
      <c r="H185" s="2">
        <v>0</v>
      </c>
      <c r="I185" t="s">
        <v>4686</v>
      </c>
      <c r="J185" t="str">
        <f t="shared" si="1"/>
        <v>normalweight</v>
      </c>
    </row>
    <row r="186" spans="1:10" ht="15.75" customHeight="1">
      <c r="A186" t="s">
        <v>4307</v>
      </c>
      <c r="B186">
        <v>37.18</v>
      </c>
      <c r="C186">
        <v>6.75</v>
      </c>
      <c r="E186" t="s">
        <v>4686</v>
      </c>
      <c r="F186" t="s">
        <v>4685</v>
      </c>
      <c r="G186" t="s">
        <v>4685</v>
      </c>
      <c r="H186" s="2">
        <v>2</v>
      </c>
      <c r="I186" t="s">
        <v>4686</v>
      </c>
      <c r="J186" t="str">
        <f t="shared" si="1"/>
        <v>normalweight</v>
      </c>
    </row>
    <row r="187" spans="1:10" ht="15.75" customHeight="1">
      <c r="A187" t="s">
        <v>4305</v>
      </c>
      <c r="B187">
        <v>33.33</v>
      </c>
      <c r="C187">
        <v>9.26</v>
      </c>
      <c r="D187" s="6" t="s">
        <v>4684</v>
      </c>
      <c r="E187" t="s">
        <v>4686</v>
      </c>
      <c r="F187" t="s">
        <v>4685</v>
      </c>
      <c r="G187" t="s">
        <v>4685</v>
      </c>
      <c r="H187" s="2">
        <v>2</v>
      </c>
      <c r="I187" t="s">
        <v>4685</v>
      </c>
      <c r="J187" t="str">
        <f t="shared" si="1"/>
        <v>normalweight</v>
      </c>
    </row>
    <row r="188" spans="1:10" ht="15.75" customHeight="1">
      <c r="A188" t="s">
        <v>4303</v>
      </c>
      <c r="B188">
        <v>53.21</v>
      </c>
      <c r="C188">
        <v>4.2699999999999996</v>
      </c>
      <c r="E188" t="s">
        <v>4685</v>
      </c>
      <c r="F188" t="s">
        <v>4685</v>
      </c>
      <c r="G188" t="s">
        <v>4685</v>
      </c>
      <c r="H188" s="2">
        <v>1</v>
      </c>
      <c r="I188" t="s">
        <v>4686</v>
      </c>
      <c r="J188" t="str">
        <f t="shared" si="1"/>
        <v>normalweight</v>
      </c>
    </row>
    <row r="189" spans="1:10" ht="15.75" customHeight="1">
      <c r="A189" t="s">
        <v>4301</v>
      </c>
      <c r="B189">
        <v>38.729999999999997</v>
      </c>
      <c r="C189">
        <v>11.51</v>
      </c>
      <c r="D189" s="6" t="s">
        <v>4684</v>
      </c>
      <c r="E189" t="s">
        <v>4685</v>
      </c>
      <c r="F189" t="s">
        <v>4685</v>
      </c>
      <c r="G189" t="s">
        <v>4685</v>
      </c>
      <c r="H189" s="2">
        <v>2</v>
      </c>
      <c r="I189" t="s">
        <v>4686</v>
      </c>
      <c r="J189" t="str">
        <f t="shared" si="1"/>
        <v>normalweight</v>
      </c>
    </row>
    <row r="190" spans="1:10" ht="15.75" customHeight="1">
      <c r="A190" t="s">
        <v>4299</v>
      </c>
      <c r="B190">
        <v>29.73</v>
      </c>
      <c r="C190">
        <v>7.22</v>
      </c>
      <c r="D190" s="6" t="s">
        <v>4684</v>
      </c>
      <c r="E190" t="s">
        <v>4685</v>
      </c>
      <c r="F190" t="s">
        <v>4685</v>
      </c>
      <c r="G190" t="s">
        <v>4685</v>
      </c>
      <c r="H190" s="2">
        <v>0</v>
      </c>
      <c r="I190" t="s">
        <v>4686</v>
      </c>
      <c r="J190" t="str">
        <f t="shared" si="1"/>
        <v>normalweight</v>
      </c>
    </row>
    <row r="191" spans="1:10" ht="15.75" customHeight="1">
      <c r="A191" t="s">
        <v>4297</v>
      </c>
      <c r="B191">
        <v>34.700000000000003</v>
      </c>
      <c r="C191">
        <v>4.37</v>
      </c>
      <c r="E191" t="s">
        <v>4685</v>
      </c>
      <c r="F191" t="s">
        <v>4685</v>
      </c>
      <c r="G191" t="s">
        <v>4688</v>
      </c>
      <c r="H191" s="2">
        <v>1</v>
      </c>
      <c r="I191" t="s">
        <v>4686</v>
      </c>
      <c r="J191" t="str">
        <f t="shared" si="1"/>
        <v>normalweight</v>
      </c>
    </row>
    <row r="192" spans="1:10" ht="15.75" customHeight="1">
      <c r="A192" t="s">
        <v>4295</v>
      </c>
      <c r="B192">
        <v>38.28</v>
      </c>
      <c r="C192">
        <v>11.56</v>
      </c>
      <c r="D192" s="6" t="s">
        <v>4684</v>
      </c>
      <c r="E192" t="s">
        <v>4686</v>
      </c>
      <c r="F192" t="s">
        <v>4685</v>
      </c>
      <c r="G192" t="s">
        <v>4685</v>
      </c>
      <c r="H192" s="2">
        <v>1</v>
      </c>
      <c r="I192" t="s">
        <v>4686</v>
      </c>
      <c r="J192" t="str">
        <f t="shared" si="1"/>
        <v>normalweight</v>
      </c>
    </row>
    <row r="193" spans="1:10" ht="15.75" customHeight="1">
      <c r="A193" t="s">
        <v>4293</v>
      </c>
      <c r="B193">
        <v>33.57</v>
      </c>
      <c r="C193">
        <v>8.82</v>
      </c>
      <c r="D193" s="6" t="s">
        <v>4684</v>
      </c>
      <c r="E193" t="s">
        <v>4686</v>
      </c>
      <c r="F193" t="s">
        <v>4685</v>
      </c>
      <c r="G193" t="s">
        <v>4685</v>
      </c>
      <c r="H193" s="2">
        <v>0</v>
      </c>
      <c r="I193" t="s">
        <v>4686</v>
      </c>
      <c r="J193" t="str">
        <f t="shared" si="1"/>
        <v>normalweight</v>
      </c>
    </row>
    <row r="194" spans="1:10" ht="15.75" customHeight="1">
      <c r="A194" t="s">
        <v>4291</v>
      </c>
      <c r="B194">
        <v>52.06</v>
      </c>
      <c r="C194">
        <v>4.6900000000000004</v>
      </c>
      <c r="E194" t="s">
        <v>4685</v>
      </c>
      <c r="F194" t="s">
        <v>4685</v>
      </c>
      <c r="G194" t="s">
        <v>4685</v>
      </c>
      <c r="H194" s="2">
        <v>1</v>
      </c>
      <c r="I194" t="s">
        <v>4686</v>
      </c>
      <c r="J194" t="str">
        <f t="shared" si="1"/>
        <v>normalweight</v>
      </c>
    </row>
    <row r="195" spans="1:10" ht="15.75" customHeight="1">
      <c r="A195" t="s">
        <v>4289</v>
      </c>
      <c r="B195">
        <v>38.17</v>
      </c>
      <c r="C195">
        <v>4.53</v>
      </c>
      <c r="E195" t="s">
        <v>4685</v>
      </c>
      <c r="F195" t="s">
        <v>4686</v>
      </c>
      <c r="G195" t="s">
        <v>4685</v>
      </c>
      <c r="H195" s="2">
        <v>1</v>
      </c>
      <c r="I195" t="s">
        <v>4686</v>
      </c>
      <c r="J195" t="str">
        <f t="shared" si="1"/>
        <v>normalweight</v>
      </c>
    </row>
    <row r="196" spans="1:10" ht="15.75" customHeight="1">
      <c r="A196" t="s">
        <v>4287</v>
      </c>
      <c r="B196">
        <v>36.954999999999998</v>
      </c>
      <c r="C196">
        <v>5.84</v>
      </c>
      <c r="E196" t="s">
        <v>4685</v>
      </c>
      <c r="F196" t="s">
        <v>4685</v>
      </c>
      <c r="G196" t="s">
        <v>4688</v>
      </c>
      <c r="H196" s="2">
        <v>1</v>
      </c>
      <c r="I196" t="s">
        <v>4686</v>
      </c>
      <c r="J196" t="str">
        <f t="shared" si="1"/>
        <v>normalweight</v>
      </c>
    </row>
    <row r="197" spans="1:10" ht="15.75" customHeight="1">
      <c r="A197" t="s">
        <v>4285</v>
      </c>
      <c r="B197">
        <v>34.4</v>
      </c>
      <c r="C197">
        <v>4.9000000000000004</v>
      </c>
      <c r="E197" t="s">
        <v>4685</v>
      </c>
      <c r="F197" t="s">
        <v>4685</v>
      </c>
      <c r="G197" t="s">
        <v>4688</v>
      </c>
      <c r="H197" s="2">
        <v>1</v>
      </c>
      <c r="I197" t="s">
        <v>4686</v>
      </c>
      <c r="J197" t="str">
        <f t="shared" si="1"/>
        <v>normalweight</v>
      </c>
    </row>
    <row r="198" spans="1:10" ht="15.75" customHeight="1">
      <c r="A198" t="s">
        <v>4283</v>
      </c>
      <c r="B198">
        <v>31.73</v>
      </c>
      <c r="C198">
        <v>4.3</v>
      </c>
      <c r="E198" t="s">
        <v>4685</v>
      </c>
      <c r="F198" t="s">
        <v>4685</v>
      </c>
      <c r="G198" t="s">
        <v>4685</v>
      </c>
      <c r="H198" s="2">
        <v>0</v>
      </c>
      <c r="I198" t="s">
        <v>4686</v>
      </c>
      <c r="J198" t="str">
        <f t="shared" si="1"/>
        <v>normalweight</v>
      </c>
    </row>
    <row r="199" spans="1:10" ht="15.75" customHeight="1">
      <c r="A199" t="s">
        <v>4281</v>
      </c>
      <c r="B199">
        <v>36.64</v>
      </c>
      <c r="C199">
        <v>11.34</v>
      </c>
      <c r="D199" s="6" t="s">
        <v>4684</v>
      </c>
      <c r="E199" t="s">
        <v>4685</v>
      </c>
      <c r="F199" t="s">
        <v>4685</v>
      </c>
      <c r="G199" t="s">
        <v>4685</v>
      </c>
      <c r="H199" s="2">
        <v>0</v>
      </c>
      <c r="I199" t="s">
        <v>4686</v>
      </c>
      <c r="J199" t="str">
        <f t="shared" si="1"/>
        <v>normalweight</v>
      </c>
    </row>
    <row r="200" spans="1:10" ht="15.75" customHeight="1">
      <c r="A200" t="s">
        <v>4279</v>
      </c>
      <c r="B200">
        <v>36.85</v>
      </c>
      <c r="C200">
        <v>5.88</v>
      </c>
      <c r="E200" t="s">
        <v>4685</v>
      </c>
      <c r="F200" t="s">
        <v>4686</v>
      </c>
      <c r="G200" t="s">
        <v>4685</v>
      </c>
      <c r="H200" s="2">
        <v>1</v>
      </c>
      <c r="I200" t="s">
        <v>4686</v>
      </c>
      <c r="J200" t="str">
        <f t="shared" si="1"/>
        <v>normalweight</v>
      </c>
    </row>
    <row r="201" spans="1:10" ht="15.75" customHeight="1">
      <c r="A201" t="s">
        <v>4277</v>
      </c>
      <c r="B201">
        <v>33.33</v>
      </c>
      <c r="C201">
        <v>5.01</v>
      </c>
      <c r="E201" t="s">
        <v>4686</v>
      </c>
      <c r="F201" t="s">
        <v>4685</v>
      </c>
      <c r="G201" t="s">
        <v>4688</v>
      </c>
      <c r="H201" s="2">
        <v>1</v>
      </c>
      <c r="I201" t="s">
        <v>4686</v>
      </c>
      <c r="J201" t="str">
        <f t="shared" si="1"/>
        <v>normalweight</v>
      </c>
    </row>
    <row r="202" spans="1:10" ht="15.75" customHeight="1">
      <c r="A202" t="s">
        <v>4275</v>
      </c>
      <c r="B202">
        <v>39.14</v>
      </c>
      <c r="C202">
        <v>4.4000000000000004</v>
      </c>
      <c r="E202" t="s">
        <v>4685</v>
      </c>
      <c r="F202" t="s">
        <v>4685</v>
      </c>
      <c r="G202" t="s">
        <v>4688</v>
      </c>
      <c r="H202" s="2">
        <v>1</v>
      </c>
      <c r="I202" t="s">
        <v>4686</v>
      </c>
      <c r="J202" t="str">
        <f t="shared" si="1"/>
        <v>normalweight</v>
      </c>
    </row>
    <row r="203" spans="1:10" ht="15.75" customHeight="1">
      <c r="A203" t="s">
        <v>4273</v>
      </c>
      <c r="B203">
        <v>32.9</v>
      </c>
      <c r="C203">
        <v>6.26</v>
      </c>
      <c r="E203" t="s">
        <v>4686</v>
      </c>
      <c r="F203" t="s">
        <v>4685</v>
      </c>
      <c r="G203" t="s">
        <v>4685</v>
      </c>
      <c r="H203" s="2">
        <v>0</v>
      </c>
      <c r="I203" t="s">
        <v>4686</v>
      </c>
      <c r="J203" t="str">
        <f t="shared" si="1"/>
        <v>normalweight</v>
      </c>
    </row>
    <row r="204" spans="1:10" ht="15.75" customHeight="1">
      <c r="A204" t="s">
        <v>4271</v>
      </c>
      <c r="B204">
        <v>29.78</v>
      </c>
      <c r="C204">
        <v>10.27</v>
      </c>
      <c r="D204" s="6" t="s">
        <v>4684</v>
      </c>
      <c r="E204" t="s">
        <v>4686</v>
      </c>
      <c r="F204" t="s">
        <v>4685</v>
      </c>
      <c r="G204" t="s">
        <v>4688</v>
      </c>
      <c r="H204" s="2">
        <v>1</v>
      </c>
      <c r="I204" t="s">
        <v>4686</v>
      </c>
      <c r="J204" t="str">
        <f t="shared" si="1"/>
        <v>normalweight</v>
      </c>
    </row>
    <row r="205" spans="1:10" ht="15.75" customHeight="1">
      <c r="A205" t="s">
        <v>4269</v>
      </c>
      <c r="B205">
        <v>32.78</v>
      </c>
      <c r="C205">
        <v>5.27</v>
      </c>
      <c r="E205" t="s">
        <v>4685</v>
      </c>
      <c r="F205" t="s">
        <v>4685</v>
      </c>
      <c r="G205" t="s">
        <v>4685</v>
      </c>
      <c r="H205" s="2">
        <v>0</v>
      </c>
      <c r="I205" t="s">
        <v>4686</v>
      </c>
      <c r="J205" t="str">
        <f t="shared" si="1"/>
        <v>normalweight</v>
      </c>
    </row>
    <row r="206" spans="1:10" ht="15.75" customHeight="1">
      <c r="A206" t="s">
        <v>4267</v>
      </c>
      <c r="B206">
        <v>41.65</v>
      </c>
      <c r="C206">
        <v>10.73</v>
      </c>
      <c r="D206" s="6" t="s">
        <v>4684</v>
      </c>
      <c r="E206" t="s">
        <v>4686</v>
      </c>
      <c r="F206" t="s">
        <v>4685</v>
      </c>
      <c r="G206" t="s">
        <v>4685</v>
      </c>
      <c r="H206" s="2">
        <v>0</v>
      </c>
      <c r="I206" t="s">
        <v>4686</v>
      </c>
      <c r="J206" t="str">
        <f t="shared" si="1"/>
        <v>normalweight</v>
      </c>
    </row>
    <row r="207" spans="1:10" ht="15.75" customHeight="1">
      <c r="A207" t="s">
        <v>4265</v>
      </c>
      <c r="B207">
        <v>50.79</v>
      </c>
      <c r="C207">
        <v>4.45</v>
      </c>
      <c r="E207" t="s">
        <v>4685</v>
      </c>
      <c r="F207" t="s">
        <v>4685</v>
      </c>
      <c r="G207" t="s">
        <v>4685</v>
      </c>
      <c r="H207" s="2">
        <v>1</v>
      </c>
      <c r="I207" t="s">
        <v>4686</v>
      </c>
      <c r="J207" t="str">
        <f t="shared" si="1"/>
        <v>normalweight</v>
      </c>
    </row>
    <row r="208" spans="1:10" ht="15.75" customHeight="1">
      <c r="A208" t="s">
        <v>4263</v>
      </c>
      <c r="B208">
        <v>35.43</v>
      </c>
      <c r="C208">
        <v>5.25</v>
      </c>
      <c r="E208" t="s">
        <v>4686</v>
      </c>
      <c r="F208" t="s">
        <v>4685</v>
      </c>
      <c r="G208" t="s">
        <v>4685</v>
      </c>
      <c r="H208" s="2">
        <v>0</v>
      </c>
      <c r="I208" t="s">
        <v>4686</v>
      </c>
      <c r="J208" t="str">
        <f t="shared" si="1"/>
        <v>normalweight</v>
      </c>
    </row>
    <row r="209" spans="1:10" ht="15.75" customHeight="1">
      <c r="A209" t="s">
        <v>4261</v>
      </c>
      <c r="B209">
        <v>35.25</v>
      </c>
      <c r="C209">
        <v>9.51</v>
      </c>
      <c r="D209" s="6" t="s">
        <v>4684</v>
      </c>
      <c r="E209" t="s">
        <v>4685</v>
      </c>
      <c r="F209" t="s">
        <v>4685</v>
      </c>
      <c r="G209" t="s">
        <v>4685</v>
      </c>
      <c r="H209" s="2">
        <v>0</v>
      </c>
      <c r="I209" t="s">
        <v>4686</v>
      </c>
      <c r="J209" t="str">
        <f t="shared" si="1"/>
        <v>normalweight</v>
      </c>
    </row>
    <row r="210" spans="1:10" ht="15.75" customHeight="1">
      <c r="A210" t="s">
        <v>4259</v>
      </c>
      <c r="B210">
        <v>36.85</v>
      </c>
      <c r="C210">
        <v>11.12</v>
      </c>
      <c r="D210" s="6" t="s">
        <v>4684</v>
      </c>
      <c r="E210" t="s">
        <v>4685</v>
      </c>
      <c r="F210" t="s">
        <v>4685</v>
      </c>
      <c r="G210" t="s">
        <v>4685</v>
      </c>
      <c r="H210" s="2">
        <v>0</v>
      </c>
      <c r="I210" t="s">
        <v>4686</v>
      </c>
      <c r="J210" t="str">
        <f t="shared" si="1"/>
        <v>normalweight</v>
      </c>
    </row>
    <row r="211" spans="1:10" ht="15.75" customHeight="1">
      <c r="A211" t="s">
        <v>4257</v>
      </c>
      <c r="B211">
        <v>31.02</v>
      </c>
      <c r="C211">
        <v>4.5599999999999996</v>
      </c>
      <c r="E211" t="s">
        <v>4685</v>
      </c>
      <c r="F211" t="s">
        <v>4686</v>
      </c>
      <c r="G211" t="s">
        <v>4685</v>
      </c>
      <c r="H211" s="2">
        <v>1</v>
      </c>
      <c r="I211" t="s">
        <v>4686</v>
      </c>
      <c r="J211" t="str">
        <f t="shared" si="1"/>
        <v>normalweight</v>
      </c>
    </row>
    <row r="212" spans="1:10" ht="15.75" customHeight="1">
      <c r="A212" t="s">
        <v>4255</v>
      </c>
      <c r="B212">
        <v>35.6</v>
      </c>
      <c r="C212">
        <v>4.0199999999999996</v>
      </c>
      <c r="E212" t="s">
        <v>4686</v>
      </c>
      <c r="F212" t="s">
        <v>4686</v>
      </c>
      <c r="G212" t="s">
        <v>4685</v>
      </c>
      <c r="H212" s="2">
        <v>2</v>
      </c>
      <c r="I212" t="s">
        <v>4686</v>
      </c>
      <c r="J212" t="str">
        <f t="shared" si="1"/>
        <v>normalweight</v>
      </c>
    </row>
    <row r="213" spans="1:10" ht="15.75" customHeight="1">
      <c r="A213" t="s">
        <v>4253</v>
      </c>
      <c r="B213">
        <v>34.39</v>
      </c>
      <c r="C213">
        <v>8.7200000000000006</v>
      </c>
      <c r="D213" s="6" t="s">
        <v>4684</v>
      </c>
      <c r="E213" t="s">
        <v>4685</v>
      </c>
      <c r="F213" t="s">
        <v>4685</v>
      </c>
      <c r="G213" t="s">
        <v>4685</v>
      </c>
      <c r="H213" s="2">
        <v>0</v>
      </c>
      <c r="I213" t="s">
        <v>4686</v>
      </c>
      <c r="J213" t="str">
        <f t="shared" si="1"/>
        <v>normalweight</v>
      </c>
    </row>
    <row r="214" spans="1:10" ht="15.75" customHeight="1">
      <c r="A214" t="s">
        <v>4251</v>
      </c>
      <c r="B214">
        <v>29.06</v>
      </c>
      <c r="C214">
        <v>6.25</v>
      </c>
      <c r="E214" t="s">
        <v>4686</v>
      </c>
      <c r="F214" t="s">
        <v>4685</v>
      </c>
      <c r="G214" t="s">
        <v>4685</v>
      </c>
      <c r="H214" s="2">
        <v>1</v>
      </c>
      <c r="I214" t="s">
        <v>4686</v>
      </c>
      <c r="J214" t="str">
        <f t="shared" si="1"/>
        <v>normalweight</v>
      </c>
    </row>
    <row r="215" spans="1:10" ht="15.75" customHeight="1">
      <c r="A215" t="s">
        <v>4249</v>
      </c>
      <c r="B215">
        <v>35.799999999999997</v>
      </c>
      <c r="C215">
        <v>7.32</v>
      </c>
      <c r="D215" s="6" t="s">
        <v>4684</v>
      </c>
      <c r="E215" t="s">
        <v>4685</v>
      </c>
      <c r="F215" t="s">
        <v>4685</v>
      </c>
      <c r="G215" t="s">
        <v>4685</v>
      </c>
      <c r="H215" s="2">
        <v>2</v>
      </c>
      <c r="I215" t="s">
        <v>4686</v>
      </c>
      <c r="J215" t="str">
        <f t="shared" si="1"/>
        <v>normalweight</v>
      </c>
    </row>
    <row r="216" spans="1:10" ht="15.75" customHeight="1">
      <c r="A216" t="s">
        <v>4247</v>
      </c>
      <c r="B216">
        <v>49.8</v>
      </c>
      <c r="C216">
        <v>4.24</v>
      </c>
      <c r="E216" t="s">
        <v>4685</v>
      </c>
      <c r="F216" t="s">
        <v>4685</v>
      </c>
      <c r="G216" t="s">
        <v>4685</v>
      </c>
      <c r="H216" s="2">
        <v>1</v>
      </c>
      <c r="I216" t="s">
        <v>4686</v>
      </c>
      <c r="J216" t="str">
        <f t="shared" si="1"/>
        <v>normalweight</v>
      </c>
    </row>
    <row r="217" spans="1:10" ht="15.75" customHeight="1">
      <c r="A217" t="s">
        <v>4245</v>
      </c>
      <c r="B217">
        <v>35.71</v>
      </c>
      <c r="C217">
        <v>6.84</v>
      </c>
      <c r="D217" s="6" t="s">
        <v>4684</v>
      </c>
      <c r="E217" t="s">
        <v>4685</v>
      </c>
      <c r="F217" t="s">
        <v>4685</v>
      </c>
      <c r="G217" t="s">
        <v>4685</v>
      </c>
      <c r="H217" s="2">
        <v>2</v>
      </c>
      <c r="I217" t="s">
        <v>4686</v>
      </c>
      <c r="J217" t="str">
        <f t="shared" si="1"/>
        <v>normalweight</v>
      </c>
    </row>
    <row r="218" spans="1:10" ht="15.75" customHeight="1">
      <c r="A218" t="s">
        <v>4243</v>
      </c>
      <c r="B218">
        <v>30.8</v>
      </c>
      <c r="C218">
        <v>5.23</v>
      </c>
      <c r="E218" t="s">
        <v>4686</v>
      </c>
      <c r="F218" t="s">
        <v>4685</v>
      </c>
      <c r="G218" t="s">
        <v>4685</v>
      </c>
      <c r="H218" s="2">
        <v>1</v>
      </c>
      <c r="I218" t="s">
        <v>4686</v>
      </c>
      <c r="J218" t="str">
        <f t="shared" si="1"/>
        <v>normalweight</v>
      </c>
    </row>
    <row r="219" spans="1:10" ht="15.75" customHeight="1">
      <c r="A219" t="s">
        <v>4241</v>
      </c>
      <c r="B219">
        <v>33.69</v>
      </c>
      <c r="C219">
        <v>9.68</v>
      </c>
      <c r="D219" s="6" t="s">
        <v>4684</v>
      </c>
      <c r="E219" t="s">
        <v>4685</v>
      </c>
      <c r="F219" t="s">
        <v>4685</v>
      </c>
      <c r="G219" t="s">
        <v>4685</v>
      </c>
      <c r="H219" s="2">
        <v>0</v>
      </c>
      <c r="I219" t="s">
        <v>4686</v>
      </c>
      <c r="J219" t="str">
        <f t="shared" si="1"/>
        <v>normalweight</v>
      </c>
    </row>
    <row r="220" spans="1:10" ht="15.75" customHeight="1">
      <c r="A220" t="s">
        <v>4239</v>
      </c>
      <c r="B220">
        <v>42.27</v>
      </c>
      <c r="C220">
        <v>6.05</v>
      </c>
      <c r="E220" t="s">
        <v>4686</v>
      </c>
      <c r="F220" t="s">
        <v>4685</v>
      </c>
      <c r="G220" t="s">
        <v>4685</v>
      </c>
      <c r="H220" s="2">
        <v>1</v>
      </c>
      <c r="I220" t="s">
        <v>4686</v>
      </c>
      <c r="J220" t="str">
        <f t="shared" si="1"/>
        <v>normalweight</v>
      </c>
    </row>
    <row r="221" spans="1:10" ht="15.75" customHeight="1">
      <c r="A221" t="s">
        <v>4237</v>
      </c>
      <c r="B221">
        <v>53.25</v>
      </c>
      <c r="C221">
        <v>6.11</v>
      </c>
      <c r="E221" t="s">
        <v>4686</v>
      </c>
      <c r="F221" t="s">
        <v>4685</v>
      </c>
      <c r="G221" t="s">
        <v>4688</v>
      </c>
      <c r="H221" s="2">
        <v>1</v>
      </c>
      <c r="I221" t="s">
        <v>4686</v>
      </c>
      <c r="J221" t="str">
        <f t="shared" si="1"/>
        <v>normalweight</v>
      </c>
    </row>
    <row r="222" spans="1:10" ht="15.75" customHeight="1">
      <c r="A222" t="s">
        <v>4235</v>
      </c>
      <c r="B222">
        <v>26.8</v>
      </c>
      <c r="C222">
        <v>10.93</v>
      </c>
      <c r="D222" s="6" t="s">
        <v>4684</v>
      </c>
      <c r="E222" t="s">
        <v>4686</v>
      </c>
      <c r="F222" t="s">
        <v>4685</v>
      </c>
      <c r="G222" t="s">
        <v>4685</v>
      </c>
      <c r="H222" s="2">
        <v>0</v>
      </c>
      <c r="I222" t="s">
        <v>4685</v>
      </c>
      <c r="J222" t="str">
        <f t="shared" si="1"/>
        <v>normalweight</v>
      </c>
    </row>
    <row r="223" spans="1:10" ht="15.75" customHeight="1">
      <c r="A223" t="s">
        <v>4233</v>
      </c>
      <c r="B223">
        <v>28.5</v>
      </c>
      <c r="C223">
        <v>5.12</v>
      </c>
      <c r="E223" t="s">
        <v>4685</v>
      </c>
      <c r="F223" t="s">
        <v>4685</v>
      </c>
      <c r="G223" t="s">
        <v>4685</v>
      </c>
      <c r="H223" s="2">
        <v>1</v>
      </c>
      <c r="I223" t="s">
        <v>4686</v>
      </c>
      <c r="J223" t="str">
        <f t="shared" si="1"/>
        <v>normalweight</v>
      </c>
    </row>
    <row r="224" spans="1:10" ht="15.75" customHeight="1">
      <c r="A224" t="s">
        <v>4231</v>
      </c>
      <c r="B224">
        <v>22.895</v>
      </c>
      <c r="C224">
        <v>5.72</v>
      </c>
      <c r="E224" t="s">
        <v>4685</v>
      </c>
      <c r="F224" t="s">
        <v>4685</v>
      </c>
      <c r="G224" t="s">
        <v>4685</v>
      </c>
      <c r="H224" s="2">
        <v>0</v>
      </c>
      <c r="I224" t="s">
        <v>4686</v>
      </c>
      <c r="J224" t="str">
        <f t="shared" si="1"/>
        <v>normalweight</v>
      </c>
    </row>
    <row r="225" spans="1:10" ht="15.75" customHeight="1">
      <c r="A225" t="s">
        <v>4229</v>
      </c>
      <c r="B225">
        <v>34.06</v>
      </c>
      <c r="C225">
        <v>11.83</v>
      </c>
      <c r="D225" s="6" t="s">
        <v>4684</v>
      </c>
      <c r="E225" t="s">
        <v>4686</v>
      </c>
      <c r="F225" t="s">
        <v>4685</v>
      </c>
      <c r="G225" t="s">
        <v>4685</v>
      </c>
      <c r="H225" s="2">
        <v>1</v>
      </c>
      <c r="I225" t="s">
        <v>4686</v>
      </c>
      <c r="J225" t="str">
        <f t="shared" si="1"/>
        <v>normalweight</v>
      </c>
    </row>
    <row r="226" spans="1:10" ht="15.75" customHeight="1">
      <c r="A226" t="s">
        <v>4227</v>
      </c>
      <c r="B226">
        <v>36.409999999999997</v>
      </c>
      <c r="C226">
        <v>4.55</v>
      </c>
      <c r="E226" t="s">
        <v>4685</v>
      </c>
      <c r="F226" t="s">
        <v>4685</v>
      </c>
      <c r="G226" t="s">
        <v>4685</v>
      </c>
      <c r="H226" s="2">
        <v>0</v>
      </c>
      <c r="I226" t="s">
        <v>4686</v>
      </c>
      <c r="J226" t="str">
        <f t="shared" si="1"/>
        <v>normalweight</v>
      </c>
    </row>
    <row r="227" spans="1:10" ht="15.75" customHeight="1">
      <c r="A227" t="s">
        <v>4225</v>
      </c>
      <c r="B227">
        <v>52.3</v>
      </c>
      <c r="C227">
        <v>4.87</v>
      </c>
      <c r="E227" t="s">
        <v>4686</v>
      </c>
      <c r="F227" t="s">
        <v>4685</v>
      </c>
      <c r="G227" t="s">
        <v>4688</v>
      </c>
      <c r="H227" s="2">
        <v>1</v>
      </c>
      <c r="I227" t="s">
        <v>4686</v>
      </c>
      <c r="J227" t="str">
        <f t="shared" si="1"/>
        <v>normalweight</v>
      </c>
    </row>
    <row r="228" spans="1:10" ht="15.75" customHeight="1">
      <c r="A228" t="s">
        <v>4223</v>
      </c>
      <c r="B228">
        <v>52.66</v>
      </c>
      <c r="C228">
        <v>4.45</v>
      </c>
      <c r="E228" t="s">
        <v>4685</v>
      </c>
      <c r="F228" t="s">
        <v>4685</v>
      </c>
      <c r="G228" t="s">
        <v>4685</v>
      </c>
      <c r="H228" s="2">
        <v>1</v>
      </c>
      <c r="I228" t="s">
        <v>4686</v>
      </c>
      <c r="J228" t="str">
        <f t="shared" si="1"/>
        <v>normalweight</v>
      </c>
    </row>
    <row r="229" spans="1:10" ht="15.75" customHeight="1">
      <c r="A229" t="s">
        <v>4221</v>
      </c>
      <c r="B229">
        <v>29.57</v>
      </c>
      <c r="C229">
        <v>9.42</v>
      </c>
      <c r="D229" s="6" t="s">
        <v>4684</v>
      </c>
      <c r="E229" t="s">
        <v>4686</v>
      </c>
      <c r="F229" t="s">
        <v>4685</v>
      </c>
      <c r="G229" t="s">
        <v>4685</v>
      </c>
      <c r="H229" s="2">
        <v>0</v>
      </c>
      <c r="I229" t="s">
        <v>4686</v>
      </c>
      <c r="J229" t="str">
        <f t="shared" si="1"/>
        <v>normalweight</v>
      </c>
    </row>
    <row r="230" spans="1:10" ht="15.75" customHeight="1">
      <c r="A230" t="s">
        <v>4219</v>
      </c>
      <c r="B230">
        <v>36.99</v>
      </c>
      <c r="C230">
        <v>5.37</v>
      </c>
      <c r="E230" t="s">
        <v>4686</v>
      </c>
      <c r="F230" t="s">
        <v>4685</v>
      </c>
      <c r="G230" t="s">
        <v>4688</v>
      </c>
      <c r="H230" s="2">
        <v>1</v>
      </c>
      <c r="I230" t="s">
        <v>4686</v>
      </c>
      <c r="J230" t="str">
        <f t="shared" si="1"/>
        <v>normalweight</v>
      </c>
    </row>
    <row r="231" spans="1:10" ht="15.75" customHeight="1">
      <c r="A231" t="s">
        <v>4217</v>
      </c>
      <c r="B231">
        <v>31.4</v>
      </c>
      <c r="C231">
        <v>4.5999999999999996</v>
      </c>
      <c r="E231" t="s">
        <v>4686</v>
      </c>
      <c r="F231" t="s">
        <v>4685</v>
      </c>
      <c r="G231" t="s">
        <v>4685</v>
      </c>
      <c r="H231" s="2">
        <v>1</v>
      </c>
      <c r="I231" t="s">
        <v>4686</v>
      </c>
      <c r="J231" t="str">
        <f t="shared" si="1"/>
        <v>normalweight</v>
      </c>
    </row>
    <row r="232" spans="1:10" ht="15.75" customHeight="1">
      <c r="A232" t="s">
        <v>4215</v>
      </c>
      <c r="B232">
        <v>34.9</v>
      </c>
      <c r="C232">
        <v>6.22</v>
      </c>
      <c r="E232" t="s">
        <v>4685</v>
      </c>
      <c r="F232" t="s">
        <v>4685</v>
      </c>
      <c r="G232" t="s">
        <v>4688</v>
      </c>
      <c r="H232" s="2">
        <v>1</v>
      </c>
      <c r="I232" t="s">
        <v>4686</v>
      </c>
      <c r="J232" t="str">
        <f t="shared" si="1"/>
        <v>normalweight</v>
      </c>
    </row>
    <row r="233" spans="1:10" ht="15.75" customHeight="1">
      <c r="A233" t="s">
        <v>4213</v>
      </c>
      <c r="B233">
        <v>31.13</v>
      </c>
      <c r="C233">
        <v>4.5199999999999996</v>
      </c>
      <c r="E233" t="s">
        <v>4686</v>
      </c>
      <c r="F233" t="s">
        <v>4685</v>
      </c>
      <c r="G233" t="s">
        <v>4685</v>
      </c>
      <c r="H233" s="2">
        <v>1</v>
      </c>
      <c r="I233" t="s">
        <v>4686</v>
      </c>
      <c r="J233" t="str">
        <f t="shared" si="1"/>
        <v>normalweight</v>
      </c>
    </row>
    <row r="234" spans="1:10" ht="15.75" customHeight="1">
      <c r="A234" t="s">
        <v>4211</v>
      </c>
      <c r="B234">
        <v>34.799999999999997</v>
      </c>
      <c r="C234">
        <v>6.18</v>
      </c>
      <c r="E234" t="s">
        <v>4685</v>
      </c>
      <c r="F234" t="s">
        <v>4685</v>
      </c>
      <c r="G234" t="s">
        <v>4688</v>
      </c>
      <c r="H234" s="2">
        <v>1</v>
      </c>
      <c r="I234" t="s">
        <v>4686</v>
      </c>
      <c r="J234" t="str">
        <f t="shared" si="1"/>
        <v>normalweight</v>
      </c>
    </row>
    <row r="235" spans="1:10" ht="15.75" customHeight="1">
      <c r="A235" t="s">
        <v>4209</v>
      </c>
      <c r="B235">
        <v>31.68</v>
      </c>
      <c r="C235">
        <v>4.4000000000000004</v>
      </c>
      <c r="E235" t="s">
        <v>4685</v>
      </c>
      <c r="F235" t="s">
        <v>4685</v>
      </c>
      <c r="G235" t="s">
        <v>4685</v>
      </c>
      <c r="H235" s="2">
        <v>0</v>
      </c>
      <c r="I235" t="s">
        <v>4686</v>
      </c>
      <c r="J235" t="str">
        <f t="shared" si="1"/>
        <v>normalweight</v>
      </c>
    </row>
    <row r="236" spans="1:10" ht="15.75" customHeight="1">
      <c r="A236" t="s">
        <v>4207</v>
      </c>
      <c r="B236">
        <v>33.534999999999997</v>
      </c>
      <c r="C236">
        <v>6.23</v>
      </c>
      <c r="E236" t="s">
        <v>4685</v>
      </c>
      <c r="F236" t="s">
        <v>4686</v>
      </c>
      <c r="G236" t="s">
        <v>4685</v>
      </c>
      <c r="H236" s="2">
        <v>1</v>
      </c>
      <c r="I236" t="s">
        <v>4686</v>
      </c>
      <c r="J236" t="str">
        <f t="shared" si="1"/>
        <v>normalweight</v>
      </c>
    </row>
    <row r="237" spans="1:10" ht="15.75" customHeight="1">
      <c r="A237" t="s">
        <v>4205</v>
      </c>
      <c r="B237">
        <v>31.92</v>
      </c>
      <c r="C237">
        <v>5.33</v>
      </c>
      <c r="E237" t="s">
        <v>4686</v>
      </c>
      <c r="F237" t="s">
        <v>4685</v>
      </c>
      <c r="G237" t="s">
        <v>4685</v>
      </c>
      <c r="H237" s="2">
        <v>0</v>
      </c>
      <c r="I237" t="s">
        <v>4686</v>
      </c>
      <c r="J237" t="str">
        <f t="shared" si="1"/>
        <v>normalweight</v>
      </c>
    </row>
    <row r="238" spans="1:10" ht="15.75" customHeight="1">
      <c r="A238" t="s">
        <v>4203</v>
      </c>
      <c r="B238">
        <v>32.700000000000003</v>
      </c>
      <c r="C238">
        <v>4.09</v>
      </c>
      <c r="E238" t="s">
        <v>4685</v>
      </c>
      <c r="F238" t="s">
        <v>4685</v>
      </c>
      <c r="G238" t="s">
        <v>4685</v>
      </c>
      <c r="H238" s="2">
        <v>1</v>
      </c>
      <c r="I238" t="s">
        <v>4686</v>
      </c>
      <c r="J238" t="str">
        <f t="shared" si="1"/>
        <v>normalweight</v>
      </c>
    </row>
    <row r="239" spans="1:10" ht="15.75" customHeight="1">
      <c r="A239" t="s">
        <v>4201</v>
      </c>
      <c r="B239">
        <v>41.25</v>
      </c>
      <c r="C239">
        <v>5.19</v>
      </c>
      <c r="E239" t="s">
        <v>4685</v>
      </c>
      <c r="F239" t="s">
        <v>4685</v>
      </c>
      <c r="G239" t="s">
        <v>4685</v>
      </c>
      <c r="H239" s="2">
        <v>0</v>
      </c>
      <c r="I239" t="s">
        <v>4686</v>
      </c>
      <c r="J239" t="str">
        <f t="shared" si="1"/>
        <v>normalweight</v>
      </c>
    </row>
    <row r="240" spans="1:10" ht="15.75" customHeight="1">
      <c r="A240" t="s">
        <v>4199</v>
      </c>
      <c r="B240">
        <v>33.11</v>
      </c>
      <c r="C240">
        <v>4.12</v>
      </c>
      <c r="E240" t="s">
        <v>4685</v>
      </c>
      <c r="F240" t="s">
        <v>4685</v>
      </c>
      <c r="G240" t="s">
        <v>4688</v>
      </c>
      <c r="H240" s="2">
        <v>1</v>
      </c>
      <c r="I240" t="s">
        <v>4686</v>
      </c>
      <c r="J240" t="str">
        <f t="shared" si="1"/>
        <v>normalweight</v>
      </c>
    </row>
    <row r="241" spans="1:10" ht="15.75" customHeight="1">
      <c r="A241" t="s">
        <v>4197</v>
      </c>
      <c r="B241">
        <v>36.159999999999997</v>
      </c>
      <c r="C241">
        <v>5.0999999999999996</v>
      </c>
      <c r="E241" t="s">
        <v>4685</v>
      </c>
      <c r="F241" t="s">
        <v>4685</v>
      </c>
      <c r="G241" t="s">
        <v>4685</v>
      </c>
      <c r="H241" s="2">
        <v>1</v>
      </c>
      <c r="I241" t="s">
        <v>4686</v>
      </c>
      <c r="J241" t="str">
        <f t="shared" si="1"/>
        <v>normalweight</v>
      </c>
    </row>
    <row r="242" spans="1:10" ht="15.75" customHeight="1">
      <c r="A242" t="s">
        <v>4195</v>
      </c>
      <c r="B242">
        <v>33.72</v>
      </c>
      <c r="C242">
        <v>6.21</v>
      </c>
      <c r="E242" t="s">
        <v>4686</v>
      </c>
      <c r="F242" t="s">
        <v>4685</v>
      </c>
      <c r="G242" t="s">
        <v>4688</v>
      </c>
      <c r="H242" s="2">
        <v>1</v>
      </c>
      <c r="I242" t="s">
        <v>4686</v>
      </c>
      <c r="J242" t="str">
        <f t="shared" si="1"/>
        <v>normalweight</v>
      </c>
    </row>
    <row r="243" spans="1:10" ht="15.75" customHeight="1">
      <c r="A243" t="s">
        <v>4193</v>
      </c>
      <c r="B243">
        <v>37.74</v>
      </c>
      <c r="C243">
        <v>9.5299999999999994</v>
      </c>
      <c r="D243" s="6" t="s">
        <v>4684</v>
      </c>
      <c r="E243" t="s">
        <v>4686</v>
      </c>
      <c r="F243" t="s">
        <v>4685</v>
      </c>
      <c r="G243" t="s">
        <v>4685</v>
      </c>
      <c r="H243" s="2">
        <v>1</v>
      </c>
      <c r="I243" t="s">
        <v>4686</v>
      </c>
      <c r="J243" t="str">
        <f t="shared" si="1"/>
        <v>normalweight</v>
      </c>
    </row>
    <row r="244" spans="1:10" ht="15.75" customHeight="1">
      <c r="A244" t="s">
        <v>4191</v>
      </c>
      <c r="B244">
        <v>48.75</v>
      </c>
      <c r="C244">
        <v>4.6399999999999997</v>
      </c>
      <c r="E244" t="s">
        <v>4686</v>
      </c>
      <c r="F244" t="s">
        <v>4685</v>
      </c>
      <c r="G244" t="s">
        <v>4685</v>
      </c>
      <c r="H244" s="2">
        <v>1</v>
      </c>
      <c r="I244" t="s">
        <v>4686</v>
      </c>
      <c r="J244" t="str">
        <f t="shared" si="1"/>
        <v>normalweight</v>
      </c>
    </row>
    <row r="245" spans="1:10" ht="15.75" customHeight="1">
      <c r="A245" t="s">
        <v>4189</v>
      </c>
      <c r="B245">
        <v>31.065000000000001</v>
      </c>
      <c r="C245">
        <v>5.05</v>
      </c>
      <c r="E245" t="s">
        <v>4685</v>
      </c>
      <c r="F245" t="s">
        <v>4685</v>
      </c>
      <c r="G245" t="s">
        <v>4685</v>
      </c>
      <c r="H245" s="2">
        <v>1</v>
      </c>
      <c r="I245" t="s">
        <v>4686</v>
      </c>
      <c r="J245" t="str">
        <f t="shared" si="1"/>
        <v>normalweight</v>
      </c>
    </row>
    <row r="246" spans="1:10" ht="15.75" customHeight="1">
      <c r="A246" t="s">
        <v>4187</v>
      </c>
      <c r="B246">
        <v>23.55</v>
      </c>
      <c r="C246">
        <v>10.38</v>
      </c>
      <c r="D246" s="6" t="s">
        <v>4684</v>
      </c>
      <c r="E246" t="s">
        <v>4685</v>
      </c>
      <c r="F246" t="s">
        <v>4685</v>
      </c>
      <c r="G246" t="s">
        <v>4685</v>
      </c>
      <c r="H246" s="2">
        <v>0</v>
      </c>
      <c r="I246" t="s">
        <v>4686</v>
      </c>
      <c r="J246" t="str">
        <f t="shared" si="1"/>
        <v>normalweight</v>
      </c>
    </row>
    <row r="247" spans="1:10" ht="15.75" customHeight="1">
      <c r="A247" t="s">
        <v>4185</v>
      </c>
      <c r="B247">
        <v>30.18</v>
      </c>
      <c r="C247">
        <v>8.31</v>
      </c>
      <c r="D247" s="6" t="s">
        <v>4684</v>
      </c>
      <c r="E247" t="s">
        <v>4686</v>
      </c>
      <c r="F247" t="s">
        <v>4685</v>
      </c>
      <c r="G247" t="s">
        <v>4685</v>
      </c>
      <c r="H247" s="2">
        <v>1</v>
      </c>
      <c r="I247" t="s">
        <v>4686</v>
      </c>
      <c r="J247" t="str">
        <f t="shared" si="1"/>
        <v>normalweight</v>
      </c>
    </row>
    <row r="248" spans="1:10" ht="15.75" customHeight="1">
      <c r="A248" t="s">
        <v>4183</v>
      </c>
      <c r="B248">
        <v>29.94</v>
      </c>
      <c r="C248">
        <v>7.59</v>
      </c>
      <c r="D248" s="6" t="s">
        <v>4684</v>
      </c>
      <c r="E248" t="s">
        <v>4685</v>
      </c>
      <c r="F248" t="s">
        <v>4685</v>
      </c>
      <c r="G248" t="s">
        <v>4685</v>
      </c>
      <c r="H248" s="2">
        <v>0</v>
      </c>
      <c r="I248" t="s">
        <v>4686</v>
      </c>
      <c r="J248" t="str">
        <f t="shared" si="1"/>
        <v>normalweight</v>
      </c>
    </row>
    <row r="249" spans="1:10" ht="15.75" customHeight="1">
      <c r="A249" t="s">
        <v>4181</v>
      </c>
      <c r="B249">
        <v>31.4</v>
      </c>
      <c r="C249">
        <v>5.49</v>
      </c>
      <c r="E249" t="s">
        <v>4685</v>
      </c>
      <c r="F249" t="s">
        <v>4685</v>
      </c>
      <c r="G249" t="s">
        <v>4685</v>
      </c>
      <c r="H249" s="2">
        <v>0</v>
      </c>
      <c r="I249" t="s">
        <v>4686</v>
      </c>
      <c r="J249" t="str">
        <f t="shared" si="1"/>
        <v>normalweight</v>
      </c>
    </row>
    <row r="250" spans="1:10" ht="15.75" customHeight="1">
      <c r="A250" t="s">
        <v>4179</v>
      </c>
      <c r="B250">
        <v>53.06</v>
      </c>
      <c r="C250">
        <v>11.68</v>
      </c>
      <c r="D250" s="6" t="s">
        <v>4684</v>
      </c>
      <c r="E250" t="s">
        <v>4685</v>
      </c>
      <c r="F250" t="s">
        <v>4685</v>
      </c>
      <c r="G250" t="s">
        <v>4685</v>
      </c>
      <c r="H250" s="2">
        <v>0</v>
      </c>
      <c r="I250" t="s">
        <v>4686</v>
      </c>
      <c r="J250" t="str">
        <f t="shared" si="1"/>
        <v>normalweight</v>
      </c>
    </row>
    <row r="251" spans="1:10" ht="15.75" customHeight="1">
      <c r="A251" t="s">
        <v>4177</v>
      </c>
      <c r="B251">
        <v>30.25</v>
      </c>
      <c r="C251">
        <v>4.1900000000000004</v>
      </c>
      <c r="E251" t="s">
        <v>4685</v>
      </c>
      <c r="F251" t="s">
        <v>4685</v>
      </c>
      <c r="G251" t="s">
        <v>4685</v>
      </c>
      <c r="H251" s="2">
        <v>2</v>
      </c>
      <c r="I251" t="s">
        <v>4686</v>
      </c>
      <c r="J251" t="str">
        <f t="shared" si="1"/>
        <v>normalweight</v>
      </c>
    </row>
    <row r="252" spans="1:10" ht="15.75" customHeight="1">
      <c r="A252" t="s">
        <v>4175</v>
      </c>
      <c r="B252">
        <v>46.68</v>
      </c>
      <c r="C252">
        <v>4.01</v>
      </c>
      <c r="E252" t="s">
        <v>4685</v>
      </c>
      <c r="F252" t="s">
        <v>4685</v>
      </c>
      <c r="G252" t="s">
        <v>4685</v>
      </c>
      <c r="H252" s="2">
        <v>0</v>
      </c>
      <c r="I252" t="s">
        <v>4686</v>
      </c>
      <c r="J252" t="str">
        <f t="shared" si="1"/>
        <v>normalweight</v>
      </c>
    </row>
    <row r="253" spans="1:10" ht="15.75" customHeight="1">
      <c r="A253" t="s">
        <v>4173</v>
      </c>
      <c r="B253">
        <v>30.4</v>
      </c>
      <c r="C253">
        <v>5.91</v>
      </c>
      <c r="E253" t="s">
        <v>4685</v>
      </c>
      <c r="F253" t="s">
        <v>4686</v>
      </c>
      <c r="G253" t="s">
        <v>4685</v>
      </c>
      <c r="H253" s="2">
        <v>2</v>
      </c>
      <c r="I253" t="s">
        <v>4686</v>
      </c>
      <c r="J253" t="str">
        <f t="shared" si="1"/>
        <v>normalweight</v>
      </c>
    </row>
    <row r="254" spans="1:10" ht="15.75" customHeight="1">
      <c r="A254" t="s">
        <v>4171</v>
      </c>
      <c r="B254">
        <v>30.2</v>
      </c>
      <c r="C254">
        <v>4.47</v>
      </c>
      <c r="E254" t="s">
        <v>4686</v>
      </c>
      <c r="F254" t="s">
        <v>4685</v>
      </c>
      <c r="G254" t="s">
        <v>4688</v>
      </c>
      <c r="H254" s="2">
        <v>1</v>
      </c>
      <c r="I254" t="s">
        <v>4686</v>
      </c>
      <c r="J254" t="str">
        <f t="shared" si="1"/>
        <v>normalweight</v>
      </c>
    </row>
    <row r="255" spans="1:10" ht="15.75" customHeight="1">
      <c r="A255" t="s">
        <v>4169</v>
      </c>
      <c r="B255">
        <v>51.18</v>
      </c>
      <c r="C255">
        <v>4.5599999999999996</v>
      </c>
      <c r="E255" t="s">
        <v>4686</v>
      </c>
      <c r="F255" t="s">
        <v>4686</v>
      </c>
      <c r="G255" t="s">
        <v>4685</v>
      </c>
      <c r="H255" s="2">
        <v>2</v>
      </c>
      <c r="I255" t="s">
        <v>4686</v>
      </c>
      <c r="J255" t="str">
        <f t="shared" si="1"/>
        <v>normalweight</v>
      </c>
    </row>
    <row r="256" spans="1:10" ht="15.75" customHeight="1">
      <c r="A256" t="s">
        <v>4167</v>
      </c>
      <c r="B256">
        <v>22.18</v>
      </c>
      <c r="C256">
        <v>9.9</v>
      </c>
      <c r="D256" s="6" t="s">
        <v>4684</v>
      </c>
      <c r="E256" t="s">
        <v>4685</v>
      </c>
      <c r="F256" t="s">
        <v>4685</v>
      </c>
      <c r="G256" t="s">
        <v>4685</v>
      </c>
      <c r="H256" s="2">
        <v>0</v>
      </c>
      <c r="I256" t="s">
        <v>4686</v>
      </c>
      <c r="J256" t="str">
        <f t="shared" si="1"/>
        <v>normalweight</v>
      </c>
    </row>
    <row r="257" spans="1:10" ht="15.75" customHeight="1">
      <c r="A257" t="s">
        <v>4165</v>
      </c>
      <c r="B257">
        <v>31.92</v>
      </c>
      <c r="C257">
        <v>5.1100000000000003</v>
      </c>
      <c r="E257" t="s">
        <v>4685</v>
      </c>
      <c r="F257" t="s">
        <v>4685</v>
      </c>
      <c r="G257" t="s">
        <v>4688</v>
      </c>
      <c r="H257" s="2">
        <v>1</v>
      </c>
      <c r="I257" t="s">
        <v>4686</v>
      </c>
      <c r="J257" t="str">
        <f t="shared" si="1"/>
        <v>normalweight</v>
      </c>
    </row>
    <row r="258" spans="1:10" ht="15.75" customHeight="1">
      <c r="A258" t="s">
        <v>4163</v>
      </c>
      <c r="B258">
        <v>31.73</v>
      </c>
      <c r="C258">
        <v>5.73</v>
      </c>
      <c r="E258" t="s">
        <v>4685</v>
      </c>
      <c r="F258" t="s">
        <v>4686</v>
      </c>
      <c r="G258" t="s">
        <v>4685</v>
      </c>
      <c r="H258" s="2">
        <v>1</v>
      </c>
      <c r="I258" t="s">
        <v>4686</v>
      </c>
      <c r="J258" t="str">
        <f t="shared" si="1"/>
        <v>normalweight</v>
      </c>
    </row>
    <row r="259" spans="1:10" ht="15.75" customHeight="1">
      <c r="A259" t="s">
        <v>4161</v>
      </c>
      <c r="B259">
        <v>45.52</v>
      </c>
      <c r="C259">
        <v>6.04</v>
      </c>
      <c r="E259" t="s">
        <v>4685</v>
      </c>
      <c r="F259" t="s">
        <v>4685</v>
      </c>
      <c r="G259" t="s">
        <v>4688</v>
      </c>
      <c r="H259" s="2">
        <v>1</v>
      </c>
      <c r="I259" t="s">
        <v>4686</v>
      </c>
      <c r="J259" t="str">
        <f t="shared" si="1"/>
        <v>normalweight</v>
      </c>
    </row>
    <row r="260" spans="1:10" ht="15.75" customHeight="1">
      <c r="A260" t="s">
        <v>4159</v>
      </c>
      <c r="B260">
        <v>52.81</v>
      </c>
      <c r="C260">
        <v>5.19</v>
      </c>
      <c r="E260" t="s">
        <v>4685</v>
      </c>
      <c r="F260" t="s">
        <v>4685</v>
      </c>
      <c r="G260" t="s">
        <v>4688</v>
      </c>
      <c r="H260" s="2">
        <v>1</v>
      </c>
      <c r="I260" t="s">
        <v>4686</v>
      </c>
      <c r="J260" t="str">
        <f t="shared" si="1"/>
        <v>normalweight</v>
      </c>
    </row>
    <row r="261" spans="1:10" ht="15.75" customHeight="1">
      <c r="A261" t="s">
        <v>4157</v>
      </c>
      <c r="B261">
        <v>33.58</v>
      </c>
      <c r="C261">
        <v>5.56</v>
      </c>
      <c r="E261" t="s">
        <v>4685</v>
      </c>
      <c r="F261" t="s">
        <v>4685</v>
      </c>
      <c r="G261" t="s">
        <v>4685</v>
      </c>
      <c r="H261" s="2">
        <v>1</v>
      </c>
      <c r="I261" t="s">
        <v>4686</v>
      </c>
      <c r="J261" t="str">
        <f t="shared" si="1"/>
        <v>normalweight</v>
      </c>
    </row>
    <row r="262" spans="1:10" ht="15.75" customHeight="1">
      <c r="A262" t="s">
        <v>4155</v>
      </c>
      <c r="B262">
        <v>30.684999999999999</v>
      </c>
      <c r="C262">
        <v>8.23</v>
      </c>
      <c r="D262" s="6" t="s">
        <v>4684</v>
      </c>
      <c r="E262" t="s">
        <v>4685</v>
      </c>
      <c r="F262" t="s">
        <v>4685</v>
      </c>
      <c r="G262" t="s">
        <v>4685</v>
      </c>
      <c r="H262" s="2">
        <v>0</v>
      </c>
      <c r="I262" t="s">
        <v>4686</v>
      </c>
      <c r="J262" t="str">
        <f t="shared" si="1"/>
        <v>normalweight</v>
      </c>
    </row>
    <row r="263" spans="1:10" ht="15.75" customHeight="1">
      <c r="A263" t="s">
        <v>4153</v>
      </c>
      <c r="B263">
        <v>37.524999999999999</v>
      </c>
      <c r="C263">
        <v>9.0299999999999994</v>
      </c>
      <c r="D263" s="6" t="s">
        <v>4684</v>
      </c>
      <c r="E263" t="s">
        <v>4686</v>
      </c>
      <c r="F263" t="s">
        <v>4685</v>
      </c>
      <c r="G263" t="s">
        <v>4685</v>
      </c>
      <c r="H263" s="2">
        <v>2</v>
      </c>
      <c r="I263" t="s">
        <v>4685</v>
      </c>
      <c r="J263" t="str">
        <f t="shared" si="1"/>
        <v>normalweight</v>
      </c>
    </row>
    <row r="264" spans="1:10" ht="15.75" customHeight="1">
      <c r="A264" t="s">
        <v>4151</v>
      </c>
      <c r="B264">
        <v>34.5</v>
      </c>
      <c r="C264">
        <v>4.07</v>
      </c>
      <c r="E264" t="s">
        <v>4686</v>
      </c>
      <c r="F264" t="s">
        <v>4685</v>
      </c>
      <c r="G264" t="s">
        <v>4685</v>
      </c>
      <c r="H264" s="2">
        <v>0</v>
      </c>
      <c r="I264" t="s">
        <v>4686</v>
      </c>
      <c r="J264" t="str">
        <f t="shared" si="1"/>
        <v>normalweight</v>
      </c>
    </row>
    <row r="265" spans="1:10" ht="15.75" customHeight="1">
      <c r="A265" t="s">
        <v>4149</v>
      </c>
      <c r="B265">
        <v>28.16</v>
      </c>
      <c r="C265">
        <v>5.77</v>
      </c>
      <c r="E265" t="s">
        <v>4685</v>
      </c>
      <c r="F265" t="s">
        <v>4685</v>
      </c>
      <c r="G265" t="s">
        <v>4685</v>
      </c>
      <c r="H265" s="2">
        <v>2</v>
      </c>
      <c r="I265" t="s">
        <v>4686</v>
      </c>
      <c r="J265" t="str">
        <f t="shared" si="1"/>
        <v>normalweight</v>
      </c>
    </row>
    <row r="266" spans="1:10" ht="15.75" customHeight="1">
      <c r="A266" t="s">
        <v>4147</v>
      </c>
      <c r="B266">
        <v>30.02</v>
      </c>
      <c r="C266">
        <v>5.98</v>
      </c>
      <c r="E266" t="s">
        <v>4685</v>
      </c>
      <c r="F266" t="s">
        <v>4685</v>
      </c>
      <c r="G266" t="s">
        <v>4688</v>
      </c>
      <c r="H266" s="2">
        <v>1</v>
      </c>
      <c r="I266" t="s">
        <v>4686</v>
      </c>
      <c r="J266" t="str">
        <f t="shared" si="1"/>
        <v>normalweight</v>
      </c>
    </row>
    <row r="267" spans="1:10" ht="15.75" customHeight="1">
      <c r="A267" t="s">
        <v>4145</v>
      </c>
      <c r="B267">
        <v>37.82</v>
      </c>
      <c r="C267">
        <v>6.01</v>
      </c>
      <c r="E267" t="s">
        <v>4685</v>
      </c>
      <c r="F267" t="s">
        <v>4685</v>
      </c>
      <c r="G267" t="s">
        <v>4685</v>
      </c>
      <c r="H267" s="2">
        <v>0</v>
      </c>
      <c r="I267" t="s">
        <v>4686</v>
      </c>
      <c r="J267" t="str">
        <f t="shared" si="1"/>
        <v>normalweight</v>
      </c>
    </row>
    <row r="268" spans="1:10" ht="15.75" customHeight="1">
      <c r="A268" t="s">
        <v>4143</v>
      </c>
      <c r="B268">
        <v>33.14</v>
      </c>
      <c r="C268">
        <v>5.67</v>
      </c>
      <c r="E268" t="s">
        <v>4686</v>
      </c>
      <c r="F268" t="s">
        <v>4685</v>
      </c>
      <c r="G268" t="s">
        <v>4685</v>
      </c>
      <c r="H268" s="2">
        <v>0</v>
      </c>
      <c r="I268" t="s">
        <v>4686</v>
      </c>
      <c r="J268" t="str">
        <f t="shared" si="1"/>
        <v>normalweight</v>
      </c>
    </row>
    <row r="269" spans="1:10" ht="15.75" customHeight="1">
      <c r="A269" t="s">
        <v>4141</v>
      </c>
      <c r="B269">
        <v>25.14</v>
      </c>
      <c r="C269">
        <v>6.02</v>
      </c>
      <c r="E269" t="s">
        <v>4686</v>
      </c>
      <c r="F269" t="s">
        <v>4685</v>
      </c>
      <c r="G269" t="s">
        <v>4688</v>
      </c>
      <c r="H269" s="2">
        <v>1</v>
      </c>
      <c r="I269" t="s">
        <v>4686</v>
      </c>
      <c r="J269" t="str">
        <f t="shared" si="1"/>
        <v>normalweight</v>
      </c>
    </row>
    <row r="270" spans="1:10" ht="15.75" customHeight="1">
      <c r="A270" t="s">
        <v>4139</v>
      </c>
      <c r="B270">
        <v>20.18</v>
      </c>
      <c r="C270">
        <v>11.19</v>
      </c>
      <c r="D270" s="6" t="s">
        <v>4684</v>
      </c>
      <c r="E270" t="s">
        <v>4685</v>
      </c>
      <c r="F270" t="s">
        <v>4685</v>
      </c>
      <c r="G270" t="s">
        <v>4685</v>
      </c>
      <c r="H270" s="2">
        <v>0</v>
      </c>
      <c r="I270" t="s">
        <v>4686</v>
      </c>
      <c r="J270" t="str">
        <f t="shared" si="1"/>
        <v>normalweight</v>
      </c>
    </row>
    <row r="271" spans="1:10" ht="15.75" customHeight="1">
      <c r="A271" t="s">
        <v>4137</v>
      </c>
      <c r="B271">
        <v>44.36</v>
      </c>
      <c r="C271">
        <v>5.1100000000000003</v>
      </c>
      <c r="E271" t="s">
        <v>4685</v>
      </c>
      <c r="F271" t="s">
        <v>4685</v>
      </c>
      <c r="G271" t="s">
        <v>4685</v>
      </c>
      <c r="H271" s="2">
        <v>0</v>
      </c>
      <c r="I271" t="s">
        <v>4686</v>
      </c>
      <c r="J271" t="str">
        <f t="shared" si="1"/>
        <v>normalweight</v>
      </c>
    </row>
    <row r="272" spans="1:10" ht="15.75" customHeight="1">
      <c r="A272" t="s">
        <v>4135</v>
      </c>
      <c r="B272">
        <v>23.82</v>
      </c>
      <c r="C272">
        <v>10.85</v>
      </c>
      <c r="D272" s="6" t="s">
        <v>4684</v>
      </c>
      <c r="E272" t="s">
        <v>4686</v>
      </c>
      <c r="F272" t="s">
        <v>4685</v>
      </c>
      <c r="G272" t="s">
        <v>4685</v>
      </c>
      <c r="H272" s="2">
        <v>0</v>
      </c>
      <c r="I272" t="s">
        <v>4686</v>
      </c>
      <c r="J272" t="str">
        <f t="shared" si="1"/>
        <v>normalweight</v>
      </c>
    </row>
    <row r="273" spans="1:10" ht="15.75" customHeight="1">
      <c r="A273" t="s">
        <v>4133</v>
      </c>
      <c r="B273">
        <v>45</v>
      </c>
      <c r="C273">
        <v>5.24</v>
      </c>
      <c r="E273" t="s">
        <v>4686</v>
      </c>
      <c r="F273" t="s">
        <v>4685</v>
      </c>
      <c r="G273" t="s">
        <v>4685</v>
      </c>
      <c r="H273" s="2">
        <v>1</v>
      </c>
      <c r="I273" t="s">
        <v>4686</v>
      </c>
      <c r="J273" t="str">
        <f t="shared" si="1"/>
        <v>normalweight</v>
      </c>
    </row>
    <row r="274" spans="1:10" ht="15.75" customHeight="1">
      <c r="A274" t="s">
        <v>4131</v>
      </c>
      <c r="B274">
        <v>26.62</v>
      </c>
      <c r="C274">
        <v>10.08</v>
      </c>
      <c r="D274" s="6" t="s">
        <v>4684</v>
      </c>
      <c r="E274" t="s">
        <v>4685</v>
      </c>
      <c r="F274" t="s">
        <v>4685</v>
      </c>
      <c r="G274" t="s">
        <v>4685</v>
      </c>
      <c r="H274" s="2">
        <v>0</v>
      </c>
      <c r="I274" t="s">
        <v>4686</v>
      </c>
      <c r="J274" t="str">
        <f t="shared" si="1"/>
        <v>normalweight</v>
      </c>
    </row>
    <row r="275" spans="1:10" ht="15.75" customHeight="1">
      <c r="A275" t="s">
        <v>4129</v>
      </c>
      <c r="B275">
        <v>32.67</v>
      </c>
      <c r="C275">
        <v>10.97</v>
      </c>
      <c r="D275" s="6" t="s">
        <v>4684</v>
      </c>
      <c r="E275" t="s">
        <v>4686</v>
      </c>
      <c r="F275" t="s">
        <v>4685</v>
      </c>
      <c r="G275" t="s">
        <v>4685</v>
      </c>
      <c r="H275" s="2">
        <v>0</v>
      </c>
      <c r="I275" t="s">
        <v>4686</v>
      </c>
      <c r="J275" t="str">
        <f t="shared" si="1"/>
        <v>normalweight</v>
      </c>
    </row>
    <row r="276" spans="1:10" ht="15.75" customHeight="1">
      <c r="A276" t="s">
        <v>4127</v>
      </c>
      <c r="B276">
        <v>44.44</v>
      </c>
      <c r="C276">
        <v>4.9000000000000004</v>
      </c>
      <c r="E276" t="s">
        <v>4686</v>
      </c>
      <c r="F276" t="s">
        <v>4685</v>
      </c>
      <c r="G276" t="s">
        <v>4685</v>
      </c>
      <c r="H276" s="2">
        <v>1</v>
      </c>
      <c r="I276" t="s">
        <v>4686</v>
      </c>
      <c r="J276" t="str">
        <f t="shared" si="1"/>
        <v>normalweight</v>
      </c>
    </row>
    <row r="277" spans="1:10" ht="15.75" customHeight="1">
      <c r="A277" t="s">
        <v>4125</v>
      </c>
      <c r="B277">
        <v>28.31</v>
      </c>
      <c r="C277">
        <v>5.33</v>
      </c>
      <c r="E277" t="s">
        <v>4685</v>
      </c>
      <c r="F277" t="s">
        <v>4685</v>
      </c>
      <c r="G277" t="s">
        <v>4685</v>
      </c>
      <c r="H277" s="2">
        <v>0</v>
      </c>
      <c r="I277" t="s">
        <v>4686</v>
      </c>
      <c r="J277" t="str">
        <f t="shared" ref="J277:J531" si="2">IF(B277&lt;=18.5,"underweight",IF(B277&gt;=18.5-24.9,"normalweight",IF(B277&gt;=25-29.9,"overweight","obesity")))</f>
        <v>normalweight</v>
      </c>
    </row>
    <row r="278" spans="1:10" ht="15.75" customHeight="1">
      <c r="A278" t="s">
        <v>4123</v>
      </c>
      <c r="B278">
        <v>25.05</v>
      </c>
      <c r="C278">
        <v>4.6100000000000003</v>
      </c>
      <c r="E278" t="s">
        <v>4685</v>
      </c>
      <c r="F278" t="s">
        <v>4685</v>
      </c>
      <c r="G278" t="s">
        <v>4685</v>
      </c>
      <c r="H278" s="2">
        <v>2</v>
      </c>
      <c r="I278" t="s">
        <v>4686</v>
      </c>
      <c r="J278" t="str">
        <f t="shared" si="2"/>
        <v>normalweight</v>
      </c>
    </row>
    <row r="279" spans="1:10" ht="15.75" customHeight="1">
      <c r="A279" t="s">
        <v>4121</v>
      </c>
      <c r="B279">
        <v>28.34</v>
      </c>
      <c r="C279">
        <v>8.18</v>
      </c>
      <c r="D279" s="6" t="s">
        <v>4684</v>
      </c>
      <c r="E279" t="s">
        <v>4685</v>
      </c>
      <c r="F279" t="s">
        <v>4685</v>
      </c>
      <c r="G279" t="s">
        <v>4685</v>
      </c>
      <c r="H279" s="2">
        <v>0</v>
      </c>
      <c r="I279" t="s">
        <v>4686</v>
      </c>
      <c r="J279" t="str">
        <f t="shared" si="2"/>
        <v>normalweight</v>
      </c>
    </row>
    <row r="280" spans="1:10" ht="15.75" customHeight="1">
      <c r="A280" t="s">
        <v>4119</v>
      </c>
      <c r="B280">
        <v>17.765000000000001</v>
      </c>
      <c r="C280">
        <v>5.62</v>
      </c>
      <c r="E280" t="s">
        <v>4685</v>
      </c>
      <c r="F280" t="s">
        <v>4685</v>
      </c>
      <c r="G280" t="s">
        <v>4685</v>
      </c>
      <c r="H280" s="2">
        <v>0</v>
      </c>
      <c r="I280" t="s">
        <v>4686</v>
      </c>
      <c r="J280" t="str">
        <f t="shared" si="2"/>
        <v>underweight</v>
      </c>
    </row>
    <row r="281" spans="1:10" ht="15.75" customHeight="1">
      <c r="A281" t="s">
        <v>4117</v>
      </c>
      <c r="B281">
        <v>36.119999999999997</v>
      </c>
      <c r="C281">
        <v>5.82</v>
      </c>
      <c r="E281" t="s">
        <v>4685</v>
      </c>
      <c r="F281" t="s">
        <v>4685</v>
      </c>
      <c r="G281" t="s">
        <v>4685</v>
      </c>
      <c r="H281" s="2">
        <v>0</v>
      </c>
      <c r="I281" t="s">
        <v>4686</v>
      </c>
      <c r="J281" t="str">
        <f t="shared" si="2"/>
        <v>normalweight</v>
      </c>
    </row>
    <row r="282" spans="1:10" ht="15.75" customHeight="1">
      <c r="A282" t="s">
        <v>4115</v>
      </c>
      <c r="B282">
        <v>23.19</v>
      </c>
      <c r="C282">
        <v>7.66</v>
      </c>
      <c r="D282" s="6" t="s">
        <v>4684</v>
      </c>
      <c r="E282" t="s">
        <v>4685</v>
      </c>
      <c r="F282" t="s">
        <v>4685</v>
      </c>
      <c r="G282" t="s">
        <v>4685</v>
      </c>
      <c r="H282" s="2">
        <v>0</v>
      </c>
      <c r="I282" t="s">
        <v>4686</v>
      </c>
      <c r="J282" t="str">
        <f t="shared" si="2"/>
        <v>normalweight</v>
      </c>
    </row>
    <row r="283" spans="1:10" ht="15.75" customHeight="1">
      <c r="A283" t="s">
        <v>4113</v>
      </c>
      <c r="B283">
        <v>35.99</v>
      </c>
      <c r="C283">
        <v>4.2300000000000004</v>
      </c>
      <c r="E283" t="s">
        <v>4685</v>
      </c>
      <c r="F283" t="s">
        <v>4685</v>
      </c>
      <c r="G283" t="s">
        <v>4685</v>
      </c>
      <c r="H283" s="2">
        <v>0</v>
      </c>
      <c r="I283" t="s">
        <v>4686</v>
      </c>
      <c r="J283" t="str">
        <f t="shared" si="2"/>
        <v>normalweight</v>
      </c>
    </row>
    <row r="284" spans="1:10" ht="15.75" customHeight="1">
      <c r="A284" t="s">
        <v>4111</v>
      </c>
      <c r="B284">
        <v>30.25</v>
      </c>
      <c r="C284">
        <v>5.58</v>
      </c>
      <c r="E284" t="s">
        <v>4685</v>
      </c>
      <c r="F284" t="s">
        <v>4685</v>
      </c>
      <c r="G284" t="s">
        <v>4688</v>
      </c>
      <c r="H284" s="2">
        <v>1</v>
      </c>
      <c r="I284" t="s">
        <v>4686</v>
      </c>
      <c r="J284" t="str">
        <f t="shared" si="2"/>
        <v>normalweight</v>
      </c>
    </row>
    <row r="285" spans="1:10" ht="15.75" customHeight="1">
      <c r="A285" t="s">
        <v>4109</v>
      </c>
      <c r="B285">
        <v>26.24</v>
      </c>
      <c r="C285">
        <v>6.26</v>
      </c>
      <c r="D285" s="6" t="s">
        <v>4684</v>
      </c>
      <c r="E285" t="s">
        <v>4686</v>
      </c>
      <c r="F285" t="s">
        <v>4685</v>
      </c>
      <c r="G285" t="s">
        <v>4685</v>
      </c>
      <c r="H285" s="2">
        <v>0</v>
      </c>
      <c r="I285" t="s">
        <v>4686</v>
      </c>
      <c r="J285" t="str">
        <f t="shared" si="2"/>
        <v>normalweight</v>
      </c>
    </row>
    <row r="286" spans="1:10" ht="15.75" customHeight="1">
      <c r="A286" t="s">
        <v>4107</v>
      </c>
      <c r="B286">
        <v>31.36</v>
      </c>
      <c r="C286">
        <v>10.6</v>
      </c>
      <c r="D286" s="6" t="s">
        <v>4684</v>
      </c>
      <c r="E286" t="s">
        <v>4686</v>
      </c>
      <c r="F286" t="s">
        <v>4685</v>
      </c>
      <c r="G286" t="s">
        <v>4685</v>
      </c>
      <c r="H286" s="2">
        <v>0</v>
      </c>
      <c r="I286" t="s">
        <v>4686</v>
      </c>
      <c r="J286" t="str">
        <f t="shared" si="2"/>
        <v>normalweight</v>
      </c>
    </row>
    <row r="287" spans="1:10" ht="15.75" customHeight="1">
      <c r="A287" t="s">
        <v>4105</v>
      </c>
      <c r="B287">
        <v>25.69</v>
      </c>
      <c r="C287">
        <v>4.78</v>
      </c>
      <c r="E287" t="s">
        <v>4686</v>
      </c>
      <c r="F287" t="s">
        <v>4685</v>
      </c>
      <c r="G287" t="s">
        <v>4685</v>
      </c>
      <c r="H287" s="2">
        <v>0</v>
      </c>
      <c r="I287" t="s">
        <v>4686</v>
      </c>
      <c r="J287" t="str">
        <f t="shared" si="2"/>
        <v>normalweight</v>
      </c>
    </row>
    <row r="288" spans="1:10" ht="15.75" customHeight="1">
      <c r="A288" t="s">
        <v>4103</v>
      </c>
      <c r="B288">
        <v>25.46</v>
      </c>
      <c r="C288">
        <v>6.03</v>
      </c>
      <c r="E288" t="s">
        <v>4685</v>
      </c>
      <c r="F288" t="s">
        <v>4685</v>
      </c>
      <c r="G288" t="s">
        <v>4685</v>
      </c>
      <c r="H288" s="2">
        <v>2</v>
      </c>
      <c r="I288" t="s">
        <v>4686</v>
      </c>
      <c r="J288" t="str">
        <f t="shared" si="2"/>
        <v>normalweight</v>
      </c>
    </row>
    <row r="289" spans="1:10" ht="15.75" customHeight="1">
      <c r="A289" t="s">
        <v>4101</v>
      </c>
      <c r="B289">
        <v>31.83</v>
      </c>
      <c r="C289">
        <v>11.55</v>
      </c>
      <c r="D289" s="6" t="s">
        <v>4684</v>
      </c>
      <c r="E289" t="s">
        <v>4686</v>
      </c>
      <c r="F289" t="s">
        <v>4685</v>
      </c>
      <c r="G289" t="s">
        <v>4685</v>
      </c>
      <c r="H289" s="2">
        <v>1</v>
      </c>
      <c r="I289" t="s">
        <v>4686</v>
      </c>
      <c r="J289" t="str">
        <f t="shared" si="2"/>
        <v>normalweight</v>
      </c>
    </row>
    <row r="290" spans="1:10" ht="15.75" customHeight="1">
      <c r="A290" t="s">
        <v>4099</v>
      </c>
      <c r="B290">
        <v>24.43</v>
      </c>
      <c r="C290">
        <v>7.59</v>
      </c>
      <c r="D290" s="6" t="s">
        <v>4684</v>
      </c>
      <c r="E290" t="s">
        <v>4686</v>
      </c>
      <c r="F290" t="s">
        <v>4685</v>
      </c>
      <c r="G290" t="s">
        <v>4685</v>
      </c>
      <c r="H290" s="2">
        <v>1</v>
      </c>
      <c r="I290" t="s">
        <v>4686</v>
      </c>
      <c r="J290" t="str">
        <f t="shared" si="2"/>
        <v>normalweight</v>
      </c>
    </row>
    <row r="291" spans="1:10" ht="15.75" customHeight="1">
      <c r="A291" t="s">
        <v>4097</v>
      </c>
      <c r="B291">
        <v>41.9</v>
      </c>
      <c r="C291">
        <v>4.26</v>
      </c>
      <c r="E291" t="s">
        <v>4685</v>
      </c>
      <c r="F291" t="s">
        <v>4685</v>
      </c>
      <c r="G291" t="s">
        <v>4685</v>
      </c>
      <c r="H291" s="2">
        <v>0</v>
      </c>
      <c r="I291" t="s">
        <v>4686</v>
      </c>
      <c r="J291" t="str">
        <f t="shared" si="2"/>
        <v>normalweight</v>
      </c>
    </row>
    <row r="292" spans="1:10" ht="15.75" customHeight="1">
      <c r="A292" t="s">
        <v>4095</v>
      </c>
      <c r="B292">
        <v>22.88</v>
      </c>
      <c r="C292">
        <v>5.9</v>
      </c>
      <c r="E292" t="s">
        <v>4686</v>
      </c>
      <c r="F292" t="s">
        <v>4685</v>
      </c>
      <c r="G292" t="s">
        <v>4688</v>
      </c>
      <c r="H292" s="2">
        <v>1</v>
      </c>
      <c r="I292" t="s">
        <v>4686</v>
      </c>
      <c r="J292" t="str">
        <f t="shared" si="2"/>
        <v>normalweight</v>
      </c>
    </row>
    <row r="293" spans="1:10" ht="15.75" customHeight="1">
      <c r="A293" t="s">
        <v>4093</v>
      </c>
      <c r="B293">
        <v>29.734999999999999</v>
      </c>
      <c r="C293">
        <v>7.79</v>
      </c>
      <c r="D293" s="6" t="s">
        <v>4684</v>
      </c>
      <c r="E293" t="s">
        <v>4685</v>
      </c>
      <c r="F293" t="s">
        <v>4685</v>
      </c>
      <c r="G293" t="s">
        <v>4685</v>
      </c>
      <c r="H293" s="2">
        <v>0</v>
      </c>
      <c r="I293" t="s">
        <v>4685</v>
      </c>
      <c r="J293" t="str">
        <f t="shared" si="2"/>
        <v>normalweight</v>
      </c>
    </row>
    <row r="294" spans="1:10" ht="15.75" customHeight="1">
      <c r="A294" t="s">
        <v>4091</v>
      </c>
      <c r="B294">
        <v>40.74</v>
      </c>
      <c r="C294">
        <v>5.28</v>
      </c>
      <c r="E294" t="s">
        <v>4685</v>
      </c>
      <c r="F294" t="s">
        <v>4685</v>
      </c>
      <c r="G294" t="s">
        <v>4688</v>
      </c>
      <c r="H294" s="2">
        <v>1</v>
      </c>
      <c r="I294" t="s">
        <v>4686</v>
      </c>
      <c r="J294" t="str">
        <f t="shared" si="2"/>
        <v>normalweight</v>
      </c>
    </row>
    <row r="295" spans="1:10" ht="15.75" customHeight="1">
      <c r="A295" t="s">
        <v>4089</v>
      </c>
      <c r="B295">
        <v>24.14</v>
      </c>
      <c r="C295">
        <v>5.87</v>
      </c>
      <c r="E295" t="s">
        <v>4685</v>
      </c>
      <c r="F295" t="s">
        <v>4685</v>
      </c>
      <c r="G295" t="s">
        <v>4685</v>
      </c>
      <c r="H295" s="2">
        <v>2</v>
      </c>
      <c r="I295" t="s">
        <v>4686</v>
      </c>
      <c r="J295" t="str">
        <f t="shared" si="2"/>
        <v>normalweight</v>
      </c>
    </row>
    <row r="296" spans="1:10" ht="15.75" customHeight="1">
      <c r="A296" t="s">
        <v>4435</v>
      </c>
      <c r="B296">
        <v>25.15</v>
      </c>
      <c r="C296">
        <v>9.08</v>
      </c>
      <c r="D296" s="6" t="s">
        <v>4684</v>
      </c>
      <c r="E296" t="s">
        <v>4686</v>
      </c>
      <c r="F296" t="s">
        <v>4685</v>
      </c>
      <c r="G296" t="s">
        <v>4685</v>
      </c>
      <c r="H296" s="2">
        <v>1</v>
      </c>
      <c r="I296" t="s">
        <v>4686</v>
      </c>
      <c r="J296" t="str">
        <f t="shared" si="2"/>
        <v>normalweight</v>
      </c>
    </row>
    <row r="297" spans="1:10" ht="15.75" customHeight="1">
      <c r="A297" t="s">
        <v>4087</v>
      </c>
      <c r="B297">
        <v>28.71</v>
      </c>
      <c r="C297">
        <v>5.2</v>
      </c>
      <c r="E297" t="s">
        <v>4685</v>
      </c>
      <c r="F297" t="s">
        <v>4685</v>
      </c>
      <c r="G297" t="s">
        <v>4685</v>
      </c>
      <c r="H297" s="2">
        <v>1</v>
      </c>
      <c r="I297" t="s">
        <v>4686</v>
      </c>
      <c r="J297" t="str">
        <f t="shared" si="2"/>
        <v>normalweight</v>
      </c>
    </row>
    <row r="298" spans="1:10" ht="15.75" customHeight="1">
      <c r="A298" t="s">
        <v>4085</v>
      </c>
      <c r="B298">
        <v>23</v>
      </c>
      <c r="C298">
        <v>5.48</v>
      </c>
      <c r="E298" t="s">
        <v>4685</v>
      </c>
      <c r="F298" t="s">
        <v>4685</v>
      </c>
      <c r="G298" t="s">
        <v>4685</v>
      </c>
      <c r="H298" s="2">
        <v>0</v>
      </c>
      <c r="I298" t="s">
        <v>4686</v>
      </c>
      <c r="J298" t="str">
        <f t="shared" si="2"/>
        <v>normalweight</v>
      </c>
    </row>
    <row r="299" spans="1:10" ht="15.75" customHeight="1">
      <c r="A299" t="s">
        <v>4083</v>
      </c>
      <c r="B299">
        <v>36.86</v>
      </c>
      <c r="C299">
        <v>11.95</v>
      </c>
      <c r="D299" s="6" t="s">
        <v>4684</v>
      </c>
      <c r="E299" t="s">
        <v>4685</v>
      </c>
      <c r="F299" t="s">
        <v>4685</v>
      </c>
      <c r="G299" t="s">
        <v>4685</v>
      </c>
      <c r="H299" s="2">
        <v>0</v>
      </c>
      <c r="I299" t="s">
        <v>4685</v>
      </c>
      <c r="J299" t="str">
        <f t="shared" si="2"/>
        <v>normalweight</v>
      </c>
    </row>
    <row r="300" spans="1:10" ht="15.75" customHeight="1">
      <c r="A300" t="s">
        <v>4081</v>
      </c>
      <c r="B300">
        <v>24.25</v>
      </c>
      <c r="C300">
        <v>8.6999999999999993</v>
      </c>
      <c r="D300" s="6" t="s">
        <v>4684</v>
      </c>
      <c r="E300" t="s">
        <v>4686</v>
      </c>
      <c r="F300" t="s">
        <v>4685</v>
      </c>
      <c r="G300" t="s">
        <v>4685</v>
      </c>
      <c r="H300" s="2">
        <v>1</v>
      </c>
      <c r="I300" t="s">
        <v>4686</v>
      </c>
      <c r="J300" t="str">
        <f t="shared" si="2"/>
        <v>normalweight</v>
      </c>
    </row>
    <row r="301" spans="1:10" ht="15.75" customHeight="1">
      <c r="A301" t="s">
        <v>4079</v>
      </c>
      <c r="B301">
        <v>23.85</v>
      </c>
      <c r="C301">
        <v>7.84</v>
      </c>
      <c r="D301" s="6" t="s">
        <v>4684</v>
      </c>
      <c r="E301" t="s">
        <v>4685</v>
      </c>
      <c r="F301" t="s">
        <v>4685</v>
      </c>
      <c r="G301" t="s">
        <v>4685</v>
      </c>
      <c r="H301" s="2">
        <v>0</v>
      </c>
      <c r="I301" t="s">
        <v>4686</v>
      </c>
      <c r="J301" t="str">
        <f t="shared" si="2"/>
        <v>normalweight</v>
      </c>
    </row>
    <row r="302" spans="1:10" ht="15.75" customHeight="1">
      <c r="A302" t="s">
        <v>4077</v>
      </c>
      <c r="B302">
        <v>40.020000000000003</v>
      </c>
      <c r="C302">
        <v>5.19</v>
      </c>
      <c r="E302" t="s">
        <v>4686</v>
      </c>
      <c r="F302" t="s">
        <v>4685</v>
      </c>
      <c r="G302" t="s">
        <v>4685</v>
      </c>
      <c r="H302" s="2">
        <v>1</v>
      </c>
      <c r="I302" t="s">
        <v>4686</v>
      </c>
      <c r="J302" t="str">
        <f t="shared" si="2"/>
        <v>normalweight</v>
      </c>
    </row>
    <row r="303" spans="1:10" ht="15.75" customHeight="1">
      <c r="A303" t="s">
        <v>4075</v>
      </c>
      <c r="B303">
        <v>19.170000000000002</v>
      </c>
      <c r="C303">
        <v>8.41</v>
      </c>
      <c r="D303" s="6" t="s">
        <v>4684</v>
      </c>
      <c r="E303" t="s">
        <v>4685</v>
      </c>
      <c r="F303" t="s">
        <v>4685</v>
      </c>
      <c r="G303" t="s">
        <v>4685</v>
      </c>
      <c r="H303" s="2">
        <v>0</v>
      </c>
      <c r="I303" t="s">
        <v>4686</v>
      </c>
      <c r="J303" t="str">
        <f t="shared" si="2"/>
        <v>normalweight</v>
      </c>
    </row>
    <row r="304" spans="1:10" ht="15.75" customHeight="1">
      <c r="A304" t="s">
        <v>4073</v>
      </c>
      <c r="B304">
        <v>43.53</v>
      </c>
      <c r="C304">
        <v>5.86</v>
      </c>
      <c r="E304" t="s">
        <v>4686</v>
      </c>
      <c r="F304" t="s">
        <v>4686</v>
      </c>
      <c r="G304" t="s">
        <v>4685</v>
      </c>
      <c r="H304" s="2">
        <v>2</v>
      </c>
      <c r="I304" t="s">
        <v>4686</v>
      </c>
      <c r="J304" t="str">
        <f t="shared" si="2"/>
        <v>normalweight</v>
      </c>
    </row>
    <row r="305" spans="1:10" ht="15.75" customHeight="1">
      <c r="A305" t="s">
        <v>4071</v>
      </c>
      <c r="B305">
        <v>46.06</v>
      </c>
      <c r="C305">
        <v>4.18</v>
      </c>
      <c r="E305" t="s">
        <v>4685</v>
      </c>
      <c r="F305" t="s">
        <v>4686</v>
      </c>
      <c r="G305" t="s">
        <v>4685</v>
      </c>
      <c r="H305" s="2">
        <v>1</v>
      </c>
      <c r="I305" t="s">
        <v>4686</v>
      </c>
      <c r="J305" t="str">
        <f t="shared" si="2"/>
        <v>normalweight</v>
      </c>
    </row>
    <row r="306" spans="1:10" ht="15.75" customHeight="1">
      <c r="A306" t="s">
        <v>4069</v>
      </c>
      <c r="B306">
        <v>29.92</v>
      </c>
      <c r="C306">
        <v>11.99</v>
      </c>
      <c r="D306" s="6" t="s">
        <v>4684</v>
      </c>
      <c r="E306" t="s">
        <v>4686</v>
      </c>
      <c r="F306" t="s">
        <v>4685</v>
      </c>
      <c r="G306" t="s">
        <v>4685</v>
      </c>
      <c r="H306" s="2">
        <v>2</v>
      </c>
      <c r="I306" t="s">
        <v>4686</v>
      </c>
      <c r="J306" t="str">
        <f t="shared" si="2"/>
        <v>normalweight</v>
      </c>
    </row>
    <row r="307" spans="1:10" ht="15.75" customHeight="1">
      <c r="A307" t="s">
        <v>4067</v>
      </c>
      <c r="B307">
        <v>28.46</v>
      </c>
      <c r="C307">
        <v>4.8499999999999996</v>
      </c>
      <c r="E307" t="s">
        <v>4686</v>
      </c>
      <c r="F307" t="s">
        <v>4685</v>
      </c>
      <c r="G307" t="s">
        <v>4685</v>
      </c>
      <c r="H307" s="2">
        <v>1</v>
      </c>
      <c r="I307" t="s">
        <v>4686</v>
      </c>
      <c r="J307" t="str">
        <f t="shared" si="2"/>
        <v>normalweight</v>
      </c>
    </row>
    <row r="308" spans="1:10" ht="15.75" customHeight="1">
      <c r="A308" t="s">
        <v>4065</v>
      </c>
      <c r="B308">
        <v>24.56</v>
      </c>
      <c r="C308">
        <v>6.18</v>
      </c>
      <c r="E308" t="s">
        <v>4686</v>
      </c>
      <c r="F308" t="s">
        <v>4685</v>
      </c>
      <c r="G308" t="s">
        <v>4688</v>
      </c>
      <c r="H308" s="2">
        <v>1</v>
      </c>
      <c r="I308" t="s">
        <v>4686</v>
      </c>
      <c r="J308" t="str">
        <f t="shared" si="2"/>
        <v>normalweight</v>
      </c>
    </row>
    <row r="309" spans="1:10" ht="15.75" customHeight="1">
      <c r="A309" t="s">
        <v>4063</v>
      </c>
      <c r="B309">
        <v>41.19</v>
      </c>
      <c r="C309">
        <v>6.37</v>
      </c>
      <c r="E309" t="s">
        <v>4685</v>
      </c>
      <c r="F309" t="s">
        <v>4685</v>
      </c>
      <c r="G309" t="s">
        <v>4685</v>
      </c>
      <c r="H309" s="2">
        <v>0</v>
      </c>
      <c r="I309" t="s">
        <v>4686</v>
      </c>
      <c r="J309" t="str">
        <f t="shared" si="2"/>
        <v>normalweight</v>
      </c>
    </row>
    <row r="310" spans="1:10" ht="15.75" customHeight="1">
      <c r="A310" t="s">
        <v>4061</v>
      </c>
      <c r="B310">
        <v>18.63</v>
      </c>
      <c r="C310">
        <v>9.81</v>
      </c>
      <c r="D310" s="6" t="s">
        <v>4684</v>
      </c>
      <c r="E310" t="s">
        <v>4686</v>
      </c>
      <c r="F310" t="s">
        <v>4685</v>
      </c>
      <c r="G310" t="s">
        <v>4685</v>
      </c>
      <c r="H310" s="2">
        <v>2</v>
      </c>
      <c r="I310" t="s">
        <v>4686</v>
      </c>
      <c r="J310" t="str">
        <f t="shared" si="2"/>
        <v>normalweight</v>
      </c>
    </row>
    <row r="311" spans="1:10" ht="15.75" customHeight="1">
      <c r="A311" t="s">
        <v>4059</v>
      </c>
      <c r="B311">
        <v>26.26</v>
      </c>
      <c r="C311">
        <v>11.8</v>
      </c>
      <c r="D311" s="6" t="s">
        <v>4684</v>
      </c>
      <c r="E311" t="s">
        <v>4686</v>
      </c>
      <c r="F311" t="s">
        <v>4685</v>
      </c>
      <c r="G311" t="s">
        <v>4685</v>
      </c>
      <c r="H311" s="2">
        <v>1</v>
      </c>
      <c r="I311" t="s">
        <v>4686</v>
      </c>
      <c r="J311" t="str">
        <f t="shared" si="2"/>
        <v>normalweight</v>
      </c>
    </row>
    <row r="312" spans="1:10" ht="15.75" customHeight="1">
      <c r="A312" t="s">
        <v>4057</v>
      </c>
      <c r="B312">
        <v>22.37</v>
      </c>
      <c r="C312">
        <v>5.86</v>
      </c>
      <c r="E312" t="s">
        <v>4686</v>
      </c>
      <c r="F312" t="s">
        <v>4685</v>
      </c>
      <c r="G312" t="s">
        <v>4688</v>
      </c>
      <c r="H312" s="2">
        <v>1</v>
      </c>
      <c r="I312" t="s">
        <v>4686</v>
      </c>
      <c r="J312" t="str">
        <f t="shared" si="2"/>
        <v>normalweight</v>
      </c>
    </row>
    <row r="313" spans="1:10" ht="15.75" customHeight="1">
      <c r="A313" t="s">
        <v>4055</v>
      </c>
      <c r="B313">
        <v>39.619999999999997</v>
      </c>
      <c r="C313">
        <v>4.28</v>
      </c>
      <c r="E313" t="s">
        <v>4685</v>
      </c>
      <c r="F313" t="s">
        <v>4685</v>
      </c>
      <c r="G313" t="s">
        <v>4685</v>
      </c>
      <c r="H313" s="2">
        <v>1</v>
      </c>
      <c r="I313" t="s">
        <v>4686</v>
      </c>
      <c r="J313" t="str">
        <f t="shared" si="2"/>
        <v>normalweight</v>
      </c>
    </row>
    <row r="314" spans="1:10" ht="15.75" customHeight="1">
      <c r="A314" t="s">
        <v>4053</v>
      </c>
      <c r="B314">
        <v>18.329999999999998</v>
      </c>
      <c r="C314">
        <v>4.16</v>
      </c>
      <c r="E314" t="s">
        <v>4686</v>
      </c>
      <c r="F314" t="s">
        <v>4685</v>
      </c>
      <c r="G314" t="s">
        <v>4685</v>
      </c>
      <c r="H314" s="2">
        <v>0</v>
      </c>
      <c r="I314" t="s">
        <v>4686</v>
      </c>
      <c r="J314" t="str">
        <f t="shared" si="2"/>
        <v>underweight</v>
      </c>
    </row>
    <row r="315" spans="1:10" ht="15.75" customHeight="1">
      <c r="A315" t="s">
        <v>4051</v>
      </c>
      <c r="B315">
        <v>17.11</v>
      </c>
      <c r="C315">
        <v>4.9800000000000004</v>
      </c>
      <c r="E315" t="s">
        <v>4686</v>
      </c>
      <c r="F315" t="s">
        <v>4685</v>
      </c>
      <c r="G315" t="s">
        <v>4688</v>
      </c>
      <c r="H315" s="2">
        <v>1</v>
      </c>
      <c r="I315" t="s">
        <v>4686</v>
      </c>
      <c r="J315" t="str">
        <f t="shared" si="2"/>
        <v>underweight</v>
      </c>
    </row>
    <row r="316" spans="1:10" ht="15.75" customHeight="1">
      <c r="A316" t="s">
        <v>4049</v>
      </c>
      <c r="B316">
        <v>43.5</v>
      </c>
      <c r="C316">
        <v>6.38</v>
      </c>
      <c r="E316" t="s">
        <v>4685</v>
      </c>
      <c r="F316" t="s">
        <v>4686</v>
      </c>
      <c r="G316" t="s">
        <v>4685</v>
      </c>
      <c r="H316" s="2">
        <v>1</v>
      </c>
      <c r="I316" t="s">
        <v>4686</v>
      </c>
      <c r="J316" t="str">
        <f t="shared" si="2"/>
        <v>normalweight</v>
      </c>
    </row>
    <row r="317" spans="1:10" ht="15.75" customHeight="1">
      <c r="A317" t="s">
        <v>4047</v>
      </c>
      <c r="B317">
        <v>25.364999999999998</v>
      </c>
      <c r="C317">
        <v>5.19</v>
      </c>
      <c r="E317" t="s">
        <v>4685</v>
      </c>
      <c r="F317" t="s">
        <v>4685</v>
      </c>
      <c r="G317" t="s">
        <v>4685</v>
      </c>
      <c r="H317" s="2">
        <v>2</v>
      </c>
      <c r="I317" t="s">
        <v>4685</v>
      </c>
      <c r="J317" t="str">
        <f t="shared" si="2"/>
        <v>normalweight</v>
      </c>
    </row>
    <row r="318" spans="1:10" ht="15.75" customHeight="1">
      <c r="A318" t="s">
        <v>4045</v>
      </c>
      <c r="B318">
        <v>28.594999999999999</v>
      </c>
      <c r="C318">
        <v>10.210000000000001</v>
      </c>
      <c r="D318" s="6" t="s">
        <v>4684</v>
      </c>
      <c r="E318" t="s">
        <v>4685</v>
      </c>
      <c r="F318" t="s">
        <v>4685</v>
      </c>
      <c r="G318" t="s">
        <v>4685</v>
      </c>
      <c r="H318" s="2">
        <v>0</v>
      </c>
      <c r="I318" t="s">
        <v>4685</v>
      </c>
      <c r="J318" t="str">
        <f t="shared" si="2"/>
        <v>normalweight</v>
      </c>
    </row>
    <row r="319" spans="1:10" ht="15.75" customHeight="1">
      <c r="A319" t="s">
        <v>4043</v>
      </c>
      <c r="B319">
        <v>29.83</v>
      </c>
      <c r="C319">
        <v>9.6999999999999993</v>
      </c>
      <c r="D319" s="6" t="s">
        <v>4684</v>
      </c>
      <c r="E319" t="s">
        <v>4686</v>
      </c>
      <c r="F319" t="s">
        <v>4685</v>
      </c>
      <c r="G319" t="s">
        <v>4688</v>
      </c>
      <c r="H319" s="2">
        <v>1</v>
      </c>
      <c r="I319" t="s">
        <v>4686</v>
      </c>
      <c r="J319" t="str">
        <f t="shared" si="2"/>
        <v>normalweight</v>
      </c>
    </row>
    <row r="320" spans="1:10" ht="15.75" customHeight="1">
      <c r="A320" t="s">
        <v>4041</v>
      </c>
      <c r="B320">
        <v>24.7</v>
      </c>
      <c r="C320">
        <v>10.25</v>
      </c>
      <c r="D320" s="6" t="s">
        <v>4684</v>
      </c>
      <c r="E320" t="s">
        <v>4685</v>
      </c>
      <c r="F320" t="s">
        <v>4685</v>
      </c>
      <c r="G320" t="s">
        <v>4685</v>
      </c>
      <c r="H320" s="2">
        <v>3</v>
      </c>
      <c r="I320" t="s">
        <v>4685</v>
      </c>
      <c r="J320" t="str">
        <f t="shared" si="2"/>
        <v>normalweight</v>
      </c>
    </row>
    <row r="321" spans="1:10" ht="15.75" customHeight="1">
      <c r="A321" t="s">
        <v>4039</v>
      </c>
      <c r="B321">
        <v>17.940000000000001</v>
      </c>
      <c r="C321">
        <v>9.77</v>
      </c>
      <c r="D321" s="6" t="s">
        <v>4684</v>
      </c>
      <c r="E321" t="s">
        <v>4685</v>
      </c>
      <c r="F321" t="s">
        <v>4685</v>
      </c>
      <c r="G321" t="s">
        <v>4685</v>
      </c>
      <c r="H321" s="2">
        <v>0</v>
      </c>
      <c r="I321" t="s">
        <v>4686</v>
      </c>
      <c r="J321" t="str">
        <f t="shared" si="2"/>
        <v>underweight</v>
      </c>
    </row>
    <row r="322" spans="1:10" ht="15.75" customHeight="1">
      <c r="A322" t="s">
        <v>4037</v>
      </c>
      <c r="B322">
        <v>21.08</v>
      </c>
      <c r="C322">
        <v>4.83</v>
      </c>
      <c r="E322" t="s">
        <v>4685</v>
      </c>
      <c r="F322" t="s">
        <v>4685</v>
      </c>
      <c r="G322" t="s">
        <v>4688</v>
      </c>
      <c r="H322" s="2">
        <v>1</v>
      </c>
      <c r="I322" t="s">
        <v>4686</v>
      </c>
      <c r="J322" t="str">
        <f t="shared" si="2"/>
        <v>normalweight</v>
      </c>
    </row>
    <row r="323" spans="1:10" ht="15.75" customHeight="1">
      <c r="A323" t="s">
        <v>4035</v>
      </c>
      <c r="B323">
        <v>37.715000000000003</v>
      </c>
      <c r="C323">
        <v>10.86</v>
      </c>
      <c r="D323" s="6" t="s">
        <v>4684</v>
      </c>
      <c r="E323" t="s">
        <v>4686</v>
      </c>
      <c r="F323" t="s">
        <v>4685</v>
      </c>
      <c r="G323" t="s">
        <v>4685</v>
      </c>
      <c r="H323" s="2">
        <v>0</v>
      </c>
      <c r="I323" t="s">
        <v>4685</v>
      </c>
      <c r="J323" t="str">
        <f t="shared" si="2"/>
        <v>normalweight</v>
      </c>
    </row>
    <row r="324" spans="1:10" ht="15.75" customHeight="1">
      <c r="A324" t="s">
        <v>4033</v>
      </c>
      <c r="B324">
        <v>22.39</v>
      </c>
      <c r="C324">
        <v>9.5299999999999994</v>
      </c>
      <c r="D324" s="6" t="s">
        <v>4684</v>
      </c>
      <c r="E324" t="s">
        <v>4686</v>
      </c>
      <c r="F324" t="s">
        <v>4685</v>
      </c>
      <c r="G324" t="s">
        <v>4685</v>
      </c>
      <c r="H324" s="2">
        <v>0</v>
      </c>
      <c r="I324" t="s">
        <v>4686</v>
      </c>
      <c r="J324" t="str">
        <f t="shared" si="2"/>
        <v>normalweight</v>
      </c>
    </row>
    <row r="325" spans="1:10" ht="15.75" customHeight="1">
      <c r="A325" t="s">
        <v>4031</v>
      </c>
      <c r="B325">
        <v>28.78</v>
      </c>
      <c r="C325">
        <v>5.68</v>
      </c>
      <c r="E325" t="s">
        <v>4685</v>
      </c>
      <c r="F325" t="s">
        <v>4685</v>
      </c>
      <c r="G325" t="s">
        <v>4685</v>
      </c>
      <c r="H325" s="2">
        <v>0</v>
      </c>
      <c r="I325" t="s">
        <v>4686</v>
      </c>
      <c r="J325" t="str">
        <f t="shared" si="2"/>
        <v>normalweight</v>
      </c>
    </row>
    <row r="326" spans="1:10" ht="15.75" customHeight="1">
      <c r="A326" t="s">
        <v>4029</v>
      </c>
      <c r="B326">
        <v>18.329999999999998</v>
      </c>
      <c r="C326">
        <v>5.57</v>
      </c>
      <c r="E326" t="s">
        <v>4686</v>
      </c>
      <c r="F326" t="s">
        <v>4685</v>
      </c>
      <c r="G326" t="s">
        <v>4685</v>
      </c>
      <c r="H326" s="2">
        <v>0</v>
      </c>
      <c r="I326" t="s">
        <v>4686</v>
      </c>
      <c r="J326" t="str">
        <f t="shared" si="2"/>
        <v>underweight</v>
      </c>
    </row>
    <row r="327" spans="1:10" ht="15.75" customHeight="1">
      <c r="A327" t="s">
        <v>4027</v>
      </c>
      <c r="B327">
        <v>26.39</v>
      </c>
      <c r="C327">
        <v>4.58</v>
      </c>
      <c r="E327" t="s">
        <v>4686</v>
      </c>
      <c r="F327" t="s">
        <v>4685</v>
      </c>
      <c r="G327" t="s">
        <v>4685</v>
      </c>
      <c r="H327" s="2">
        <v>1</v>
      </c>
      <c r="I327" t="s">
        <v>4686</v>
      </c>
      <c r="J327" t="str">
        <f t="shared" si="2"/>
        <v>normalweight</v>
      </c>
    </row>
    <row r="328" spans="1:10" ht="15.75" customHeight="1">
      <c r="A328" t="s">
        <v>4025</v>
      </c>
      <c r="B328">
        <v>19.260000000000002</v>
      </c>
      <c r="C328">
        <v>8.9600000000000009</v>
      </c>
      <c r="D328" s="6" t="s">
        <v>4684</v>
      </c>
      <c r="E328" t="s">
        <v>4686</v>
      </c>
      <c r="F328" t="s">
        <v>4685</v>
      </c>
      <c r="G328" t="s">
        <v>4685</v>
      </c>
      <c r="H328" s="2">
        <v>1</v>
      </c>
      <c r="I328" t="s">
        <v>4686</v>
      </c>
      <c r="J328" t="str">
        <f t="shared" si="2"/>
        <v>normalweight</v>
      </c>
    </row>
    <row r="329" spans="1:10" ht="15.75" customHeight="1">
      <c r="A329" t="s">
        <v>4023</v>
      </c>
      <c r="B329">
        <v>26.92</v>
      </c>
      <c r="C329">
        <v>6.09</v>
      </c>
      <c r="E329" t="s">
        <v>4685</v>
      </c>
      <c r="F329" t="s">
        <v>4685</v>
      </c>
      <c r="G329" t="s">
        <v>4685</v>
      </c>
      <c r="H329" s="2">
        <v>0</v>
      </c>
      <c r="I329" t="s">
        <v>4686</v>
      </c>
      <c r="J329" t="str">
        <f t="shared" si="2"/>
        <v>normalweight</v>
      </c>
    </row>
    <row r="330" spans="1:10" ht="15.75" customHeight="1">
      <c r="A330" t="s">
        <v>4021</v>
      </c>
      <c r="B330">
        <v>19.73</v>
      </c>
      <c r="C330">
        <v>4.3600000000000003</v>
      </c>
      <c r="E330" t="s">
        <v>4685</v>
      </c>
      <c r="F330" t="s">
        <v>4685</v>
      </c>
      <c r="G330" t="s">
        <v>4685</v>
      </c>
      <c r="H330" s="2">
        <v>0</v>
      </c>
      <c r="I330" t="s">
        <v>4686</v>
      </c>
      <c r="J330" t="str">
        <f t="shared" si="2"/>
        <v>normalweight</v>
      </c>
    </row>
    <row r="331" spans="1:10" ht="15.75" customHeight="1">
      <c r="A331" t="s">
        <v>4019</v>
      </c>
      <c r="B331">
        <v>23.56</v>
      </c>
      <c r="C331">
        <v>11.74</v>
      </c>
      <c r="D331" s="6" t="s">
        <v>4684</v>
      </c>
      <c r="E331" t="s">
        <v>4686</v>
      </c>
      <c r="F331" t="s">
        <v>4685</v>
      </c>
      <c r="G331" t="s">
        <v>4685</v>
      </c>
      <c r="H331" s="2">
        <v>0</v>
      </c>
      <c r="I331" t="s">
        <v>4686</v>
      </c>
      <c r="J331" t="str">
        <f t="shared" si="2"/>
        <v>normalweight</v>
      </c>
    </row>
    <row r="332" spans="1:10" ht="15.75" customHeight="1">
      <c r="A332" t="s">
        <v>4017</v>
      </c>
      <c r="B332">
        <v>37.67</v>
      </c>
      <c r="C332">
        <v>5.89</v>
      </c>
      <c r="E332" t="s">
        <v>4685</v>
      </c>
      <c r="F332" t="s">
        <v>4685</v>
      </c>
      <c r="G332" t="s">
        <v>4685</v>
      </c>
      <c r="H332" s="2">
        <v>1</v>
      </c>
      <c r="I332" t="s">
        <v>4686</v>
      </c>
      <c r="J332" t="str">
        <f t="shared" si="2"/>
        <v>normalweight</v>
      </c>
    </row>
    <row r="333" spans="1:10" ht="15.75" customHeight="1">
      <c r="A333" t="s">
        <v>4015</v>
      </c>
      <c r="B333">
        <v>18.73</v>
      </c>
      <c r="C333">
        <v>10.64</v>
      </c>
      <c r="D333" s="6" t="s">
        <v>4684</v>
      </c>
      <c r="E333" t="s">
        <v>4685</v>
      </c>
      <c r="F333" t="s">
        <v>4685</v>
      </c>
      <c r="G333" t="s">
        <v>4685</v>
      </c>
      <c r="H333" s="2">
        <v>2</v>
      </c>
      <c r="I333" t="s">
        <v>4686</v>
      </c>
      <c r="J333" t="str">
        <f t="shared" si="2"/>
        <v>normalweight</v>
      </c>
    </row>
    <row r="334" spans="1:10" ht="15.75" customHeight="1">
      <c r="A334" t="s">
        <v>4013</v>
      </c>
      <c r="B334">
        <v>33.090000000000003</v>
      </c>
      <c r="C334">
        <v>6.06</v>
      </c>
      <c r="E334" t="s">
        <v>4685</v>
      </c>
      <c r="F334" t="s">
        <v>4685</v>
      </c>
      <c r="G334" t="s">
        <v>4688</v>
      </c>
      <c r="H334" s="2">
        <v>1</v>
      </c>
      <c r="I334" t="s">
        <v>4686</v>
      </c>
      <c r="J334" t="str">
        <f t="shared" si="2"/>
        <v>normalweight</v>
      </c>
    </row>
    <row r="335" spans="1:10" ht="15.75" customHeight="1">
      <c r="A335" t="s">
        <v>4011</v>
      </c>
      <c r="B335">
        <v>18.329999999999998</v>
      </c>
      <c r="C335">
        <v>7.46</v>
      </c>
      <c r="D335" s="6" t="s">
        <v>4684</v>
      </c>
      <c r="E335" t="s">
        <v>4686</v>
      </c>
      <c r="F335" t="s">
        <v>4685</v>
      </c>
      <c r="G335" t="s">
        <v>4685</v>
      </c>
      <c r="H335" s="2">
        <v>1</v>
      </c>
      <c r="I335" t="s">
        <v>4686</v>
      </c>
      <c r="J335" t="str">
        <f t="shared" si="2"/>
        <v>underweight</v>
      </c>
    </row>
    <row r="336" spans="1:10" ht="15.75" customHeight="1">
      <c r="A336" t="s">
        <v>4009</v>
      </c>
      <c r="B336">
        <v>27.74</v>
      </c>
      <c r="C336">
        <v>4.68</v>
      </c>
      <c r="E336" t="s">
        <v>4686</v>
      </c>
      <c r="F336" t="s">
        <v>4685</v>
      </c>
      <c r="G336" t="s">
        <v>4685</v>
      </c>
      <c r="H336" s="2">
        <v>2</v>
      </c>
      <c r="I336" t="s">
        <v>4686</v>
      </c>
      <c r="J336" t="str">
        <f t="shared" si="2"/>
        <v>normalweight</v>
      </c>
    </row>
    <row r="337" spans="1:10" ht="15.75" customHeight="1">
      <c r="A337" t="s">
        <v>4007</v>
      </c>
      <c r="B337">
        <v>24.2</v>
      </c>
      <c r="C337">
        <v>6.15</v>
      </c>
      <c r="E337" t="s">
        <v>4685</v>
      </c>
      <c r="F337" t="s">
        <v>4685</v>
      </c>
      <c r="G337" t="s">
        <v>4685</v>
      </c>
      <c r="H337" s="2">
        <v>1</v>
      </c>
      <c r="I337" t="s">
        <v>4686</v>
      </c>
      <c r="J337" t="str">
        <f t="shared" si="2"/>
        <v>normalweight</v>
      </c>
    </row>
    <row r="338" spans="1:10" ht="15.75" customHeight="1">
      <c r="A338" t="s">
        <v>4005</v>
      </c>
      <c r="B338">
        <v>22.03</v>
      </c>
      <c r="C338">
        <v>4.28</v>
      </c>
      <c r="E338" t="s">
        <v>4686</v>
      </c>
      <c r="F338" t="s">
        <v>4685</v>
      </c>
      <c r="G338" t="s">
        <v>4685</v>
      </c>
      <c r="H338" s="2">
        <v>0</v>
      </c>
      <c r="I338" t="s">
        <v>4686</v>
      </c>
      <c r="J338" t="str">
        <f t="shared" si="2"/>
        <v>normalweight</v>
      </c>
    </row>
    <row r="339" spans="1:10" ht="15.75" customHeight="1">
      <c r="A339" t="s">
        <v>4003</v>
      </c>
      <c r="B339">
        <v>26.885000000000002</v>
      </c>
      <c r="C339">
        <v>9.86</v>
      </c>
      <c r="D339" s="6" t="s">
        <v>4684</v>
      </c>
      <c r="E339" t="s">
        <v>4685</v>
      </c>
      <c r="F339" t="s">
        <v>4685</v>
      </c>
      <c r="G339" t="s">
        <v>4685</v>
      </c>
      <c r="H339" s="2">
        <v>3</v>
      </c>
      <c r="I339" t="s">
        <v>4686</v>
      </c>
      <c r="J339" t="str">
        <f t="shared" si="2"/>
        <v>normalweight</v>
      </c>
    </row>
    <row r="340" spans="1:10" ht="15.75" customHeight="1">
      <c r="A340" t="s">
        <v>4001</v>
      </c>
      <c r="B340">
        <v>16.36</v>
      </c>
      <c r="C340">
        <v>11.19</v>
      </c>
      <c r="D340" s="6" t="s">
        <v>4684</v>
      </c>
      <c r="E340" t="s">
        <v>4685</v>
      </c>
      <c r="F340" t="s">
        <v>4685</v>
      </c>
      <c r="G340" t="s">
        <v>4685</v>
      </c>
      <c r="H340" s="2">
        <v>0</v>
      </c>
      <c r="I340" t="s">
        <v>4686</v>
      </c>
      <c r="J340" t="str">
        <f t="shared" si="2"/>
        <v>underweight</v>
      </c>
    </row>
    <row r="341" spans="1:10" ht="15.75" customHeight="1">
      <c r="A341" t="s">
        <v>3999</v>
      </c>
      <c r="B341">
        <v>32.299999999999997</v>
      </c>
      <c r="C341">
        <v>4.8899999999999997</v>
      </c>
      <c r="E341" t="s">
        <v>4686</v>
      </c>
      <c r="F341" t="s">
        <v>4685</v>
      </c>
      <c r="G341" t="s">
        <v>4688</v>
      </c>
      <c r="H341" s="2">
        <v>1</v>
      </c>
      <c r="I341" t="s">
        <v>4685</v>
      </c>
      <c r="J341" t="str">
        <f t="shared" si="2"/>
        <v>normalweight</v>
      </c>
    </row>
    <row r="342" spans="1:10" ht="15.75" customHeight="1">
      <c r="A342" t="s">
        <v>3997</v>
      </c>
      <c r="B342">
        <v>16.05</v>
      </c>
      <c r="C342">
        <v>4.3499999999999996</v>
      </c>
      <c r="E342" t="s">
        <v>4686</v>
      </c>
      <c r="F342" t="s">
        <v>4685</v>
      </c>
      <c r="G342" t="s">
        <v>4685</v>
      </c>
      <c r="H342" s="2">
        <v>0</v>
      </c>
      <c r="I342" t="s">
        <v>4686</v>
      </c>
      <c r="J342" t="str">
        <f t="shared" si="2"/>
        <v>underweight</v>
      </c>
    </row>
    <row r="343" spans="1:10" ht="15.75" customHeight="1">
      <c r="A343" t="s">
        <v>3995</v>
      </c>
      <c r="B343">
        <v>29.07</v>
      </c>
      <c r="C343">
        <v>8.66</v>
      </c>
      <c r="D343" s="6" t="s">
        <v>4684</v>
      </c>
      <c r="E343" t="s">
        <v>4686</v>
      </c>
      <c r="F343" t="s">
        <v>4685</v>
      </c>
      <c r="G343" t="s">
        <v>4685</v>
      </c>
      <c r="H343" s="2">
        <v>2</v>
      </c>
      <c r="I343" t="s">
        <v>4686</v>
      </c>
      <c r="J343" t="str">
        <f t="shared" si="2"/>
        <v>normalweight</v>
      </c>
    </row>
    <row r="344" spans="1:10" ht="15.75" customHeight="1">
      <c r="A344" t="s">
        <v>3993</v>
      </c>
      <c r="B344">
        <v>17.43</v>
      </c>
      <c r="C344">
        <v>8.64</v>
      </c>
      <c r="D344" s="6" t="s">
        <v>4684</v>
      </c>
      <c r="E344" t="s">
        <v>4685</v>
      </c>
      <c r="F344" t="s">
        <v>4685</v>
      </c>
      <c r="G344" t="s">
        <v>4685</v>
      </c>
      <c r="H344" s="2">
        <v>0</v>
      </c>
      <c r="I344" t="s">
        <v>4686</v>
      </c>
      <c r="J344" t="str">
        <f t="shared" si="2"/>
        <v>underweight</v>
      </c>
    </row>
    <row r="345" spans="1:10" ht="15.75" customHeight="1">
      <c r="A345" t="s">
        <v>3991</v>
      </c>
      <c r="B345">
        <v>19.329999999999998</v>
      </c>
      <c r="C345">
        <v>4.2699999999999996</v>
      </c>
      <c r="E345" t="s">
        <v>4685</v>
      </c>
      <c r="F345" t="s">
        <v>4685</v>
      </c>
      <c r="G345" t="s">
        <v>4685</v>
      </c>
      <c r="H345" s="2">
        <v>0</v>
      </c>
      <c r="I345" t="s">
        <v>4686</v>
      </c>
      <c r="J345" t="str">
        <f t="shared" si="2"/>
        <v>normalweight</v>
      </c>
    </row>
    <row r="346" spans="1:10" ht="15.75" customHeight="1">
      <c r="A346" t="s">
        <v>3989</v>
      </c>
      <c r="B346">
        <v>30.52</v>
      </c>
      <c r="C346">
        <v>4.21</v>
      </c>
      <c r="E346" t="s">
        <v>4685</v>
      </c>
      <c r="F346" t="s">
        <v>4685</v>
      </c>
      <c r="G346" t="s">
        <v>4685</v>
      </c>
      <c r="H346" s="2">
        <v>1</v>
      </c>
      <c r="I346" t="s">
        <v>4686</v>
      </c>
      <c r="J346" t="str">
        <f t="shared" si="2"/>
        <v>normalweight</v>
      </c>
    </row>
    <row r="347" spans="1:10" ht="15.75" customHeight="1">
      <c r="A347" t="s">
        <v>3987</v>
      </c>
      <c r="B347">
        <v>39.21</v>
      </c>
      <c r="C347">
        <v>5.04</v>
      </c>
      <c r="E347" t="s">
        <v>4685</v>
      </c>
      <c r="F347" t="s">
        <v>4685</v>
      </c>
      <c r="G347" t="s">
        <v>4688</v>
      </c>
      <c r="H347" s="2">
        <v>1</v>
      </c>
      <c r="I347" t="s">
        <v>4686</v>
      </c>
      <c r="J347" t="str">
        <f t="shared" si="2"/>
        <v>normalweight</v>
      </c>
    </row>
    <row r="348" spans="1:10" ht="15.75" customHeight="1">
      <c r="A348" t="s">
        <v>3985</v>
      </c>
      <c r="B348">
        <v>26.98</v>
      </c>
      <c r="C348">
        <v>5.21</v>
      </c>
      <c r="E348" t="s">
        <v>4686</v>
      </c>
      <c r="F348" t="s">
        <v>4685</v>
      </c>
      <c r="G348" t="s">
        <v>4685</v>
      </c>
      <c r="H348" s="2">
        <v>2</v>
      </c>
      <c r="I348" t="s">
        <v>4686</v>
      </c>
      <c r="J348" t="str">
        <f t="shared" si="2"/>
        <v>normalweight</v>
      </c>
    </row>
    <row r="349" spans="1:10" ht="15.75" customHeight="1">
      <c r="A349" t="s">
        <v>3983</v>
      </c>
      <c r="B349">
        <v>25.84</v>
      </c>
      <c r="C349">
        <v>8.83</v>
      </c>
      <c r="D349" s="6" t="s">
        <v>4684</v>
      </c>
      <c r="E349" t="s">
        <v>4685</v>
      </c>
      <c r="F349" t="s">
        <v>4685</v>
      </c>
      <c r="G349" t="s">
        <v>4685</v>
      </c>
      <c r="H349" s="2">
        <v>0</v>
      </c>
      <c r="I349" t="s">
        <v>4685</v>
      </c>
      <c r="J349" t="str">
        <f t="shared" si="2"/>
        <v>normalweight</v>
      </c>
    </row>
    <row r="350" spans="1:10" ht="15.75" customHeight="1">
      <c r="A350" t="s">
        <v>3981</v>
      </c>
      <c r="B350">
        <v>28.31</v>
      </c>
      <c r="C350">
        <v>8.4700000000000006</v>
      </c>
      <c r="D350" s="6" t="s">
        <v>4684</v>
      </c>
      <c r="E350" t="s">
        <v>4686</v>
      </c>
      <c r="F350" t="s">
        <v>4685</v>
      </c>
      <c r="G350" t="s">
        <v>4685</v>
      </c>
      <c r="H350" s="2">
        <v>2</v>
      </c>
      <c r="I350" t="s">
        <v>4686</v>
      </c>
      <c r="J350" t="str">
        <f t="shared" si="2"/>
        <v>normalweight</v>
      </c>
    </row>
    <row r="351" spans="1:10" ht="15.75" customHeight="1">
      <c r="A351" t="s">
        <v>3979</v>
      </c>
      <c r="B351">
        <v>23.94</v>
      </c>
      <c r="C351">
        <v>4.2</v>
      </c>
      <c r="E351" t="s">
        <v>4685</v>
      </c>
      <c r="F351" t="s">
        <v>4685</v>
      </c>
      <c r="G351" t="s">
        <v>4685</v>
      </c>
      <c r="H351" s="2">
        <v>0</v>
      </c>
      <c r="I351" t="s">
        <v>4686</v>
      </c>
      <c r="J351" t="str">
        <f t="shared" si="2"/>
        <v>normalweight</v>
      </c>
    </row>
    <row r="352" spans="1:10" ht="15.75" customHeight="1">
      <c r="A352" t="s">
        <v>3977</v>
      </c>
      <c r="B352">
        <v>20.03</v>
      </c>
      <c r="C352">
        <v>6.14</v>
      </c>
      <c r="E352" t="s">
        <v>4686</v>
      </c>
      <c r="F352" t="s">
        <v>4685</v>
      </c>
      <c r="G352" t="s">
        <v>4685</v>
      </c>
      <c r="H352" s="2">
        <v>0</v>
      </c>
      <c r="I352" t="s">
        <v>4686</v>
      </c>
      <c r="J352" t="str">
        <f t="shared" si="2"/>
        <v>normalweight</v>
      </c>
    </row>
    <row r="353" spans="1:10" ht="15.75" customHeight="1">
      <c r="A353" t="s">
        <v>3975</v>
      </c>
      <c r="B353">
        <v>41.42</v>
      </c>
      <c r="C353">
        <v>6.07</v>
      </c>
      <c r="E353" t="s">
        <v>4685</v>
      </c>
      <c r="F353" t="s">
        <v>4685</v>
      </c>
      <c r="G353" t="s">
        <v>4685</v>
      </c>
      <c r="H353" s="2">
        <v>0</v>
      </c>
      <c r="I353" t="s">
        <v>4685</v>
      </c>
      <c r="J353" t="str">
        <f t="shared" si="2"/>
        <v>normalweight</v>
      </c>
    </row>
    <row r="354" spans="1:10" ht="15.75" customHeight="1">
      <c r="A354" t="s">
        <v>3973</v>
      </c>
      <c r="B354">
        <v>36.67</v>
      </c>
      <c r="C354">
        <v>10.210000000000001</v>
      </c>
      <c r="D354" s="6" t="s">
        <v>4684</v>
      </c>
      <c r="E354" t="s">
        <v>4685</v>
      </c>
      <c r="F354" t="s">
        <v>4685</v>
      </c>
      <c r="G354" t="s">
        <v>4685</v>
      </c>
      <c r="H354" s="2">
        <v>0</v>
      </c>
      <c r="I354" t="s">
        <v>4685</v>
      </c>
      <c r="J354" t="str">
        <f t="shared" si="2"/>
        <v>normalweight</v>
      </c>
    </row>
    <row r="355" spans="1:10" ht="15.75" customHeight="1">
      <c r="A355" t="s">
        <v>3971</v>
      </c>
      <c r="B355">
        <v>27.645</v>
      </c>
      <c r="C355">
        <v>4.6900000000000004</v>
      </c>
      <c r="E355" t="s">
        <v>4685</v>
      </c>
      <c r="F355" t="s">
        <v>4685</v>
      </c>
      <c r="G355" t="s">
        <v>4685</v>
      </c>
      <c r="H355" s="2">
        <v>0</v>
      </c>
      <c r="I355" t="s">
        <v>4685</v>
      </c>
      <c r="J355" t="str">
        <f t="shared" si="2"/>
        <v>normalweight</v>
      </c>
    </row>
    <row r="356" spans="1:10" ht="15.75" customHeight="1">
      <c r="A356" t="s">
        <v>3969</v>
      </c>
      <c r="B356">
        <v>22.72</v>
      </c>
      <c r="C356">
        <v>5.71</v>
      </c>
      <c r="E356" t="s">
        <v>4685</v>
      </c>
      <c r="F356" t="s">
        <v>4685</v>
      </c>
      <c r="G356" t="s">
        <v>4685</v>
      </c>
      <c r="H356" s="2">
        <v>0</v>
      </c>
      <c r="I356" t="s">
        <v>4686</v>
      </c>
      <c r="J356" t="str">
        <f t="shared" si="2"/>
        <v>normalweight</v>
      </c>
    </row>
    <row r="357" spans="1:10" ht="15.75" customHeight="1">
      <c r="A357" t="s">
        <v>3967</v>
      </c>
      <c r="B357">
        <v>36.520000000000003</v>
      </c>
      <c r="C357">
        <v>9.07</v>
      </c>
      <c r="D357" s="6" t="s">
        <v>4684</v>
      </c>
      <c r="E357" t="s">
        <v>4686</v>
      </c>
      <c r="F357" t="s">
        <v>4685</v>
      </c>
      <c r="G357" t="s">
        <v>4688</v>
      </c>
      <c r="H357" s="2">
        <v>1</v>
      </c>
      <c r="I357" t="s">
        <v>4685</v>
      </c>
      <c r="J357" t="str">
        <f t="shared" si="2"/>
        <v>normalweight</v>
      </c>
    </row>
    <row r="358" spans="1:10" ht="15.75" customHeight="1">
      <c r="A358" t="s">
        <v>3965</v>
      </c>
      <c r="B358">
        <v>33.96</v>
      </c>
      <c r="C358">
        <v>4.99</v>
      </c>
      <c r="E358" t="s">
        <v>4685</v>
      </c>
      <c r="F358" t="s">
        <v>4685</v>
      </c>
      <c r="G358" t="s">
        <v>4685</v>
      </c>
      <c r="H358" s="2">
        <v>0</v>
      </c>
      <c r="I358" t="s">
        <v>4686</v>
      </c>
      <c r="J358" t="str">
        <f t="shared" si="2"/>
        <v>normalweight</v>
      </c>
    </row>
    <row r="359" spans="1:10" ht="15.75" customHeight="1">
      <c r="A359" t="s">
        <v>3963</v>
      </c>
      <c r="B359">
        <v>26.695</v>
      </c>
      <c r="C359">
        <v>8.31</v>
      </c>
      <c r="D359" s="6" t="s">
        <v>4684</v>
      </c>
      <c r="E359" t="s">
        <v>4685</v>
      </c>
      <c r="F359" t="s">
        <v>4685</v>
      </c>
      <c r="G359" t="s">
        <v>4685</v>
      </c>
      <c r="H359" s="2">
        <v>0</v>
      </c>
      <c r="I359" t="s">
        <v>4686</v>
      </c>
      <c r="J359" t="str">
        <f t="shared" si="2"/>
        <v>normalweight</v>
      </c>
    </row>
    <row r="360" spans="1:10" ht="15.75" customHeight="1">
      <c r="A360" t="s">
        <v>3961</v>
      </c>
      <c r="B360">
        <v>18.45</v>
      </c>
      <c r="C360">
        <v>5.07</v>
      </c>
      <c r="E360" t="s">
        <v>4686</v>
      </c>
      <c r="F360" t="s">
        <v>4685</v>
      </c>
      <c r="G360" t="s">
        <v>4685</v>
      </c>
      <c r="H360" s="2">
        <v>0</v>
      </c>
      <c r="I360" t="s">
        <v>4686</v>
      </c>
      <c r="J360" t="str">
        <f t="shared" si="2"/>
        <v>underweight</v>
      </c>
    </row>
    <row r="361" spans="1:10" ht="15.75" customHeight="1">
      <c r="A361" t="s">
        <v>3959</v>
      </c>
      <c r="B361">
        <v>33.18</v>
      </c>
      <c r="C361">
        <v>4.79</v>
      </c>
      <c r="E361" t="s">
        <v>4685</v>
      </c>
      <c r="F361" t="s">
        <v>4685</v>
      </c>
      <c r="G361" t="s">
        <v>4685</v>
      </c>
      <c r="H361" s="2">
        <v>0</v>
      </c>
      <c r="I361" t="s">
        <v>4686</v>
      </c>
      <c r="J361" t="str">
        <f t="shared" si="2"/>
        <v>normalweight</v>
      </c>
    </row>
    <row r="362" spans="1:10" ht="15.75" customHeight="1">
      <c r="A362" t="s">
        <v>3957</v>
      </c>
      <c r="B362">
        <v>36.1</v>
      </c>
      <c r="C362">
        <v>11.39</v>
      </c>
      <c r="D362" s="6" t="s">
        <v>4684</v>
      </c>
      <c r="E362" t="s">
        <v>4686</v>
      </c>
      <c r="F362" t="s">
        <v>4685</v>
      </c>
      <c r="G362" t="s">
        <v>4685</v>
      </c>
      <c r="H362" s="2">
        <v>2</v>
      </c>
      <c r="I362" t="s">
        <v>4685</v>
      </c>
      <c r="J362" t="str">
        <f t="shared" si="2"/>
        <v>normalweight</v>
      </c>
    </row>
    <row r="363" spans="1:10" ht="15.75" customHeight="1">
      <c r="A363" t="s">
        <v>3955</v>
      </c>
      <c r="B363">
        <v>22.77</v>
      </c>
      <c r="C363">
        <v>6</v>
      </c>
      <c r="E363" t="s">
        <v>4685</v>
      </c>
      <c r="F363" t="s">
        <v>4685</v>
      </c>
      <c r="G363" t="s">
        <v>4685</v>
      </c>
      <c r="H363" s="2">
        <v>0</v>
      </c>
      <c r="I363" t="s">
        <v>4686</v>
      </c>
      <c r="J363" t="str">
        <f t="shared" si="2"/>
        <v>normalweight</v>
      </c>
    </row>
    <row r="364" spans="1:10" ht="15.75" customHeight="1">
      <c r="A364" t="s">
        <v>3953</v>
      </c>
      <c r="B364">
        <v>21.24</v>
      </c>
      <c r="C364">
        <v>5.13</v>
      </c>
      <c r="E364" t="s">
        <v>4685</v>
      </c>
      <c r="F364" t="s">
        <v>4685</v>
      </c>
      <c r="G364" t="s">
        <v>4685</v>
      </c>
      <c r="H364" s="2">
        <v>0</v>
      </c>
      <c r="I364" t="s">
        <v>4686</v>
      </c>
      <c r="J364" t="str">
        <f t="shared" si="2"/>
        <v>normalweight</v>
      </c>
    </row>
    <row r="365" spans="1:10" ht="15.75" customHeight="1">
      <c r="A365" t="s">
        <v>3951</v>
      </c>
      <c r="B365">
        <v>17.600000000000001</v>
      </c>
      <c r="C365">
        <v>5.26</v>
      </c>
      <c r="E365" t="s">
        <v>4686</v>
      </c>
      <c r="F365" t="s">
        <v>4685</v>
      </c>
      <c r="G365" t="s">
        <v>4685</v>
      </c>
      <c r="H365" s="2">
        <v>0</v>
      </c>
      <c r="I365" t="s">
        <v>4686</v>
      </c>
      <c r="J365" t="str">
        <f t="shared" si="2"/>
        <v>underweight</v>
      </c>
    </row>
    <row r="366" spans="1:10" ht="15.75" customHeight="1">
      <c r="A366" t="s">
        <v>3949</v>
      </c>
      <c r="B366">
        <v>26.29</v>
      </c>
      <c r="C366">
        <v>6.84</v>
      </c>
      <c r="D366" s="6" t="s">
        <v>4684</v>
      </c>
      <c r="E366" t="s">
        <v>4685</v>
      </c>
      <c r="F366" t="s">
        <v>4685</v>
      </c>
      <c r="G366" t="s">
        <v>4685</v>
      </c>
      <c r="H366" s="2">
        <v>0</v>
      </c>
      <c r="I366" t="s">
        <v>4686</v>
      </c>
      <c r="J366" t="str">
        <f t="shared" si="2"/>
        <v>normalweight</v>
      </c>
    </row>
    <row r="367" spans="1:10" ht="15.75" customHeight="1">
      <c r="A367" t="s">
        <v>3947</v>
      </c>
      <c r="B367">
        <v>35.31</v>
      </c>
      <c r="C367">
        <v>9.0399999999999991</v>
      </c>
      <c r="D367" s="6" t="s">
        <v>4684</v>
      </c>
      <c r="E367" t="s">
        <v>4685</v>
      </c>
      <c r="F367" t="s">
        <v>4685</v>
      </c>
      <c r="G367" t="s">
        <v>4685</v>
      </c>
      <c r="H367" s="2">
        <v>0</v>
      </c>
      <c r="I367" t="s">
        <v>4685</v>
      </c>
      <c r="J367" t="str">
        <f t="shared" si="2"/>
        <v>normalweight</v>
      </c>
    </row>
    <row r="368" spans="1:10" ht="15.75" customHeight="1">
      <c r="A368" t="s">
        <v>3945</v>
      </c>
      <c r="B368">
        <v>27.04</v>
      </c>
      <c r="C368">
        <v>4.0999999999999996</v>
      </c>
      <c r="E368" t="s">
        <v>4685</v>
      </c>
      <c r="F368" t="s">
        <v>4685</v>
      </c>
      <c r="G368" t="s">
        <v>4685</v>
      </c>
      <c r="H368" s="2">
        <v>1</v>
      </c>
      <c r="I368" t="s">
        <v>4686</v>
      </c>
      <c r="J368" t="str">
        <f t="shared" si="2"/>
        <v>normalweight</v>
      </c>
    </row>
    <row r="369" spans="1:10" ht="15.75" customHeight="1">
      <c r="A369" t="s">
        <v>3943</v>
      </c>
      <c r="B369">
        <v>30.23</v>
      </c>
      <c r="C369">
        <v>4.2300000000000004</v>
      </c>
      <c r="E369" t="s">
        <v>4686</v>
      </c>
      <c r="F369" t="s">
        <v>4685</v>
      </c>
      <c r="G369" t="s">
        <v>4688</v>
      </c>
      <c r="H369" s="2">
        <v>1</v>
      </c>
      <c r="I369" t="s">
        <v>4686</v>
      </c>
      <c r="J369" t="str">
        <f t="shared" si="2"/>
        <v>normalweight</v>
      </c>
    </row>
    <row r="370" spans="1:10" ht="15.75" customHeight="1">
      <c r="A370" t="s">
        <v>3941</v>
      </c>
      <c r="B370">
        <v>30.6</v>
      </c>
      <c r="C370">
        <v>6.48</v>
      </c>
      <c r="E370" t="s">
        <v>4686</v>
      </c>
      <c r="F370" t="s">
        <v>4685</v>
      </c>
      <c r="G370" t="s">
        <v>4688</v>
      </c>
      <c r="H370" s="2">
        <v>1</v>
      </c>
      <c r="I370" t="s">
        <v>4686</v>
      </c>
      <c r="J370" t="str">
        <f t="shared" si="2"/>
        <v>normalweight</v>
      </c>
    </row>
    <row r="371" spans="1:10" ht="15.75" customHeight="1">
      <c r="A371" t="s">
        <v>3939</v>
      </c>
      <c r="B371">
        <v>26.8</v>
      </c>
      <c r="C371">
        <v>5.53</v>
      </c>
      <c r="E371" t="s">
        <v>4685</v>
      </c>
      <c r="F371" t="s">
        <v>4685</v>
      </c>
      <c r="G371" t="s">
        <v>4685</v>
      </c>
      <c r="H371" s="2">
        <v>1</v>
      </c>
      <c r="I371" t="s">
        <v>4686</v>
      </c>
      <c r="J371" t="str">
        <f t="shared" si="2"/>
        <v>normalweight</v>
      </c>
    </row>
    <row r="372" spans="1:10" ht="15.75" customHeight="1">
      <c r="A372" t="s">
        <v>3937</v>
      </c>
      <c r="B372">
        <v>16.86</v>
      </c>
      <c r="C372">
        <v>4.07</v>
      </c>
      <c r="E372" t="s">
        <v>4686</v>
      </c>
      <c r="F372" t="s">
        <v>4685</v>
      </c>
      <c r="G372" t="s">
        <v>4685</v>
      </c>
      <c r="H372" s="2">
        <v>0</v>
      </c>
      <c r="I372" t="s">
        <v>4686</v>
      </c>
      <c r="J372" t="str">
        <f t="shared" si="2"/>
        <v>underweight</v>
      </c>
    </row>
    <row r="373" spans="1:10" ht="15.75" customHeight="1">
      <c r="A373" t="s">
        <v>3935</v>
      </c>
      <c r="B373">
        <v>16.3</v>
      </c>
      <c r="C373">
        <v>5.51</v>
      </c>
      <c r="E373" t="s">
        <v>4685</v>
      </c>
      <c r="F373" t="s">
        <v>4685</v>
      </c>
      <c r="G373" t="s">
        <v>4685</v>
      </c>
      <c r="H373" s="2">
        <v>1</v>
      </c>
      <c r="I373" t="s">
        <v>4686</v>
      </c>
      <c r="J373" t="str">
        <f t="shared" si="2"/>
        <v>underweight</v>
      </c>
    </row>
    <row r="374" spans="1:10" ht="15.75" customHeight="1">
      <c r="A374" t="s">
        <v>3933</v>
      </c>
      <c r="B374">
        <v>29.81</v>
      </c>
      <c r="C374">
        <v>11.66</v>
      </c>
      <c r="D374" s="6" t="s">
        <v>4684</v>
      </c>
      <c r="E374" t="s">
        <v>4685</v>
      </c>
      <c r="F374" t="s">
        <v>4685</v>
      </c>
      <c r="G374" t="s">
        <v>4685</v>
      </c>
      <c r="H374" s="2">
        <v>0</v>
      </c>
      <c r="I374" t="s">
        <v>4686</v>
      </c>
      <c r="J374" t="str">
        <f t="shared" si="2"/>
        <v>normalweight</v>
      </c>
    </row>
    <row r="375" spans="1:10" ht="15.75" customHeight="1">
      <c r="A375" t="s">
        <v>3931</v>
      </c>
      <c r="B375">
        <v>16.329999999999998</v>
      </c>
      <c r="C375">
        <v>7.26</v>
      </c>
      <c r="D375" s="6" t="s">
        <v>4684</v>
      </c>
      <c r="E375" t="s">
        <v>4686</v>
      </c>
      <c r="F375" t="s">
        <v>4685</v>
      </c>
      <c r="G375" t="s">
        <v>4685</v>
      </c>
      <c r="H375" s="2">
        <v>0</v>
      </c>
      <c r="I375" t="s">
        <v>4686</v>
      </c>
      <c r="J375" t="str">
        <f t="shared" si="2"/>
        <v>underweight</v>
      </c>
    </row>
    <row r="376" spans="1:10" ht="15.75" customHeight="1">
      <c r="A376" t="s">
        <v>3929</v>
      </c>
      <c r="B376">
        <v>16.37</v>
      </c>
      <c r="C376">
        <v>4.79</v>
      </c>
      <c r="E376" t="s">
        <v>4686</v>
      </c>
      <c r="F376" t="s">
        <v>4685</v>
      </c>
      <c r="G376" t="s">
        <v>4685</v>
      </c>
      <c r="H376" s="2">
        <v>0</v>
      </c>
      <c r="I376" t="s">
        <v>4686</v>
      </c>
      <c r="J376" t="str">
        <f t="shared" si="2"/>
        <v>underweight</v>
      </c>
    </row>
    <row r="377" spans="1:10" ht="15.75" customHeight="1">
      <c r="A377" t="s">
        <v>3927</v>
      </c>
      <c r="B377">
        <v>22.42</v>
      </c>
      <c r="C377">
        <v>4.68</v>
      </c>
      <c r="E377" t="s">
        <v>4686</v>
      </c>
      <c r="F377" t="s">
        <v>4685</v>
      </c>
      <c r="G377" t="s">
        <v>4685</v>
      </c>
      <c r="H377" s="2">
        <v>1</v>
      </c>
      <c r="I377" t="s">
        <v>4685</v>
      </c>
      <c r="J377" t="str">
        <f t="shared" si="2"/>
        <v>normalweight</v>
      </c>
    </row>
    <row r="378" spans="1:10" ht="15.75" customHeight="1">
      <c r="A378" t="s">
        <v>3925</v>
      </c>
      <c r="B378">
        <v>31.35</v>
      </c>
      <c r="C378">
        <v>4.33</v>
      </c>
      <c r="E378" t="s">
        <v>4686</v>
      </c>
      <c r="F378" t="s">
        <v>4685</v>
      </c>
      <c r="G378" t="s">
        <v>4688</v>
      </c>
      <c r="H378" s="2">
        <v>1</v>
      </c>
      <c r="I378" t="s">
        <v>4685</v>
      </c>
      <c r="J378" t="str">
        <f t="shared" si="2"/>
        <v>normalweight</v>
      </c>
    </row>
    <row r="379" spans="1:10" ht="15.75" customHeight="1">
      <c r="A379" t="s">
        <v>3923</v>
      </c>
      <c r="B379">
        <v>31.9</v>
      </c>
      <c r="C379">
        <v>11.89</v>
      </c>
      <c r="D379" s="6" t="s">
        <v>4684</v>
      </c>
      <c r="E379" t="s">
        <v>4685</v>
      </c>
      <c r="F379" t="s">
        <v>4685</v>
      </c>
      <c r="G379" t="s">
        <v>4685</v>
      </c>
      <c r="H379" s="2">
        <v>0</v>
      </c>
      <c r="I379" t="s">
        <v>4685</v>
      </c>
      <c r="J379" t="str">
        <f t="shared" si="2"/>
        <v>normalweight</v>
      </c>
    </row>
    <row r="380" spans="1:10" ht="15.75" customHeight="1">
      <c r="A380" t="s">
        <v>3921</v>
      </c>
      <c r="B380">
        <v>30.6</v>
      </c>
      <c r="C380">
        <v>5.24</v>
      </c>
      <c r="E380" t="s">
        <v>4685</v>
      </c>
      <c r="F380" t="s">
        <v>4685</v>
      </c>
      <c r="G380" t="s">
        <v>4685</v>
      </c>
      <c r="H380" s="2">
        <v>0</v>
      </c>
      <c r="I380" t="s">
        <v>4686</v>
      </c>
      <c r="J380" t="str">
        <f t="shared" si="2"/>
        <v>normalweight</v>
      </c>
    </row>
    <row r="381" spans="1:10" ht="15.75" customHeight="1">
      <c r="A381" t="s">
        <v>3919</v>
      </c>
      <c r="B381">
        <v>28.975000000000001</v>
      </c>
      <c r="C381">
        <v>7.63</v>
      </c>
      <c r="D381" s="6" t="s">
        <v>4684</v>
      </c>
      <c r="E381" t="s">
        <v>4685</v>
      </c>
      <c r="F381" t="s">
        <v>4685</v>
      </c>
      <c r="G381" t="s">
        <v>4685</v>
      </c>
      <c r="H381" s="2">
        <v>0</v>
      </c>
      <c r="I381" t="s">
        <v>4686</v>
      </c>
      <c r="J381" t="str">
        <f t="shared" si="2"/>
        <v>normalweight</v>
      </c>
    </row>
    <row r="382" spans="1:10" ht="15.75" customHeight="1">
      <c r="A382" t="s">
        <v>3917</v>
      </c>
      <c r="B382">
        <v>24.86</v>
      </c>
      <c r="C382">
        <v>8.92</v>
      </c>
      <c r="D382" s="6" t="s">
        <v>4684</v>
      </c>
      <c r="E382" t="s">
        <v>4686</v>
      </c>
      <c r="F382" t="s">
        <v>4685</v>
      </c>
      <c r="G382" t="s">
        <v>4685</v>
      </c>
      <c r="H382" s="2">
        <v>2</v>
      </c>
      <c r="I382" t="s">
        <v>4685</v>
      </c>
      <c r="J382" t="str">
        <f t="shared" si="2"/>
        <v>normalweight</v>
      </c>
    </row>
    <row r="383" spans="1:10" ht="15.75" customHeight="1">
      <c r="A383" t="s">
        <v>3915</v>
      </c>
      <c r="B383">
        <v>19.54</v>
      </c>
      <c r="C383">
        <v>5.37</v>
      </c>
      <c r="E383" t="s">
        <v>4685</v>
      </c>
      <c r="F383" t="s">
        <v>4685</v>
      </c>
      <c r="G383" t="s">
        <v>4685</v>
      </c>
      <c r="H383" s="2">
        <v>0</v>
      </c>
      <c r="I383" t="s">
        <v>4686</v>
      </c>
      <c r="J383" t="str">
        <f t="shared" si="2"/>
        <v>normalweight</v>
      </c>
    </row>
    <row r="384" spans="1:10" ht="15.75" customHeight="1">
      <c r="A384" t="s">
        <v>3913</v>
      </c>
      <c r="B384">
        <v>26.74</v>
      </c>
      <c r="C384">
        <v>4.3099999999999996</v>
      </c>
      <c r="E384" t="s">
        <v>4685</v>
      </c>
      <c r="F384" t="s">
        <v>4685</v>
      </c>
      <c r="G384" t="s">
        <v>4685</v>
      </c>
      <c r="H384" s="2">
        <v>0</v>
      </c>
      <c r="I384" t="s">
        <v>4686</v>
      </c>
      <c r="J384" t="str">
        <f t="shared" si="2"/>
        <v>normalweight</v>
      </c>
    </row>
    <row r="385" spans="1:10" ht="15.75" customHeight="1">
      <c r="A385" t="s">
        <v>3911</v>
      </c>
      <c r="B385">
        <v>22.99</v>
      </c>
      <c r="C385">
        <v>10.46</v>
      </c>
      <c r="D385" s="6" t="s">
        <v>4684</v>
      </c>
      <c r="E385" t="s">
        <v>4685</v>
      </c>
      <c r="F385" t="s">
        <v>4685</v>
      </c>
      <c r="G385" t="s">
        <v>4685</v>
      </c>
      <c r="H385" s="2">
        <v>3</v>
      </c>
      <c r="I385" t="s">
        <v>4686</v>
      </c>
      <c r="J385" t="str">
        <f t="shared" si="2"/>
        <v>normalweight</v>
      </c>
    </row>
    <row r="386" spans="1:10" ht="15.75" customHeight="1">
      <c r="A386" t="s">
        <v>3909</v>
      </c>
      <c r="B386">
        <v>31.46</v>
      </c>
      <c r="C386">
        <v>7.39</v>
      </c>
      <c r="D386" s="6" t="s">
        <v>4684</v>
      </c>
      <c r="E386" t="s">
        <v>4685</v>
      </c>
      <c r="F386" t="s">
        <v>4685</v>
      </c>
      <c r="G386" t="s">
        <v>4685</v>
      </c>
      <c r="H386" s="2">
        <v>0</v>
      </c>
      <c r="I386" t="s">
        <v>4685</v>
      </c>
      <c r="J386" t="str">
        <f t="shared" si="2"/>
        <v>normalweight</v>
      </c>
    </row>
    <row r="387" spans="1:10" ht="15.75" customHeight="1">
      <c r="A387" t="s">
        <v>3907</v>
      </c>
      <c r="B387">
        <v>30.86</v>
      </c>
      <c r="C387">
        <v>6.18</v>
      </c>
      <c r="E387" t="s">
        <v>4685</v>
      </c>
      <c r="F387" t="s">
        <v>4686</v>
      </c>
      <c r="G387" t="s">
        <v>4685</v>
      </c>
      <c r="H387" s="2">
        <v>2</v>
      </c>
      <c r="I387" t="s">
        <v>4686</v>
      </c>
      <c r="J387" t="str">
        <f t="shared" si="2"/>
        <v>normalweight</v>
      </c>
    </row>
    <row r="388" spans="1:10" ht="15.75" customHeight="1">
      <c r="A388" t="s">
        <v>3905</v>
      </c>
      <c r="B388">
        <v>31.96</v>
      </c>
      <c r="C388">
        <v>8.86</v>
      </c>
      <c r="D388" s="6" t="s">
        <v>4684</v>
      </c>
      <c r="E388" t="s">
        <v>4685</v>
      </c>
      <c r="F388" t="s">
        <v>4685</v>
      </c>
      <c r="G388" t="s">
        <v>4685</v>
      </c>
      <c r="H388" s="2">
        <v>0</v>
      </c>
      <c r="I388" t="s">
        <v>4686</v>
      </c>
      <c r="J388" t="str">
        <f t="shared" si="2"/>
        <v>normalweight</v>
      </c>
    </row>
    <row r="389" spans="1:10" ht="15.75" customHeight="1">
      <c r="A389" t="s">
        <v>3903</v>
      </c>
      <c r="B389">
        <v>23.76</v>
      </c>
      <c r="C389">
        <v>10.96</v>
      </c>
      <c r="D389" s="6" t="s">
        <v>4684</v>
      </c>
      <c r="E389" t="s">
        <v>4685</v>
      </c>
      <c r="F389" t="s">
        <v>4685</v>
      </c>
      <c r="G389" t="s">
        <v>4685</v>
      </c>
      <c r="H389" s="2">
        <v>3</v>
      </c>
      <c r="I389" t="s">
        <v>4686</v>
      </c>
      <c r="J389" t="str">
        <f t="shared" si="2"/>
        <v>normalweight</v>
      </c>
    </row>
    <row r="390" spans="1:10" ht="15.75" customHeight="1">
      <c r="A390" t="s">
        <v>3901</v>
      </c>
      <c r="B390">
        <v>19.38</v>
      </c>
      <c r="C390">
        <v>6.28</v>
      </c>
      <c r="E390" t="s">
        <v>4685</v>
      </c>
      <c r="F390" t="s">
        <v>4685</v>
      </c>
      <c r="G390" t="s">
        <v>4685</v>
      </c>
      <c r="H390" s="2">
        <v>0</v>
      </c>
      <c r="I390" t="s">
        <v>4686</v>
      </c>
      <c r="J390" t="str">
        <f t="shared" si="2"/>
        <v>normalweight</v>
      </c>
    </row>
    <row r="391" spans="1:10" ht="15.75" customHeight="1">
      <c r="A391" t="s">
        <v>3899</v>
      </c>
      <c r="B391">
        <v>16.21</v>
      </c>
      <c r="C391">
        <v>6.29</v>
      </c>
      <c r="E391" t="s">
        <v>4686</v>
      </c>
      <c r="F391" t="s">
        <v>4685</v>
      </c>
      <c r="G391" t="s">
        <v>4685</v>
      </c>
      <c r="H391" s="2">
        <v>1</v>
      </c>
      <c r="I391" t="s">
        <v>4686</v>
      </c>
      <c r="J391" t="str">
        <f t="shared" si="2"/>
        <v>underweight</v>
      </c>
    </row>
    <row r="392" spans="1:10" ht="15.75" customHeight="1">
      <c r="A392" t="s">
        <v>3897</v>
      </c>
      <c r="B392">
        <v>32.54</v>
      </c>
      <c r="C392">
        <v>4.0199999999999996</v>
      </c>
      <c r="E392" t="s">
        <v>4685</v>
      </c>
      <c r="F392" t="s">
        <v>4686</v>
      </c>
      <c r="G392" t="s">
        <v>4685</v>
      </c>
      <c r="H392" s="2">
        <v>1</v>
      </c>
      <c r="I392" t="s">
        <v>4686</v>
      </c>
      <c r="J392" t="str">
        <f t="shared" si="2"/>
        <v>normalweight</v>
      </c>
    </row>
    <row r="393" spans="1:10" ht="15.75" customHeight="1">
      <c r="A393" t="s">
        <v>3895</v>
      </c>
      <c r="B393">
        <v>36.765000000000001</v>
      </c>
      <c r="C393">
        <v>11.95</v>
      </c>
      <c r="D393" s="6" t="s">
        <v>4684</v>
      </c>
      <c r="E393" t="s">
        <v>4686</v>
      </c>
      <c r="F393" t="s">
        <v>4685</v>
      </c>
      <c r="G393" t="s">
        <v>4685</v>
      </c>
      <c r="H393" s="2">
        <v>2</v>
      </c>
      <c r="I393" t="s">
        <v>4685</v>
      </c>
      <c r="J393" t="str">
        <f t="shared" si="2"/>
        <v>normalweight</v>
      </c>
    </row>
    <row r="394" spans="1:10" ht="15.75" customHeight="1">
      <c r="A394" t="s">
        <v>3893</v>
      </c>
      <c r="B394">
        <v>35.909999999999997</v>
      </c>
      <c r="C394">
        <v>8.7100000000000009</v>
      </c>
      <c r="D394" s="6" t="s">
        <v>4684</v>
      </c>
      <c r="E394" t="s">
        <v>4685</v>
      </c>
      <c r="F394" t="s">
        <v>4685</v>
      </c>
      <c r="G394" t="s">
        <v>4685</v>
      </c>
      <c r="H394" s="2">
        <v>0</v>
      </c>
      <c r="I394" t="s">
        <v>4685</v>
      </c>
      <c r="J394" t="str">
        <f t="shared" si="2"/>
        <v>normalweight</v>
      </c>
    </row>
    <row r="395" spans="1:10" ht="15.75" customHeight="1">
      <c r="A395" t="s">
        <v>3891</v>
      </c>
      <c r="B395">
        <v>32.06</v>
      </c>
      <c r="C395">
        <v>4.67</v>
      </c>
      <c r="E395" t="s">
        <v>4685</v>
      </c>
      <c r="F395" t="s">
        <v>4686</v>
      </c>
      <c r="G395" t="s">
        <v>4685</v>
      </c>
      <c r="H395" s="2">
        <v>1</v>
      </c>
      <c r="I395" t="s">
        <v>4686</v>
      </c>
      <c r="J395" t="str">
        <f t="shared" si="2"/>
        <v>normalweight</v>
      </c>
    </row>
    <row r="396" spans="1:10" ht="15.75" customHeight="1">
      <c r="A396" t="s">
        <v>3889</v>
      </c>
      <c r="B396">
        <v>24.1</v>
      </c>
      <c r="C396">
        <v>11.14</v>
      </c>
      <c r="D396" s="6" t="s">
        <v>4684</v>
      </c>
      <c r="E396" t="s">
        <v>4686</v>
      </c>
      <c r="F396" t="s">
        <v>4685</v>
      </c>
      <c r="G396" t="s">
        <v>4685</v>
      </c>
      <c r="H396" s="2">
        <v>1</v>
      </c>
      <c r="I396" t="s">
        <v>4685</v>
      </c>
      <c r="J396" t="str">
        <f t="shared" si="2"/>
        <v>normalweight</v>
      </c>
    </row>
    <row r="397" spans="1:10" ht="15.75" customHeight="1">
      <c r="A397" t="s">
        <v>3887</v>
      </c>
      <c r="B397">
        <v>27.1</v>
      </c>
      <c r="C397">
        <v>9.0500000000000007</v>
      </c>
      <c r="D397" s="6" t="s">
        <v>4684</v>
      </c>
      <c r="E397" t="s">
        <v>4685</v>
      </c>
      <c r="F397" t="s">
        <v>4685</v>
      </c>
      <c r="G397" t="s">
        <v>4685</v>
      </c>
      <c r="H397" s="2">
        <v>2</v>
      </c>
      <c r="I397" t="s">
        <v>4685</v>
      </c>
      <c r="J397" t="str">
        <f t="shared" si="2"/>
        <v>normalweight</v>
      </c>
    </row>
    <row r="398" spans="1:10" ht="15.75" customHeight="1">
      <c r="A398" t="s">
        <v>3885</v>
      </c>
      <c r="B398">
        <v>24.42</v>
      </c>
      <c r="C398">
        <v>11.31</v>
      </c>
      <c r="D398" s="6" t="s">
        <v>4684</v>
      </c>
      <c r="E398" t="s">
        <v>4685</v>
      </c>
      <c r="F398" t="s">
        <v>4685</v>
      </c>
      <c r="G398" t="s">
        <v>4685</v>
      </c>
      <c r="H398" s="2">
        <v>0</v>
      </c>
      <c r="I398" t="s">
        <v>4686</v>
      </c>
      <c r="J398" t="str">
        <f t="shared" si="2"/>
        <v>normalweight</v>
      </c>
    </row>
    <row r="399" spans="1:10" ht="15.75" customHeight="1">
      <c r="A399" t="s">
        <v>3883</v>
      </c>
      <c r="B399">
        <v>26.695</v>
      </c>
      <c r="C399">
        <v>4.68</v>
      </c>
      <c r="E399" t="s">
        <v>4686</v>
      </c>
      <c r="F399" t="s">
        <v>4685</v>
      </c>
      <c r="G399" t="s">
        <v>4685</v>
      </c>
      <c r="H399" s="2">
        <v>2</v>
      </c>
      <c r="I399" t="s">
        <v>4686</v>
      </c>
      <c r="J399" t="str">
        <f t="shared" si="2"/>
        <v>normalweight</v>
      </c>
    </row>
    <row r="400" spans="1:10" ht="15.75" customHeight="1">
      <c r="A400" t="s">
        <v>3881</v>
      </c>
      <c r="B400">
        <v>27.79</v>
      </c>
      <c r="C400">
        <v>6.05</v>
      </c>
      <c r="E400" t="s">
        <v>4686</v>
      </c>
      <c r="F400" t="s">
        <v>4686</v>
      </c>
      <c r="G400" t="s">
        <v>4685</v>
      </c>
      <c r="H400" s="2">
        <v>1</v>
      </c>
      <c r="I400" t="s">
        <v>4686</v>
      </c>
      <c r="J400" t="str">
        <f t="shared" si="2"/>
        <v>normalweight</v>
      </c>
    </row>
    <row r="401" spans="1:10" ht="15.75" customHeight="1">
      <c r="A401" t="s">
        <v>3879</v>
      </c>
      <c r="B401">
        <v>32.68</v>
      </c>
      <c r="C401">
        <v>4.68</v>
      </c>
      <c r="E401" t="s">
        <v>4686</v>
      </c>
      <c r="F401" t="s">
        <v>4685</v>
      </c>
      <c r="G401" t="s">
        <v>4685</v>
      </c>
      <c r="H401" s="2">
        <v>0</v>
      </c>
      <c r="I401" t="s">
        <v>4685</v>
      </c>
      <c r="J401" t="str">
        <f t="shared" si="2"/>
        <v>normalweight</v>
      </c>
    </row>
    <row r="402" spans="1:10" ht="15.75" customHeight="1">
      <c r="A402" t="s">
        <v>3877</v>
      </c>
      <c r="B402">
        <v>26.4</v>
      </c>
      <c r="C402">
        <v>9.5</v>
      </c>
      <c r="D402" s="6" t="s">
        <v>4684</v>
      </c>
      <c r="E402" t="s">
        <v>4686</v>
      </c>
      <c r="F402" t="s">
        <v>4685</v>
      </c>
      <c r="G402" t="s">
        <v>4685</v>
      </c>
      <c r="H402" s="2">
        <v>2</v>
      </c>
      <c r="I402" t="s">
        <v>4685</v>
      </c>
      <c r="J402" t="str">
        <f t="shared" si="2"/>
        <v>normalweight</v>
      </c>
    </row>
    <row r="403" spans="1:10" ht="15.75" customHeight="1">
      <c r="A403" t="s">
        <v>3875</v>
      </c>
      <c r="B403">
        <v>23.655000000000001</v>
      </c>
      <c r="C403">
        <v>10.84</v>
      </c>
      <c r="D403" s="6" t="s">
        <v>4684</v>
      </c>
      <c r="E403" t="s">
        <v>4686</v>
      </c>
      <c r="F403" t="s">
        <v>4685</v>
      </c>
      <c r="G403" t="s">
        <v>4688</v>
      </c>
      <c r="H403" s="2">
        <v>1</v>
      </c>
      <c r="I403" t="s">
        <v>4686</v>
      </c>
      <c r="J403" t="str">
        <f t="shared" si="2"/>
        <v>normalweight</v>
      </c>
    </row>
    <row r="404" spans="1:10" ht="15.75" customHeight="1">
      <c r="A404" t="s">
        <v>3873</v>
      </c>
      <c r="B404">
        <v>27.36</v>
      </c>
      <c r="C404">
        <v>5.88</v>
      </c>
      <c r="E404" t="s">
        <v>4685</v>
      </c>
      <c r="F404" t="s">
        <v>4685</v>
      </c>
      <c r="G404" t="s">
        <v>4685</v>
      </c>
      <c r="H404" s="2">
        <v>2</v>
      </c>
      <c r="I404" t="s">
        <v>4685</v>
      </c>
      <c r="J404" t="str">
        <f t="shared" si="2"/>
        <v>normalweight</v>
      </c>
    </row>
    <row r="405" spans="1:10" ht="15.75" customHeight="1">
      <c r="A405" t="s">
        <v>3871</v>
      </c>
      <c r="B405">
        <v>27.82</v>
      </c>
      <c r="C405">
        <v>5.24</v>
      </c>
      <c r="E405" t="s">
        <v>4686</v>
      </c>
      <c r="F405" t="s">
        <v>4685</v>
      </c>
      <c r="G405" t="s">
        <v>4685</v>
      </c>
      <c r="H405" s="2">
        <v>0</v>
      </c>
      <c r="I405" t="s">
        <v>4686</v>
      </c>
      <c r="J405" t="str">
        <f t="shared" si="2"/>
        <v>normalweight</v>
      </c>
    </row>
    <row r="406" spans="1:10" ht="15.75" customHeight="1">
      <c r="A406" t="s">
        <v>3869</v>
      </c>
      <c r="B406">
        <v>25.46</v>
      </c>
      <c r="C406">
        <v>11.75</v>
      </c>
      <c r="D406" s="6" t="s">
        <v>4684</v>
      </c>
      <c r="E406" t="s">
        <v>4685</v>
      </c>
      <c r="F406" t="s">
        <v>4685</v>
      </c>
      <c r="G406" t="s">
        <v>4685</v>
      </c>
      <c r="H406" s="2">
        <v>0</v>
      </c>
      <c r="I406" t="s">
        <v>4685</v>
      </c>
      <c r="J406" t="str">
        <f t="shared" si="2"/>
        <v>normalweight</v>
      </c>
    </row>
    <row r="407" spans="1:10" ht="15.75" customHeight="1">
      <c r="A407" t="s">
        <v>3867</v>
      </c>
      <c r="B407">
        <v>25.1</v>
      </c>
      <c r="C407">
        <v>6.97</v>
      </c>
      <c r="D407" s="6" t="s">
        <v>4684</v>
      </c>
      <c r="E407" t="s">
        <v>4685</v>
      </c>
      <c r="F407" t="s">
        <v>4685</v>
      </c>
      <c r="G407" t="s">
        <v>4685</v>
      </c>
      <c r="H407" s="2">
        <v>0</v>
      </c>
      <c r="I407" t="s">
        <v>4686</v>
      </c>
      <c r="J407" t="str">
        <f t="shared" si="2"/>
        <v>normalweight</v>
      </c>
    </row>
    <row r="408" spans="1:10" ht="15.75" customHeight="1">
      <c r="A408" t="s">
        <v>3865</v>
      </c>
      <c r="B408">
        <v>32.11</v>
      </c>
      <c r="C408">
        <v>4.76</v>
      </c>
      <c r="E408" t="s">
        <v>4685</v>
      </c>
      <c r="F408" t="s">
        <v>4685</v>
      </c>
      <c r="G408" t="s">
        <v>4685</v>
      </c>
      <c r="H408" s="2">
        <v>2</v>
      </c>
      <c r="I408" t="s">
        <v>4685</v>
      </c>
      <c r="J408" t="str">
        <f t="shared" si="2"/>
        <v>normalweight</v>
      </c>
    </row>
    <row r="409" spans="1:10" ht="15.75" customHeight="1">
      <c r="A409" t="s">
        <v>3863</v>
      </c>
      <c r="B409">
        <v>29.8</v>
      </c>
      <c r="C409">
        <v>8.24</v>
      </c>
      <c r="D409" s="6" t="s">
        <v>4684</v>
      </c>
      <c r="E409" t="s">
        <v>4686</v>
      </c>
      <c r="F409" t="s">
        <v>4685</v>
      </c>
      <c r="G409" t="s">
        <v>4685</v>
      </c>
      <c r="H409" s="2">
        <v>1</v>
      </c>
      <c r="I409" t="s">
        <v>4686</v>
      </c>
      <c r="J409" t="str">
        <f t="shared" si="2"/>
        <v>normalweight</v>
      </c>
    </row>
    <row r="410" spans="1:10" ht="15.75" customHeight="1">
      <c r="A410" t="s">
        <v>3861</v>
      </c>
      <c r="B410">
        <v>24.01</v>
      </c>
      <c r="C410">
        <v>4.76</v>
      </c>
      <c r="E410" t="s">
        <v>4685</v>
      </c>
      <c r="F410" t="s">
        <v>4685</v>
      </c>
      <c r="G410" t="s">
        <v>4685</v>
      </c>
      <c r="H410" s="2">
        <v>1</v>
      </c>
      <c r="I410" t="s">
        <v>4686</v>
      </c>
      <c r="J410" t="str">
        <f t="shared" si="2"/>
        <v>normalweight</v>
      </c>
    </row>
    <row r="411" spans="1:10" ht="15.75" customHeight="1">
      <c r="A411" t="s">
        <v>3859</v>
      </c>
      <c r="B411">
        <v>23.21</v>
      </c>
      <c r="C411">
        <v>6.03</v>
      </c>
      <c r="E411" t="s">
        <v>4685</v>
      </c>
      <c r="F411" t="s">
        <v>4685</v>
      </c>
      <c r="G411" t="s">
        <v>4685</v>
      </c>
      <c r="H411" s="2">
        <v>1</v>
      </c>
      <c r="I411" t="s">
        <v>4685</v>
      </c>
      <c r="J411" t="str">
        <f t="shared" si="2"/>
        <v>normalweight</v>
      </c>
    </row>
    <row r="412" spans="1:10" ht="15.75" customHeight="1">
      <c r="A412" t="s">
        <v>3857</v>
      </c>
      <c r="B412">
        <v>21.2</v>
      </c>
      <c r="C412">
        <v>4.07</v>
      </c>
      <c r="E412" t="s">
        <v>4686</v>
      </c>
      <c r="F412" t="s">
        <v>4685</v>
      </c>
      <c r="G412" t="s">
        <v>4685</v>
      </c>
      <c r="H412" s="2">
        <v>1</v>
      </c>
      <c r="I412" t="s">
        <v>4686</v>
      </c>
      <c r="J412" t="str">
        <f t="shared" si="2"/>
        <v>normalweight</v>
      </c>
    </row>
    <row r="413" spans="1:10" ht="15.75" customHeight="1">
      <c r="A413" t="s">
        <v>3855</v>
      </c>
      <c r="B413">
        <v>28.215</v>
      </c>
      <c r="C413">
        <v>8.26</v>
      </c>
      <c r="D413" s="6" t="s">
        <v>4684</v>
      </c>
      <c r="E413" t="s">
        <v>4686</v>
      </c>
      <c r="F413" t="s">
        <v>4685</v>
      </c>
      <c r="G413" t="s">
        <v>4685</v>
      </c>
      <c r="H413" s="2">
        <v>1</v>
      </c>
      <c r="I413" t="s">
        <v>4686</v>
      </c>
      <c r="J413" t="str">
        <f t="shared" si="2"/>
        <v>normalweight</v>
      </c>
    </row>
    <row r="414" spans="1:10" ht="15.75" customHeight="1">
      <c r="A414" t="s">
        <v>3853</v>
      </c>
      <c r="B414">
        <v>38.094999999999999</v>
      </c>
      <c r="C414">
        <v>4.76</v>
      </c>
      <c r="E414" t="s">
        <v>4685</v>
      </c>
      <c r="F414" t="s">
        <v>4685</v>
      </c>
      <c r="G414" t="s">
        <v>4685</v>
      </c>
      <c r="H414" s="2">
        <v>1</v>
      </c>
      <c r="I414" t="s">
        <v>4685</v>
      </c>
      <c r="J414" t="str">
        <f t="shared" si="2"/>
        <v>normalweight</v>
      </c>
    </row>
    <row r="415" spans="1:10" ht="15.75" customHeight="1">
      <c r="A415" t="s">
        <v>3851</v>
      </c>
      <c r="B415">
        <v>22.61</v>
      </c>
      <c r="C415">
        <v>6.13</v>
      </c>
      <c r="E415" t="s">
        <v>4686</v>
      </c>
      <c r="F415" t="s">
        <v>4685</v>
      </c>
      <c r="G415" t="s">
        <v>4688</v>
      </c>
      <c r="H415" s="2">
        <v>1</v>
      </c>
      <c r="I415" t="s">
        <v>4686</v>
      </c>
      <c r="J415" t="str">
        <f t="shared" si="2"/>
        <v>normalweight</v>
      </c>
    </row>
    <row r="416" spans="1:10" ht="15.75" customHeight="1">
      <c r="A416" t="s">
        <v>3849</v>
      </c>
      <c r="B416">
        <v>24.32</v>
      </c>
      <c r="C416">
        <v>10.47</v>
      </c>
      <c r="D416" s="6" t="s">
        <v>4684</v>
      </c>
      <c r="E416" t="s">
        <v>4686</v>
      </c>
      <c r="F416" t="s">
        <v>4685</v>
      </c>
      <c r="G416" t="s">
        <v>4685</v>
      </c>
      <c r="H416" s="2">
        <v>2</v>
      </c>
      <c r="I416" t="s">
        <v>4686</v>
      </c>
      <c r="J416" t="str">
        <f t="shared" si="2"/>
        <v>normalweight</v>
      </c>
    </row>
    <row r="417" spans="1:10" ht="15.75" customHeight="1">
      <c r="A417" t="s">
        <v>3847</v>
      </c>
      <c r="B417">
        <v>20.96</v>
      </c>
      <c r="C417">
        <v>4.04</v>
      </c>
      <c r="E417" t="s">
        <v>4686</v>
      </c>
      <c r="F417" t="s">
        <v>4685</v>
      </c>
      <c r="G417" t="s">
        <v>4685</v>
      </c>
      <c r="H417" s="2">
        <v>1</v>
      </c>
      <c r="I417" t="s">
        <v>4686</v>
      </c>
      <c r="J417" t="str">
        <f t="shared" si="2"/>
        <v>normalweight</v>
      </c>
    </row>
    <row r="418" spans="1:10" ht="15.75" customHeight="1">
      <c r="A418" t="s">
        <v>3845</v>
      </c>
      <c r="B418">
        <v>19.68</v>
      </c>
      <c r="C418">
        <v>5.74</v>
      </c>
      <c r="E418" t="s">
        <v>4685</v>
      </c>
      <c r="F418" t="s">
        <v>4685</v>
      </c>
      <c r="G418" t="s">
        <v>4685</v>
      </c>
      <c r="H418" s="2">
        <v>0</v>
      </c>
      <c r="I418" t="s">
        <v>4686</v>
      </c>
      <c r="J418" t="str">
        <f t="shared" si="2"/>
        <v>normalweight</v>
      </c>
    </row>
    <row r="419" spans="1:10" ht="15.75" customHeight="1">
      <c r="A419" t="s">
        <v>3843</v>
      </c>
      <c r="B419">
        <v>18.100000000000001</v>
      </c>
      <c r="C419">
        <v>6.33</v>
      </c>
      <c r="E419" t="s">
        <v>4685</v>
      </c>
      <c r="F419" t="s">
        <v>4685</v>
      </c>
      <c r="G419" t="s">
        <v>4685</v>
      </c>
      <c r="H419" s="2">
        <v>1</v>
      </c>
      <c r="I419" t="s">
        <v>4686</v>
      </c>
      <c r="J419" t="str">
        <f t="shared" si="2"/>
        <v>underweight</v>
      </c>
    </row>
    <row r="420" spans="1:10" ht="15.75" customHeight="1">
      <c r="A420" t="s">
        <v>3841</v>
      </c>
      <c r="B420">
        <v>29.64</v>
      </c>
      <c r="C420">
        <v>4.28</v>
      </c>
      <c r="E420" t="s">
        <v>4686</v>
      </c>
      <c r="F420" t="s">
        <v>4685</v>
      </c>
      <c r="G420" t="s">
        <v>4685</v>
      </c>
      <c r="H420" s="2">
        <v>0</v>
      </c>
      <c r="I420" t="s">
        <v>4685</v>
      </c>
      <c r="J420" t="str">
        <f t="shared" si="2"/>
        <v>normalweight</v>
      </c>
    </row>
    <row r="421" spans="1:10" ht="15.75" customHeight="1">
      <c r="A421" t="s">
        <v>3839</v>
      </c>
      <c r="B421">
        <v>25.3</v>
      </c>
      <c r="C421">
        <v>9.4700000000000006</v>
      </c>
      <c r="D421" s="6" t="s">
        <v>4684</v>
      </c>
      <c r="E421" t="s">
        <v>4686</v>
      </c>
      <c r="F421" t="s">
        <v>4685</v>
      </c>
      <c r="G421" t="s">
        <v>4685</v>
      </c>
      <c r="H421" s="2">
        <v>2</v>
      </c>
      <c r="I421" t="s">
        <v>4686</v>
      </c>
      <c r="J421" t="str">
        <f t="shared" si="2"/>
        <v>normalweight</v>
      </c>
    </row>
    <row r="422" spans="1:10" ht="15.75" customHeight="1">
      <c r="A422" t="s">
        <v>3837</v>
      </c>
      <c r="B422">
        <v>27.6</v>
      </c>
      <c r="C422">
        <v>4.8499999999999996</v>
      </c>
      <c r="E422" t="s">
        <v>4686</v>
      </c>
      <c r="F422" t="s">
        <v>4685</v>
      </c>
      <c r="G422" t="s">
        <v>4685</v>
      </c>
      <c r="H422" s="2">
        <v>0</v>
      </c>
      <c r="I422" t="s">
        <v>4685</v>
      </c>
      <c r="J422" t="str">
        <f t="shared" si="2"/>
        <v>normalweight</v>
      </c>
    </row>
    <row r="423" spans="1:10" ht="15.75" customHeight="1">
      <c r="A423" t="s">
        <v>3835</v>
      </c>
      <c r="B423">
        <v>27.645</v>
      </c>
      <c r="C423">
        <v>11.03</v>
      </c>
      <c r="D423" s="6" t="s">
        <v>4684</v>
      </c>
      <c r="E423" t="s">
        <v>4686</v>
      </c>
      <c r="F423" t="s">
        <v>4685</v>
      </c>
      <c r="G423" t="s">
        <v>4685</v>
      </c>
      <c r="H423" s="2">
        <v>1</v>
      </c>
      <c r="I423" t="s">
        <v>4686</v>
      </c>
      <c r="J423" t="str">
        <f t="shared" si="2"/>
        <v>normalweight</v>
      </c>
    </row>
    <row r="424" spans="1:10" ht="15.75" customHeight="1">
      <c r="A424" t="s">
        <v>3833</v>
      </c>
      <c r="B424">
        <v>27.6</v>
      </c>
      <c r="C424">
        <v>5.22</v>
      </c>
      <c r="E424" t="s">
        <v>4685</v>
      </c>
      <c r="F424" t="s">
        <v>4685</v>
      </c>
      <c r="G424" t="s">
        <v>4685</v>
      </c>
      <c r="H424" s="2">
        <v>2</v>
      </c>
      <c r="I424" t="s">
        <v>4686</v>
      </c>
      <c r="J424" t="str">
        <f t="shared" si="2"/>
        <v>normalweight</v>
      </c>
    </row>
    <row r="425" spans="1:10" ht="15.75" customHeight="1">
      <c r="A425" t="s">
        <v>3831</v>
      </c>
      <c r="B425">
        <v>25.08</v>
      </c>
      <c r="C425">
        <v>9.52</v>
      </c>
      <c r="D425" s="6" t="s">
        <v>4684</v>
      </c>
      <c r="E425" t="s">
        <v>4686</v>
      </c>
      <c r="F425" t="s">
        <v>4685</v>
      </c>
      <c r="G425" t="s">
        <v>4685</v>
      </c>
      <c r="H425" s="2">
        <v>2</v>
      </c>
      <c r="I425" t="s">
        <v>4685</v>
      </c>
      <c r="J425" t="str">
        <f t="shared" si="2"/>
        <v>normalweight</v>
      </c>
    </row>
    <row r="426" spans="1:10" ht="15.75" customHeight="1">
      <c r="A426" t="s">
        <v>3829</v>
      </c>
      <c r="B426">
        <v>30.02</v>
      </c>
      <c r="C426">
        <v>11.09</v>
      </c>
      <c r="D426" s="6" t="s">
        <v>4684</v>
      </c>
      <c r="E426" t="s">
        <v>4685</v>
      </c>
      <c r="F426" t="s">
        <v>4685</v>
      </c>
      <c r="G426" t="s">
        <v>4685</v>
      </c>
      <c r="H426" s="2">
        <v>0</v>
      </c>
      <c r="I426" t="s">
        <v>4685</v>
      </c>
      <c r="J426" t="str">
        <f t="shared" si="2"/>
        <v>normalweight</v>
      </c>
    </row>
    <row r="427" spans="1:10" ht="15.75" customHeight="1">
      <c r="A427" t="s">
        <v>3827</v>
      </c>
      <c r="B427">
        <v>27.36</v>
      </c>
      <c r="C427">
        <v>9.4499999999999993</v>
      </c>
      <c r="D427" s="6" t="s">
        <v>4684</v>
      </c>
      <c r="E427" t="s">
        <v>4686</v>
      </c>
      <c r="F427" t="s">
        <v>4685</v>
      </c>
      <c r="G427" t="s">
        <v>4685</v>
      </c>
      <c r="H427" s="2">
        <v>2</v>
      </c>
      <c r="I427" t="s">
        <v>4686</v>
      </c>
      <c r="J427" t="str">
        <f t="shared" si="2"/>
        <v>normalweight</v>
      </c>
    </row>
    <row r="428" spans="1:10" ht="15.75" customHeight="1">
      <c r="A428" t="s">
        <v>3825</v>
      </c>
      <c r="B428">
        <v>22.2</v>
      </c>
      <c r="C428">
        <v>5.51</v>
      </c>
      <c r="E428" t="s">
        <v>4685</v>
      </c>
      <c r="F428" t="s">
        <v>4685</v>
      </c>
      <c r="G428" t="s">
        <v>4685</v>
      </c>
      <c r="H428" s="2">
        <v>0</v>
      </c>
      <c r="I428" t="s">
        <v>4686</v>
      </c>
      <c r="J428" t="str">
        <f t="shared" si="2"/>
        <v>normalweight</v>
      </c>
    </row>
    <row r="429" spans="1:10" ht="15.75" customHeight="1">
      <c r="A429" t="s">
        <v>3823</v>
      </c>
      <c r="B429">
        <v>25.71</v>
      </c>
      <c r="C429">
        <v>4.18</v>
      </c>
      <c r="E429" t="s">
        <v>4685</v>
      </c>
      <c r="F429" t="s">
        <v>4686</v>
      </c>
      <c r="G429" t="s">
        <v>4685</v>
      </c>
      <c r="H429" s="2">
        <v>1</v>
      </c>
      <c r="I429" t="s">
        <v>4686</v>
      </c>
      <c r="J429" t="str">
        <f t="shared" si="2"/>
        <v>normalweight</v>
      </c>
    </row>
    <row r="430" spans="1:10" ht="15.75" customHeight="1">
      <c r="A430" t="s">
        <v>3821</v>
      </c>
      <c r="B430">
        <v>41.91</v>
      </c>
      <c r="C430">
        <v>5.98</v>
      </c>
      <c r="E430" t="s">
        <v>4686</v>
      </c>
      <c r="F430" t="s">
        <v>4685</v>
      </c>
      <c r="G430" t="s">
        <v>4685</v>
      </c>
      <c r="H430" s="2">
        <v>1</v>
      </c>
      <c r="I430" t="s">
        <v>4685</v>
      </c>
      <c r="J430" t="str">
        <f t="shared" si="2"/>
        <v>normalweight</v>
      </c>
    </row>
    <row r="431" spans="1:10" ht="15.75" customHeight="1">
      <c r="A431" t="s">
        <v>3819</v>
      </c>
      <c r="B431">
        <v>25.85</v>
      </c>
      <c r="C431">
        <v>10.16</v>
      </c>
      <c r="D431" s="6" t="s">
        <v>4684</v>
      </c>
      <c r="E431" t="s">
        <v>4685</v>
      </c>
      <c r="F431" t="s">
        <v>4685</v>
      </c>
      <c r="G431" t="s">
        <v>4685</v>
      </c>
      <c r="H431" s="2">
        <v>0</v>
      </c>
      <c r="I431" t="s">
        <v>4686</v>
      </c>
      <c r="J431" t="str">
        <f t="shared" si="2"/>
        <v>normalweight</v>
      </c>
    </row>
    <row r="432" spans="1:10" ht="15.75" customHeight="1">
      <c r="A432" t="s">
        <v>3817</v>
      </c>
      <c r="B432">
        <v>23.844999999999999</v>
      </c>
      <c r="C432">
        <v>11.71</v>
      </c>
      <c r="D432" s="6" t="s">
        <v>4684</v>
      </c>
      <c r="E432" t="s">
        <v>4685</v>
      </c>
      <c r="F432" t="s">
        <v>4685</v>
      </c>
      <c r="G432" t="s">
        <v>4685</v>
      </c>
      <c r="H432" s="2">
        <v>2</v>
      </c>
      <c r="I432" t="s">
        <v>4686</v>
      </c>
      <c r="J432" t="str">
        <f t="shared" si="2"/>
        <v>normalweight</v>
      </c>
    </row>
    <row r="433" spans="1:10" ht="15.75" customHeight="1">
      <c r="A433" t="s">
        <v>3815</v>
      </c>
      <c r="B433">
        <v>30.59</v>
      </c>
      <c r="C433">
        <v>5.23</v>
      </c>
      <c r="E433" t="s">
        <v>4685</v>
      </c>
      <c r="F433" t="s">
        <v>4685</v>
      </c>
      <c r="G433" t="s">
        <v>4688</v>
      </c>
      <c r="H433" s="2">
        <v>1</v>
      </c>
      <c r="I433" t="s">
        <v>4685</v>
      </c>
      <c r="J433" t="str">
        <f t="shared" si="2"/>
        <v>normalweight</v>
      </c>
    </row>
    <row r="434" spans="1:10" ht="15.75" customHeight="1">
      <c r="A434" t="s">
        <v>3813</v>
      </c>
      <c r="B434">
        <v>24.795000000000002</v>
      </c>
      <c r="C434">
        <v>6.85</v>
      </c>
      <c r="D434" s="6" t="s">
        <v>4684</v>
      </c>
      <c r="E434" t="s">
        <v>4685</v>
      </c>
      <c r="F434" t="s">
        <v>4685</v>
      </c>
      <c r="G434" t="s">
        <v>4685</v>
      </c>
      <c r="H434" s="2">
        <v>0</v>
      </c>
      <c r="I434" t="s">
        <v>4686</v>
      </c>
      <c r="J434" t="str">
        <f t="shared" si="2"/>
        <v>normalweight</v>
      </c>
    </row>
    <row r="435" spans="1:10" ht="15.75" customHeight="1">
      <c r="A435" t="s">
        <v>3811</v>
      </c>
      <c r="B435">
        <v>24.13</v>
      </c>
      <c r="C435">
        <v>7.05</v>
      </c>
      <c r="D435" s="6" t="s">
        <v>4684</v>
      </c>
      <c r="E435" t="s">
        <v>4686</v>
      </c>
      <c r="F435" t="s">
        <v>4685</v>
      </c>
      <c r="G435" t="s">
        <v>4685</v>
      </c>
      <c r="H435" s="2">
        <v>2</v>
      </c>
      <c r="I435" t="s">
        <v>4686</v>
      </c>
      <c r="J435" t="str">
        <f t="shared" si="2"/>
        <v>normalweight</v>
      </c>
    </row>
    <row r="436" spans="1:10" ht="15.75" customHeight="1">
      <c r="A436" t="s">
        <v>3809</v>
      </c>
      <c r="B436">
        <v>25.84</v>
      </c>
      <c r="C436">
        <v>11.64</v>
      </c>
      <c r="D436" s="6" t="s">
        <v>4684</v>
      </c>
      <c r="E436" t="s">
        <v>4685</v>
      </c>
      <c r="F436" t="s">
        <v>4685</v>
      </c>
      <c r="G436" t="s">
        <v>4685</v>
      </c>
      <c r="H436" s="2">
        <v>2</v>
      </c>
      <c r="I436" t="s">
        <v>4686</v>
      </c>
      <c r="J436" t="str">
        <f t="shared" si="2"/>
        <v>normalweight</v>
      </c>
    </row>
    <row r="437" spans="1:10" ht="15.75" customHeight="1">
      <c r="A437" t="s">
        <v>3807</v>
      </c>
      <c r="B437">
        <v>28</v>
      </c>
      <c r="C437">
        <v>10.52</v>
      </c>
      <c r="D437" s="6" t="s">
        <v>4684</v>
      </c>
      <c r="E437" t="s">
        <v>4685</v>
      </c>
      <c r="F437" t="s">
        <v>4685</v>
      </c>
      <c r="G437" t="s">
        <v>4685</v>
      </c>
      <c r="H437" s="2">
        <v>0</v>
      </c>
      <c r="I437" t="s">
        <v>4686</v>
      </c>
      <c r="J437" t="str">
        <f t="shared" si="2"/>
        <v>normalweight</v>
      </c>
    </row>
    <row r="438" spans="1:10" ht="15.75" customHeight="1">
      <c r="A438" t="s">
        <v>3805</v>
      </c>
      <c r="B438">
        <v>34.1</v>
      </c>
      <c r="C438">
        <v>4.01</v>
      </c>
      <c r="E438" t="s">
        <v>4686</v>
      </c>
      <c r="F438" t="s">
        <v>4685</v>
      </c>
      <c r="G438" t="s">
        <v>4688</v>
      </c>
      <c r="H438" s="2">
        <v>1</v>
      </c>
      <c r="I438" t="s">
        <v>4685</v>
      </c>
      <c r="J438" t="str">
        <f t="shared" si="2"/>
        <v>normalweight</v>
      </c>
    </row>
    <row r="439" spans="1:10" ht="15.75" customHeight="1">
      <c r="A439" t="s">
        <v>3803</v>
      </c>
      <c r="B439">
        <v>26.125</v>
      </c>
      <c r="C439">
        <v>8.56</v>
      </c>
      <c r="D439" s="6" t="s">
        <v>4684</v>
      </c>
      <c r="E439" t="s">
        <v>4686</v>
      </c>
      <c r="F439" t="s">
        <v>4685</v>
      </c>
      <c r="G439" t="s">
        <v>4685</v>
      </c>
      <c r="H439" s="2">
        <v>1</v>
      </c>
      <c r="I439" t="s">
        <v>4686</v>
      </c>
      <c r="J439" t="str">
        <f t="shared" si="2"/>
        <v>normalweight</v>
      </c>
    </row>
    <row r="440" spans="1:10" ht="15.75" customHeight="1">
      <c r="A440" t="s">
        <v>3801</v>
      </c>
      <c r="B440">
        <v>25.6</v>
      </c>
      <c r="C440">
        <v>10.5</v>
      </c>
      <c r="D440" s="6" t="s">
        <v>4684</v>
      </c>
      <c r="E440" t="s">
        <v>4685</v>
      </c>
      <c r="F440" t="s">
        <v>4685</v>
      </c>
      <c r="G440" t="s">
        <v>4685</v>
      </c>
      <c r="H440" s="2">
        <v>2</v>
      </c>
      <c r="I440" t="s">
        <v>4686</v>
      </c>
      <c r="J440" t="str">
        <f t="shared" si="2"/>
        <v>normalweight</v>
      </c>
    </row>
    <row r="441" spans="1:10" ht="15.75" customHeight="1">
      <c r="A441" t="s">
        <v>3799</v>
      </c>
      <c r="B441">
        <v>24.32</v>
      </c>
      <c r="C441">
        <v>6.39</v>
      </c>
      <c r="D441" s="6" t="s">
        <v>4684</v>
      </c>
      <c r="E441" t="s">
        <v>4685</v>
      </c>
      <c r="F441" t="s">
        <v>4685</v>
      </c>
      <c r="G441" t="s">
        <v>4685</v>
      </c>
      <c r="H441" s="2">
        <v>0</v>
      </c>
      <c r="I441" t="s">
        <v>4685</v>
      </c>
      <c r="J441" t="str">
        <f t="shared" si="2"/>
        <v>normalweight</v>
      </c>
    </row>
    <row r="442" spans="1:10" ht="15.75" customHeight="1">
      <c r="A442" t="s">
        <v>3797</v>
      </c>
      <c r="B442">
        <v>22.88</v>
      </c>
      <c r="C442">
        <v>5.71</v>
      </c>
      <c r="E442" t="s">
        <v>4686</v>
      </c>
      <c r="F442" t="s">
        <v>4685</v>
      </c>
      <c r="G442" t="s">
        <v>4688</v>
      </c>
      <c r="H442" s="2">
        <v>1</v>
      </c>
      <c r="I442" t="s">
        <v>4686</v>
      </c>
      <c r="J442" t="str">
        <f t="shared" si="2"/>
        <v>normalweight</v>
      </c>
    </row>
    <row r="443" spans="1:10" ht="15.75" customHeight="1">
      <c r="A443" t="s">
        <v>3795</v>
      </c>
      <c r="B443">
        <v>24.984999999999999</v>
      </c>
      <c r="C443">
        <v>4.43</v>
      </c>
      <c r="E443" t="s">
        <v>4686</v>
      </c>
      <c r="F443" t="s">
        <v>4685</v>
      </c>
      <c r="G443" t="s">
        <v>4688</v>
      </c>
      <c r="H443" s="2">
        <v>1</v>
      </c>
      <c r="I443" t="s">
        <v>4685</v>
      </c>
      <c r="J443" t="str">
        <f t="shared" si="2"/>
        <v>normalweight</v>
      </c>
    </row>
    <row r="444" spans="1:10" ht="15.75" customHeight="1">
      <c r="A444" t="s">
        <v>3793</v>
      </c>
      <c r="B444">
        <v>33.1</v>
      </c>
      <c r="C444">
        <v>5.52</v>
      </c>
      <c r="E444" t="s">
        <v>4685</v>
      </c>
      <c r="F444" t="s">
        <v>4685</v>
      </c>
      <c r="G444" t="s">
        <v>4688</v>
      </c>
      <c r="H444" s="2">
        <v>1</v>
      </c>
      <c r="I444" t="s">
        <v>4685</v>
      </c>
      <c r="J444" t="str">
        <f t="shared" si="2"/>
        <v>normalweight</v>
      </c>
    </row>
    <row r="445" spans="1:10" ht="15.75" customHeight="1">
      <c r="A445" t="s">
        <v>3791</v>
      </c>
      <c r="B445">
        <v>27.83</v>
      </c>
      <c r="C445">
        <v>9.1999999999999993</v>
      </c>
      <c r="D445" s="6" t="s">
        <v>4684</v>
      </c>
      <c r="E445" t="s">
        <v>4686</v>
      </c>
      <c r="F445" t="s">
        <v>4685</v>
      </c>
      <c r="G445" t="s">
        <v>4685</v>
      </c>
      <c r="H445" s="2">
        <v>1</v>
      </c>
      <c r="I445" t="s">
        <v>4686</v>
      </c>
      <c r="J445" t="str">
        <f t="shared" si="2"/>
        <v>normalweight</v>
      </c>
    </row>
    <row r="446" spans="1:10" ht="15.75" customHeight="1">
      <c r="A446" t="s">
        <v>3789</v>
      </c>
      <c r="B446">
        <v>30.875</v>
      </c>
      <c r="C446">
        <v>10.97</v>
      </c>
      <c r="D446" s="6" t="s">
        <v>4684</v>
      </c>
      <c r="E446" t="s">
        <v>4686</v>
      </c>
      <c r="F446" t="s">
        <v>4685</v>
      </c>
      <c r="G446" t="s">
        <v>4685</v>
      </c>
      <c r="H446" s="2">
        <v>2</v>
      </c>
      <c r="I446" t="s">
        <v>4685</v>
      </c>
      <c r="J446" t="str">
        <f t="shared" si="2"/>
        <v>normalweight</v>
      </c>
    </row>
    <row r="447" spans="1:10" ht="15.75" customHeight="1">
      <c r="A447" t="s">
        <v>3787</v>
      </c>
      <c r="B447">
        <v>27.265000000000001</v>
      </c>
      <c r="C447">
        <v>4.25</v>
      </c>
      <c r="E447" t="s">
        <v>4685</v>
      </c>
      <c r="F447" t="s">
        <v>4685</v>
      </c>
      <c r="G447" t="s">
        <v>4688</v>
      </c>
      <c r="H447" s="2">
        <v>1</v>
      </c>
      <c r="I447" t="s">
        <v>4685</v>
      </c>
      <c r="J447" t="str">
        <f t="shared" si="2"/>
        <v>normalweight</v>
      </c>
    </row>
    <row r="448" spans="1:10" ht="15.75" customHeight="1">
      <c r="A448" t="s">
        <v>3785</v>
      </c>
      <c r="B448">
        <v>26.7</v>
      </c>
      <c r="C448">
        <v>5.23</v>
      </c>
      <c r="E448" t="s">
        <v>4685</v>
      </c>
      <c r="F448" t="s">
        <v>4685</v>
      </c>
      <c r="G448" t="s">
        <v>4688</v>
      </c>
      <c r="H448" s="2">
        <v>1</v>
      </c>
      <c r="I448" t="s">
        <v>4686</v>
      </c>
      <c r="J448" t="str">
        <f t="shared" si="2"/>
        <v>normalweight</v>
      </c>
    </row>
    <row r="449" spans="1:10" ht="15.75" customHeight="1">
      <c r="A449" t="s">
        <v>3783</v>
      </c>
      <c r="B449">
        <v>29.925000000000001</v>
      </c>
      <c r="C449">
        <v>5.96</v>
      </c>
      <c r="E449" t="s">
        <v>4686</v>
      </c>
      <c r="F449" t="s">
        <v>4685</v>
      </c>
      <c r="G449" t="s">
        <v>4688</v>
      </c>
      <c r="H449" s="2">
        <v>1</v>
      </c>
      <c r="I449" t="s">
        <v>4686</v>
      </c>
      <c r="J449" t="str">
        <f t="shared" si="2"/>
        <v>normalweight</v>
      </c>
    </row>
    <row r="450" spans="1:10" ht="15.75" customHeight="1">
      <c r="A450" t="s">
        <v>3781</v>
      </c>
      <c r="B450">
        <v>19.95</v>
      </c>
      <c r="C450">
        <v>4.29</v>
      </c>
      <c r="E450" t="s">
        <v>4686</v>
      </c>
      <c r="F450" t="s">
        <v>4685</v>
      </c>
      <c r="G450" t="s">
        <v>4685</v>
      </c>
      <c r="H450" s="2">
        <v>2</v>
      </c>
      <c r="I450" t="s">
        <v>4686</v>
      </c>
      <c r="J450" t="str">
        <f t="shared" si="2"/>
        <v>normalweight</v>
      </c>
    </row>
    <row r="451" spans="1:10" ht="15.75" customHeight="1">
      <c r="A451" t="s">
        <v>3779</v>
      </c>
      <c r="B451">
        <v>24.225000000000001</v>
      </c>
      <c r="C451">
        <v>4.09</v>
      </c>
      <c r="E451" t="s">
        <v>4685</v>
      </c>
      <c r="F451" t="s">
        <v>4685</v>
      </c>
      <c r="G451" t="s">
        <v>4685</v>
      </c>
      <c r="H451" s="2">
        <v>0</v>
      </c>
      <c r="I451" t="s">
        <v>4685</v>
      </c>
      <c r="J451" t="str">
        <f t="shared" si="2"/>
        <v>normalweight</v>
      </c>
    </row>
    <row r="452" spans="1:10" ht="15.75" customHeight="1">
      <c r="A452" t="s">
        <v>3777</v>
      </c>
      <c r="B452">
        <v>28.12</v>
      </c>
      <c r="C452">
        <v>4.88</v>
      </c>
      <c r="E452" t="s">
        <v>4685</v>
      </c>
      <c r="F452" t="s">
        <v>4685</v>
      </c>
      <c r="G452" t="s">
        <v>4685</v>
      </c>
      <c r="H452" s="2">
        <v>0</v>
      </c>
      <c r="I452" t="s">
        <v>4686</v>
      </c>
      <c r="J452" t="str">
        <f t="shared" si="2"/>
        <v>normalweight</v>
      </c>
    </row>
    <row r="453" spans="1:10" ht="15.75" customHeight="1">
      <c r="A453" t="s">
        <v>3775</v>
      </c>
      <c r="B453">
        <v>23.21</v>
      </c>
      <c r="C453">
        <v>6.76</v>
      </c>
      <c r="D453" s="6" t="s">
        <v>4684</v>
      </c>
      <c r="E453" t="s">
        <v>4685</v>
      </c>
      <c r="F453" t="s">
        <v>4685</v>
      </c>
      <c r="G453" t="s">
        <v>4685</v>
      </c>
      <c r="H453" s="2">
        <v>0</v>
      </c>
      <c r="I453" t="s">
        <v>4686</v>
      </c>
      <c r="J453" t="str">
        <f t="shared" si="2"/>
        <v>normalweight</v>
      </c>
    </row>
    <row r="454" spans="1:10" ht="15.75" customHeight="1">
      <c r="A454" t="s">
        <v>3773</v>
      </c>
      <c r="B454">
        <v>23.98</v>
      </c>
      <c r="C454">
        <v>10.67</v>
      </c>
      <c r="D454" s="6" t="s">
        <v>4684</v>
      </c>
      <c r="E454" t="s">
        <v>4685</v>
      </c>
      <c r="F454" t="s">
        <v>4685</v>
      </c>
      <c r="G454" t="s">
        <v>4685</v>
      </c>
      <c r="H454" s="2">
        <v>0</v>
      </c>
      <c r="I454" t="s">
        <v>4685</v>
      </c>
      <c r="J454" t="str">
        <f t="shared" si="2"/>
        <v>normalweight</v>
      </c>
    </row>
    <row r="455" spans="1:10" ht="15.75" customHeight="1">
      <c r="A455" t="s">
        <v>3771</v>
      </c>
      <c r="B455">
        <v>30</v>
      </c>
      <c r="C455">
        <v>6.21</v>
      </c>
      <c r="E455" t="s">
        <v>4685</v>
      </c>
      <c r="F455" t="s">
        <v>4685</v>
      </c>
      <c r="G455" t="s">
        <v>4685</v>
      </c>
      <c r="H455" s="2">
        <v>0</v>
      </c>
      <c r="I455" t="s">
        <v>4686</v>
      </c>
      <c r="J455" t="str">
        <f t="shared" si="2"/>
        <v>normalweight</v>
      </c>
    </row>
    <row r="456" spans="1:10" ht="15.75" customHeight="1">
      <c r="A456" t="s">
        <v>3769</v>
      </c>
      <c r="B456">
        <v>17.350000000000001</v>
      </c>
      <c r="C456">
        <v>5.03</v>
      </c>
      <c r="E456" t="s">
        <v>4686</v>
      </c>
      <c r="F456" t="s">
        <v>4685</v>
      </c>
      <c r="G456" t="s">
        <v>4685</v>
      </c>
      <c r="H456" s="2">
        <v>0</v>
      </c>
      <c r="I456" t="s">
        <v>4686</v>
      </c>
      <c r="J456" t="str">
        <f t="shared" si="2"/>
        <v>underweight</v>
      </c>
    </row>
    <row r="457" spans="1:10" ht="15.75" customHeight="1">
      <c r="A457" t="s">
        <v>3767</v>
      </c>
      <c r="B457">
        <v>22.704999999999998</v>
      </c>
      <c r="C457">
        <v>5.27</v>
      </c>
      <c r="E457" t="s">
        <v>4685</v>
      </c>
      <c r="F457" t="s">
        <v>4685</v>
      </c>
      <c r="G457" t="s">
        <v>4685</v>
      </c>
      <c r="H457" s="2">
        <v>0</v>
      </c>
      <c r="I457" t="s">
        <v>4685</v>
      </c>
      <c r="J457" t="str">
        <f t="shared" si="2"/>
        <v>normalweight</v>
      </c>
    </row>
    <row r="458" spans="1:10" ht="15.75" customHeight="1">
      <c r="A458" t="s">
        <v>3765</v>
      </c>
      <c r="B458">
        <v>25.41</v>
      </c>
      <c r="C458">
        <v>10.53</v>
      </c>
      <c r="D458" s="6" t="s">
        <v>4684</v>
      </c>
      <c r="E458" t="s">
        <v>4686</v>
      </c>
      <c r="F458" t="s">
        <v>4685</v>
      </c>
      <c r="G458" t="s">
        <v>4685</v>
      </c>
      <c r="H458" s="2">
        <v>1</v>
      </c>
      <c r="I458" t="s">
        <v>4686</v>
      </c>
      <c r="J458" t="str">
        <f t="shared" si="2"/>
        <v>normalweight</v>
      </c>
    </row>
    <row r="459" spans="1:10" ht="15.75" customHeight="1">
      <c r="A459" t="s">
        <v>3763</v>
      </c>
      <c r="B459">
        <v>18.23</v>
      </c>
      <c r="C459">
        <v>5.78</v>
      </c>
      <c r="E459" t="s">
        <v>4685</v>
      </c>
      <c r="F459" t="s">
        <v>4685</v>
      </c>
      <c r="G459" t="s">
        <v>4688</v>
      </c>
      <c r="H459" s="2">
        <v>1</v>
      </c>
      <c r="I459" t="s">
        <v>4686</v>
      </c>
      <c r="J459" t="str">
        <f t="shared" si="2"/>
        <v>underweight</v>
      </c>
    </row>
    <row r="460" spans="1:10" ht="15.75" customHeight="1">
      <c r="A460" t="s">
        <v>3761</v>
      </c>
      <c r="B460">
        <v>24.7</v>
      </c>
      <c r="C460">
        <v>4.3600000000000003</v>
      </c>
      <c r="E460" t="s">
        <v>4685</v>
      </c>
      <c r="F460" t="s">
        <v>4685</v>
      </c>
      <c r="G460" t="s">
        <v>4688</v>
      </c>
      <c r="H460" s="2">
        <v>1</v>
      </c>
      <c r="I460" t="s">
        <v>4686</v>
      </c>
      <c r="J460" t="str">
        <f t="shared" si="2"/>
        <v>normalweight</v>
      </c>
    </row>
    <row r="461" spans="1:10" ht="15.75" customHeight="1">
      <c r="A461" t="s">
        <v>3759</v>
      </c>
      <c r="B461">
        <v>37.4</v>
      </c>
      <c r="C461">
        <v>9.7200000000000006</v>
      </c>
      <c r="D461" s="6" t="s">
        <v>4684</v>
      </c>
      <c r="E461" t="s">
        <v>4686</v>
      </c>
      <c r="F461" t="s">
        <v>4685</v>
      </c>
      <c r="G461" t="s">
        <v>4688</v>
      </c>
      <c r="H461" s="2">
        <v>1</v>
      </c>
      <c r="I461" t="s">
        <v>4685</v>
      </c>
      <c r="J461" t="str">
        <f t="shared" si="2"/>
        <v>normalweight</v>
      </c>
    </row>
    <row r="462" spans="1:10" ht="15.75" customHeight="1">
      <c r="A462" t="s">
        <v>3757</v>
      </c>
      <c r="B462">
        <v>26.885000000000002</v>
      </c>
      <c r="C462">
        <v>5.18</v>
      </c>
      <c r="E462" t="s">
        <v>4685</v>
      </c>
      <c r="F462" t="s">
        <v>4685</v>
      </c>
      <c r="G462" t="s">
        <v>4688</v>
      </c>
      <c r="H462" s="2">
        <v>1</v>
      </c>
      <c r="I462" t="s">
        <v>4686</v>
      </c>
      <c r="J462" t="str">
        <f t="shared" si="2"/>
        <v>normalweight</v>
      </c>
    </row>
    <row r="463" spans="1:10" ht="15.75" customHeight="1">
      <c r="A463" t="s">
        <v>3755</v>
      </c>
      <c r="B463">
        <v>25.27</v>
      </c>
      <c r="C463">
        <v>5.29</v>
      </c>
      <c r="E463" t="s">
        <v>4685</v>
      </c>
      <c r="F463" t="s">
        <v>4685</v>
      </c>
      <c r="G463" t="s">
        <v>4688</v>
      </c>
      <c r="H463" s="2">
        <v>1</v>
      </c>
      <c r="I463" t="s">
        <v>4686</v>
      </c>
      <c r="J463" t="str">
        <f t="shared" si="2"/>
        <v>normalweight</v>
      </c>
    </row>
    <row r="464" spans="1:10" ht="15.75" customHeight="1">
      <c r="A464" t="s">
        <v>3753</v>
      </c>
      <c r="B464">
        <v>23.655000000000001</v>
      </c>
      <c r="C464">
        <v>4.8600000000000003</v>
      </c>
      <c r="E464" t="s">
        <v>4686</v>
      </c>
      <c r="F464" t="s">
        <v>4685</v>
      </c>
      <c r="G464" t="s">
        <v>4685</v>
      </c>
      <c r="H464" s="2">
        <v>0</v>
      </c>
      <c r="I464" t="s">
        <v>4686</v>
      </c>
      <c r="J464" t="str">
        <f t="shared" si="2"/>
        <v>normalweight</v>
      </c>
    </row>
    <row r="465" spans="1:10" ht="15.75" customHeight="1">
      <c r="A465" t="s">
        <v>3751</v>
      </c>
      <c r="B465">
        <v>55.05</v>
      </c>
      <c r="C465">
        <v>7.66</v>
      </c>
      <c r="D465" s="6" t="s">
        <v>4684</v>
      </c>
      <c r="E465" t="s">
        <v>4685</v>
      </c>
      <c r="F465" t="s">
        <v>4685</v>
      </c>
      <c r="G465" t="s">
        <v>4685</v>
      </c>
      <c r="H465" s="2">
        <v>0</v>
      </c>
      <c r="I465" t="s">
        <v>4685</v>
      </c>
      <c r="J465" t="str">
        <f t="shared" si="2"/>
        <v>normalweight</v>
      </c>
    </row>
    <row r="466" spans="1:10" ht="15.75" customHeight="1">
      <c r="A466" t="s">
        <v>3749</v>
      </c>
      <c r="B466">
        <v>24.89</v>
      </c>
      <c r="C466">
        <v>6.1</v>
      </c>
      <c r="E466" t="s">
        <v>4686</v>
      </c>
      <c r="F466" t="s">
        <v>4685</v>
      </c>
      <c r="G466" t="s">
        <v>4688</v>
      </c>
      <c r="H466" s="2">
        <v>1</v>
      </c>
      <c r="I466" t="s">
        <v>4686</v>
      </c>
      <c r="J466" t="str">
        <f t="shared" si="2"/>
        <v>normalweight</v>
      </c>
    </row>
    <row r="467" spans="1:10" ht="15.75" customHeight="1">
      <c r="A467" t="s">
        <v>3747</v>
      </c>
      <c r="B467">
        <v>18.715</v>
      </c>
      <c r="C467">
        <v>4.4400000000000004</v>
      </c>
      <c r="E467" t="s">
        <v>4685</v>
      </c>
      <c r="F467" t="s">
        <v>4685</v>
      </c>
      <c r="G467" t="s">
        <v>4685</v>
      </c>
      <c r="H467" s="2">
        <v>0</v>
      </c>
      <c r="I467" t="s">
        <v>4685</v>
      </c>
      <c r="J467" t="str">
        <f t="shared" si="2"/>
        <v>normalweight</v>
      </c>
    </row>
    <row r="468" spans="1:10" ht="15.75" customHeight="1">
      <c r="A468" t="s">
        <v>3745</v>
      </c>
      <c r="B468">
        <v>28.12</v>
      </c>
      <c r="C468">
        <v>6.15</v>
      </c>
      <c r="E468" t="s">
        <v>4685</v>
      </c>
      <c r="F468" t="s">
        <v>4685</v>
      </c>
      <c r="G468" t="s">
        <v>4685</v>
      </c>
      <c r="H468" s="2">
        <v>0</v>
      </c>
      <c r="I468" t="s">
        <v>4686</v>
      </c>
      <c r="J468" t="str">
        <f t="shared" si="2"/>
        <v>normalweight</v>
      </c>
    </row>
    <row r="469" spans="1:10" ht="15.75" customHeight="1">
      <c r="A469" t="s">
        <v>3743</v>
      </c>
      <c r="B469">
        <v>26.6</v>
      </c>
      <c r="C469">
        <v>4.53</v>
      </c>
      <c r="E469" t="s">
        <v>4685</v>
      </c>
      <c r="F469" t="s">
        <v>4685</v>
      </c>
      <c r="G469" t="s">
        <v>4685</v>
      </c>
      <c r="H469" s="2">
        <v>0</v>
      </c>
      <c r="I469" t="s">
        <v>4686</v>
      </c>
      <c r="J469" t="str">
        <f t="shared" si="2"/>
        <v>normalweight</v>
      </c>
    </row>
    <row r="470" spans="1:10" ht="15.75" customHeight="1">
      <c r="A470" t="s">
        <v>3741</v>
      </c>
      <c r="B470">
        <v>30.114999999999998</v>
      </c>
      <c r="C470">
        <v>5.48</v>
      </c>
      <c r="E470" t="s">
        <v>4685</v>
      </c>
      <c r="F470" t="s">
        <v>4686</v>
      </c>
      <c r="G470" t="s">
        <v>4685</v>
      </c>
      <c r="H470" s="2">
        <v>1</v>
      </c>
      <c r="I470" t="s">
        <v>4685</v>
      </c>
      <c r="J470" t="str">
        <f t="shared" si="2"/>
        <v>normalweight</v>
      </c>
    </row>
    <row r="471" spans="1:10" ht="15.75" customHeight="1">
      <c r="A471" t="s">
        <v>3739</v>
      </c>
      <c r="B471">
        <v>24.605</v>
      </c>
      <c r="C471">
        <v>5.48</v>
      </c>
      <c r="E471" t="s">
        <v>4685</v>
      </c>
      <c r="F471" t="s">
        <v>4685</v>
      </c>
      <c r="G471" t="s">
        <v>4685</v>
      </c>
      <c r="H471" s="2">
        <v>0</v>
      </c>
      <c r="I471" t="s">
        <v>4686</v>
      </c>
      <c r="J471" t="str">
        <f t="shared" si="2"/>
        <v>normalweight</v>
      </c>
    </row>
    <row r="472" spans="1:10" ht="15.75" customHeight="1">
      <c r="A472" t="s">
        <v>3737</v>
      </c>
      <c r="B472">
        <v>29.6</v>
      </c>
      <c r="C472">
        <v>8.1</v>
      </c>
      <c r="D472" s="6" t="s">
        <v>4684</v>
      </c>
      <c r="E472" t="s">
        <v>4685</v>
      </c>
      <c r="F472" t="s">
        <v>4685</v>
      </c>
      <c r="G472" t="s">
        <v>4685</v>
      </c>
      <c r="H472" s="2">
        <v>0</v>
      </c>
      <c r="I472" t="s">
        <v>4685</v>
      </c>
      <c r="J472" t="str">
        <f t="shared" si="2"/>
        <v>normalweight</v>
      </c>
    </row>
    <row r="473" spans="1:10" ht="15.75" customHeight="1">
      <c r="A473" t="s">
        <v>3735</v>
      </c>
      <c r="B473">
        <v>24.42</v>
      </c>
      <c r="C473">
        <v>7.16</v>
      </c>
      <c r="D473" s="6" t="s">
        <v>4684</v>
      </c>
      <c r="E473" t="s">
        <v>4685</v>
      </c>
      <c r="F473" t="s">
        <v>4685</v>
      </c>
      <c r="G473" t="s">
        <v>4685</v>
      </c>
      <c r="H473" s="2">
        <v>0</v>
      </c>
      <c r="I473" t="s">
        <v>4686</v>
      </c>
      <c r="J473" t="str">
        <f t="shared" si="2"/>
        <v>normalweight</v>
      </c>
    </row>
    <row r="474" spans="1:10" ht="15.75" customHeight="1">
      <c r="A474" t="s">
        <v>3733</v>
      </c>
      <c r="B474">
        <v>20.9</v>
      </c>
      <c r="C474">
        <v>4.55</v>
      </c>
      <c r="E474" t="s">
        <v>4686</v>
      </c>
      <c r="F474" t="s">
        <v>4685</v>
      </c>
      <c r="G474" t="s">
        <v>4688</v>
      </c>
      <c r="H474" s="2">
        <v>1</v>
      </c>
      <c r="I474" t="s">
        <v>4686</v>
      </c>
      <c r="J474" t="str">
        <f t="shared" si="2"/>
        <v>normalweight</v>
      </c>
    </row>
    <row r="475" spans="1:10" ht="15.75" customHeight="1">
      <c r="A475" t="s">
        <v>3731</v>
      </c>
      <c r="B475">
        <v>22.895</v>
      </c>
      <c r="C475">
        <v>6.03</v>
      </c>
      <c r="E475" t="s">
        <v>4685</v>
      </c>
      <c r="F475" t="s">
        <v>4685</v>
      </c>
      <c r="G475" t="s">
        <v>4685</v>
      </c>
      <c r="H475" s="2">
        <v>0</v>
      </c>
      <c r="I475" t="s">
        <v>4686</v>
      </c>
      <c r="J475" t="str">
        <f t="shared" si="2"/>
        <v>normalweight</v>
      </c>
    </row>
    <row r="476" spans="1:10" ht="15.75" customHeight="1">
      <c r="A476" t="s">
        <v>3729</v>
      </c>
      <c r="B476">
        <v>28.3</v>
      </c>
      <c r="C476">
        <v>5.47</v>
      </c>
      <c r="E476" t="s">
        <v>4686</v>
      </c>
      <c r="F476" t="s">
        <v>4685</v>
      </c>
      <c r="G476" t="s">
        <v>4688</v>
      </c>
      <c r="H476" s="2">
        <v>1</v>
      </c>
      <c r="I476" t="s">
        <v>4686</v>
      </c>
      <c r="J476" t="str">
        <f t="shared" si="2"/>
        <v>normalweight</v>
      </c>
    </row>
    <row r="477" spans="1:10" ht="15.75" customHeight="1">
      <c r="A477" t="s">
        <v>3727</v>
      </c>
      <c r="B477">
        <v>54.3</v>
      </c>
      <c r="C477">
        <v>4.1500000000000004</v>
      </c>
      <c r="E477" t="s">
        <v>4686</v>
      </c>
      <c r="F477" t="s">
        <v>4685</v>
      </c>
      <c r="G477" t="s">
        <v>4685</v>
      </c>
      <c r="H477" s="2">
        <v>1</v>
      </c>
      <c r="I477" t="s">
        <v>4685</v>
      </c>
      <c r="J477" t="str">
        <f t="shared" si="2"/>
        <v>normalweight</v>
      </c>
    </row>
    <row r="478" spans="1:10" ht="15.75" customHeight="1">
      <c r="A478" t="s">
        <v>3725</v>
      </c>
      <c r="B478">
        <v>33.344999999999999</v>
      </c>
      <c r="C478">
        <v>11.32</v>
      </c>
      <c r="D478" s="6" t="s">
        <v>4684</v>
      </c>
      <c r="E478" t="s">
        <v>4686</v>
      </c>
      <c r="F478" t="s">
        <v>4685</v>
      </c>
      <c r="G478" t="s">
        <v>4685</v>
      </c>
      <c r="H478" s="2">
        <v>1</v>
      </c>
      <c r="I478" t="s">
        <v>4685</v>
      </c>
      <c r="J478" t="str">
        <f t="shared" si="2"/>
        <v>normalweight</v>
      </c>
    </row>
    <row r="479" spans="1:10" ht="15.75" customHeight="1">
      <c r="A479" t="s">
        <v>3723</v>
      </c>
      <c r="B479">
        <v>33</v>
      </c>
      <c r="C479">
        <v>9.51</v>
      </c>
      <c r="D479" s="6" t="s">
        <v>4684</v>
      </c>
      <c r="E479" t="s">
        <v>4686</v>
      </c>
      <c r="F479" t="s">
        <v>4685</v>
      </c>
      <c r="G479" t="s">
        <v>4685</v>
      </c>
      <c r="H479" s="2">
        <v>0</v>
      </c>
      <c r="I479" t="s">
        <v>4685</v>
      </c>
      <c r="J479" t="str">
        <f t="shared" si="2"/>
        <v>normalweight</v>
      </c>
    </row>
    <row r="480" spans="1:10" ht="15.75" customHeight="1">
      <c r="A480" t="s">
        <v>3721</v>
      </c>
      <c r="B480">
        <v>28.024999999999999</v>
      </c>
      <c r="C480">
        <v>7.67</v>
      </c>
      <c r="D480" s="6" t="s">
        <v>4684</v>
      </c>
      <c r="E480" t="s">
        <v>4686</v>
      </c>
      <c r="F480" t="s">
        <v>4685</v>
      </c>
      <c r="G480" t="s">
        <v>4685</v>
      </c>
      <c r="H480" s="2">
        <v>1</v>
      </c>
      <c r="I480" t="s">
        <v>4686</v>
      </c>
      <c r="J480" t="str">
        <f t="shared" si="2"/>
        <v>normalweight</v>
      </c>
    </row>
    <row r="481" spans="1:10" ht="15.75" customHeight="1">
      <c r="A481" t="s">
        <v>3719</v>
      </c>
      <c r="B481">
        <v>28.69</v>
      </c>
      <c r="C481">
        <v>6.23</v>
      </c>
      <c r="E481" t="s">
        <v>4685</v>
      </c>
      <c r="F481" t="s">
        <v>4685</v>
      </c>
      <c r="G481" t="s">
        <v>4685</v>
      </c>
      <c r="H481" s="2">
        <v>1</v>
      </c>
      <c r="I481" t="s">
        <v>4686</v>
      </c>
      <c r="J481" t="str">
        <f t="shared" si="2"/>
        <v>normalweight</v>
      </c>
    </row>
    <row r="482" spans="1:10" ht="15.75" customHeight="1">
      <c r="A482" t="s">
        <v>3717</v>
      </c>
      <c r="B482">
        <v>40.28</v>
      </c>
      <c r="C482">
        <v>8.9</v>
      </c>
      <c r="D482" s="6" t="s">
        <v>4684</v>
      </c>
      <c r="E482" t="s">
        <v>4685</v>
      </c>
      <c r="F482" t="s">
        <v>4685</v>
      </c>
      <c r="G482" t="s">
        <v>4685</v>
      </c>
      <c r="H482" s="2">
        <v>0</v>
      </c>
      <c r="I482" t="s">
        <v>4685</v>
      </c>
      <c r="J482" t="str">
        <f t="shared" si="2"/>
        <v>normalweight</v>
      </c>
    </row>
    <row r="483" spans="1:10" ht="15.75" customHeight="1">
      <c r="A483" t="s">
        <v>3715</v>
      </c>
      <c r="B483">
        <v>37.299999999999997</v>
      </c>
      <c r="C483">
        <v>7.79</v>
      </c>
      <c r="D483" s="6" t="s">
        <v>4684</v>
      </c>
      <c r="E483" t="s">
        <v>4686</v>
      </c>
      <c r="F483" t="s">
        <v>4685</v>
      </c>
      <c r="G483" t="s">
        <v>4685</v>
      </c>
      <c r="H483" s="2">
        <v>0</v>
      </c>
      <c r="I483" t="s">
        <v>4685</v>
      </c>
      <c r="J483" t="str">
        <f t="shared" si="2"/>
        <v>normalweight</v>
      </c>
    </row>
    <row r="484" spans="1:10" ht="15.75" customHeight="1">
      <c r="A484" t="s">
        <v>3713</v>
      </c>
      <c r="B484">
        <v>54.47</v>
      </c>
      <c r="C484">
        <v>4.49</v>
      </c>
      <c r="E484" t="s">
        <v>4686</v>
      </c>
      <c r="F484" t="s">
        <v>4685</v>
      </c>
      <c r="G484" t="s">
        <v>4685</v>
      </c>
      <c r="H484" s="2">
        <v>2</v>
      </c>
      <c r="I484" t="s">
        <v>4685</v>
      </c>
      <c r="J484" t="str">
        <f t="shared" si="2"/>
        <v>normalweight</v>
      </c>
    </row>
    <row r="485" spans="1:10" ht="15.75" customHeight="1">
      <c r="A485" t="s">
        <v>3711</v>
      </c>
      <c r="B485">
        <v>38.06</v>
      </c>
      <c r="C485">
        <v>5.24</v>
      </c>
      <c r="E485" t="s">
        <v>4686</v>
      </c>
      <c r="F485" t="s">
        <v>4685</v>
      </c>
      <c r="G485" t="s">
        <v>4688</v>
      </c>
      <c r="H485" s="2">
        <v>1</v>
      </c>
      <c r="I485" t="s">
        <v>4685</v>
      </c>
      <c r="J485" t="str">
        <f t="shared" si="2"/>
        <v>normalweight</v>
      </c>
    </row>
    <row r="486" spans="1:10" ht="15.75" customHeight="1">
      <c r="A486" t="s">
        <v>3709</v>
      </c>
      <c r="B486">
        <v>51.47</v>
      </c>
      <c r="C486">
        <v>9.6</v>
      </c>
      <c r="D486" s="6" t="s">
        <v>4684</v>
      </c>
      <c r="E486" t="s">
        <v>4685</v>
      </c>
      <c r="F486" t="s">
        <v>4685</v>
      </c>
      <c r="G486" t="s">
        <v>4685</v>
      </c>
      <c r="H486" s="2">
        <v>0</v>
      </c>
      <c r="I486" t="s">
        <v>4685</v>
      </c>
      <c r="J486" t="str">
        <f t="shared" si="2"/>
        <v>normalweight</v>
      </c>
    </row>
    <row r="487" spans="1:10" ht="15.75" customHeight="1">
      <c r="A487" t="s">
        <v>3707</v>
      </c>
      <c r="B487">
        <v>29.8</v>
      </c>
      <c r="C487">
        <v>5.78</v>
      </c>
      <c r="E487" t="s">
        <v>4686</v>
      </c>
      <c r="F487" t="s">
        <v>4685</v>
      </c>
      <c r="G487" t="s">
        <v>4685</v>
      </c>
      <c r="H487" s="2">
        <v>0</v>
      </c>
      <c r="I487" t="s">
        <v>4685</v>
      </c>
      <c r="J487" t="str">
        <f t="shared" si="2"/>
        <v>normalweight</v>
      </c>
    </row>
    <row r="488" spans="1:10" ht="15.75" customHeight="1">
      <c r="A488" t="s">
        <v>3705</v>
      </c>
      <c r="B488">
        <v>49.77</v>
      </c>
      <c r="C488">
        <v>7.02</v>
      </c>
      <c r="D488" s="6" t="s">
        <v>4684</v>
      </c>
      <c r="E488" t="s">
        <v>4685</v>
      </c>
      <c r="F488" t="s">
        <v>4685</v>
      </c>
      <c r="G488" t="s">
        <v>4685</v>
      </c>
      <c r="H488" s="2">
        <v>0</v>
      </c>
      <c r="I488" t="s">
        <v>4685</v>
      </c>
      <c r="J488" t="str">
        <f t="shared" si="2"/>
        <v>normalweight</v>
      </c>
    </row>
    <row r="489" spans="1:10" ht="15.75" customHeight="1">
      <c r="A489" t="s">
        <v>3703</v>
      </c>
      <c r="B489">
        <v>25.555</v>
      </c>
      <c r="C489">
        <v>4.09</v>
      </c>
      <c r="E489" t="s">
        <v>4686</v>
      </c>
      <c r="F489" t="s">
        <v>4685</v>
      </c>
      <c r="G489" t="s">
        <v>4685</v>
      </c>
      <c r="H489" s="2">
        <v>0</v>
      </c>
      <c r="I489" t="s">
        <v>4686</v>
      </c>
      <c r="J489" t="str">
        <f t="shared" si="2"/>
        <v>normalweight</v>
      </c>
    </row>
    <row r="490" spans="1:10" ht="15.75" customHeight="1">
      <c r="A490" t="s">
        <v>3701</v>
      </c>
      <c r="B490">
        <v>29.64</v>
      </c>
      <c r="C490">
        <v>4.93</v>
      </c>
      <c r="E490" t="s">
        <v>4685</v>
      </c>
      <c r="F490" t="s">
        <v>4685</v>
      </c>
      <c r="G490" t="s">
        <v>4688</v>
      </c>
      <c r="H490" s="2">
        <v>1</v>
      </c>
      <c r="I490" t="s">
        <v>4685</v>
      </c>
      <c r="J490" t="str">
        <f t="shared" si="2"/>
        <v>normalweight</v>
      </c>
    </row>
    <row r="491" spans="1:10" ht="15.75" customHeight="1">
      <c r="A491" t="s">
        <v>3699</v>
      </c>
      <c r="B491">
        <v>53.93</v>
      </c>
      <c r="C491">
        <v>5.34</v>
      </c>
      <c r="E491" t="s">
        <v>4686</v>
      </c>
      <c r="F491" t="s">
        <v>4685</v>
      </c>
      <c r="G491" t="s">
        <v>4685</v>
      </c>
      <c r="H491" s="2">
        <v>2</v>
      </c>
      <c r="I491" t="s">
        <v>4685</v>
      </c>
      <c r="J491" t="str">
        <f t="shared" si="2"/>
        <v>normalweight</v>
      </c>
    </row>
    <row r="492" spans="1:10" ht="15.75" customHeight="1">
      <c r="A492" t="s">
        <v>3697</v>
      </c>
      <c r="B492">
        <v>28.024999999999999</v>
      </c>
      <c r="C492">
        <v>5.65</v>
      </c>
      <c r="E492" t="s">
        <v>4685</v>
      </c>
      <c r="F492" t="s">
        <v>4685</v>
      </c>
      <c r="G492" t="s">
        <v>4685</v>
      </c>
      <c r="H492" s="2">
        <v>1</v>
      </c>
      <c r="I492" t="s">
        <v>4686</v>
      </c>
      <c r="J492" t="str">
        <f t="shared" si="2"/>
        <v>normalweight</v>
      </c>
    </row>
    <row r="493" spans="1:10" ht="15.75" customHeight="1">
      <c r="A493" t="s">
        <v>3695</v>
      </c>
      <c r="B493">
        <v>27.5</v>
      </c>
      <c r="C493">
        <v>4.49</v>
      </c>
      <c r="E493" t="s">
        <v>4685</v>
      </c>
      <c r="F493" t="s">
        <v>4685</v>
      </c>
      <c r="G493" t="s">
        <v>4685</v>
      </c>
      <c r="H493" s="2">
        <v>0</v>
      </c>
      <c r="I493" t="s">
        <v>4685</v>
      </c>
      <c r="J493" t="str">
        <f t="shared" si="2"/>
        <v>normalweight</v>
      </c>
    </row>
    <row r="494" spans="1:10" ht="15.75" customHeight="1">
      <c r="A494" t="s">
        <v>3693</v>
      </c>
      <c r="B494">
        <v>21.8</v>
      </c>
      <c r="C494">
        <v>10.55</v>
      </c>
      <c r="D494" s="6" t="s">
        <v>4684</v>
      </c>
      <c r="E494" t="s">
        <v>4685</v>
      </c>
      <c r="F494" t="s">
        <v>4685</v>
      </c>
      <c r="G494" t="s">
        <v>4685</v>
      </c>
      <c r="H494" s="2">
        <v>0</v>
      </c>
      <c r="I494" t="s">
        <v>4686</v>
      </c>
      <c r="J494" t="str">
        <f t="shared" si="2"/>
        <v>normalweight</v>
      </c>
    </row>
    <row r="495" spans="1:10" ht="15.75" customHeight="1">
      <c r="A495" t="s">
        <v>3691</v>
      </c>
      <c r="B495">
        <v>26.41</v>
      </c>
      <c r="C495">
        <v>4.92</v>
      </c>
      <c r="E495" t="s">
        <v>4686</v>
      </c>
      <c r="F495" t="s">
        <v>4685</v>
      </c>
      <c r="G495" t="s">
        <v>4688</v>
      </c>
      <c r="H495" s="2">
        <v>1</v>
      </c>
      <c r="I495" t="s">
        <v>4686</v>
      </c>
      <c r="J495" t="str">
        <f t="shared" si="2"/>
        <v>normalweight</v>
      </c>
    </row>
    <row r="496" spans="1:10" ht="15.75" customHeight="1">
      <c r="A496" t="s">
        <v>3689</v>
      </c>
      <c r="B496">
        <v>27.835000000000001</v>
      </c>
      <c r="C496">
        <v>5.9</v>
      </c>
      <c r="E496" t="s">
        <v>4686</v>
      </c>
      <c r="F496" t="s">
        <v>4685</v>
      </c>
      <c r="G496" t="s">
        <v>4685</v>
      </c>
      <c r="H496" s="2">
        <v>1</v>
      </c>
      <c r="I496" t="s">
        <v>4686</v>
      </c>
      <c r="J496" t="str">
        <f t="shared" si="2"/>
        <v>normalweight</v>
      </c>
    </row>
    <row r="497" spans="1:10" ht="15.75" customHeight="1">
      <c r="A497" t="s">
        <v>3687</v>
      </c>
      <c r="B497">
        <v>51.74</v>
      </c>
      <c r="C497">
        <v>4.9800000000000004</v>
      </c>
      <c r="E497" t="s">
        <v>4686</v>
      </c>
      <c r="F497" t="s">
        <v>4685</v>
      </c>
      <c r="G497" t="s">
        <v>4685</v>
      </c>
      <c r="H497" s="2">
        <v>2</v>
      </c>
      <c r="I497" t="s">
        <v>4685</v>
      </c>
      <c r="J497" t="str">
        <f t="shared" si="2"/>
        <v>normalweight</v>
      </c>
    </row>
    <row r="498" spans="1:10" ht="15.75" customHeight="1">
      <c r="A498" t="s">
        <v>3685</v>
      </c>
      <c r="B498">
        <v>23.37</v>
      </c>
      <c r="C498">
        <v>5.8</v>
      </c>
      <c r="E498" t="s">
        <v>4685</v>
      </c>
      <c r="F498" t="s">
        <v>4685</v>
      </c>
      <c r="G498" t="s">
        <v>4685</v>
      </c>
      <c r="H498" s="2">
        <v>0</v>
      </c>
      <c r="I498" t="s">
        <v>4686</v>
      </c>
      <c r="J498" t="str">
        <f t="shared" si="2"/>
        <v>normalweight</v>
      </c>
    </row>
    <row r="499" spans="1:10" ht="15.75" customHeight="1">
      <c r="A499" t="s">
        <v>3683</v>
      </c>
      <c r="B499">
        <v>29.7</v>
      </c>
      <c r="C499">
        <v>6.21</v>
      </c>
      <c r="E499" t="s">
        <v>4686</v>
      </c>
      <c r="F499" t="s">
        <v>4685</v>
      </c>
      <c r="G499" t="s">
        <v>4688</v>
      </c>
      <c r="H499" s="2">
        <v>1</v>
      </c>
      <c r="I499" t="s">
        <v>4686</v>
      </c>
      <c r="J499" t="str">
        <f t="shared" si="2"/>
        <v>normalweight</v>
      </c>
    </row>
    <row r="500" spans="1:10" ht="15.75" customHeight="1">
      <c r="A500" t="s">
        <v>3681</v>
      </c>
      <c r="B500">
        <v>20.045000000000002</v>
      </c>
      <c r="C500">
        <v>6.17</v>
      </c>
      <c r="E500" t="s">
        <v>4685</v>
      </c>
      <c r="F500" t="s">
        <v>4685</v>
      </c>
      <c r="G500" t="s">
        <v>4688</v>
      </c>
      <c r="H500" s="2">
        <v>1</v>
      </c>
      <c r="I500" t="s">
        <v>4686</v>
      </c>
      <c r="J500" t="str">
        <f t="shared" si="2"/>
        <v>normalweight</v>
      </c>
    </row>
    <row r="501" spans="1:10" ht="15.75" customHeight="1">
      <c r="A501" t="s">
        <v>3679</v>
      </c>
      <c r="B501">
        <v>27.83</v>
      </c>
      <c r="C501">
        <v>5.36</v>
      </c>
      <c r="E501" t="s">
        <v>4685</v>
      </c>
      <c r="F501" t="s">
        <v>4685</v>
      </c>
      <c r="G501" t="s">
        <v>4685</v>
      </c>
      <c r="H501" s="2">
        <v>2</v>
      </c>
      <c r="I501" t="s">
        <v>4685</v>
      </c>
      <c r="J501" t="str">
        <f t="shared" si="2"/>
        <v>normalweight</v>
      </c>
    </row>
    <row r="502" spans="1:10" ht="15.75" customHeight="1">
      <c r="A502" t="s">
        <v>3677</v>
      </c>
      <c r="B502">
        <v>28.93</v>
      </c>
      <c r="C502">
        <v>5.2</v>
      </c>
      <c r="E502" t="s">
        <v>4685</v>
      </c>
      <c r="F502" t="s">
        <v>4685</v>
      </c>
      <c r="G502" t="s">
        <v>4685</v>
      </c>
      <c r="H502" s="2">
        <v>0</v>
      </c>
      <c r="I502" t="s">
        <v>4686</v>
      </c>
      <c r="J502" t="str">
        <f t="shared" si="2"/>
        <v>normalweight</v>
      </c>
    </row>
    <row r="503" spans="1:10" ht="15.75" customHeight="1">
      <c r="A503" t="s">
        <v>3675</v>
      </c>
      <c r="B503">
        <v>33.82</v>
      </c>
      <c r="C503">
        <v>5.42</v>
      </c>
      <c r="E503" t="s">
        <v>4685</v>
      </c>
      <c r="F503" t="s">
        <v>4685</v>
      </c>
      <c r="G503" t="s">
        <v>4685</v>
      </c>
      <c r="H503" s="2">
        <v>0</v>
      </c>
      <c r="I503" t="s">
        <v>4685</v>
      </c>
      <c r="J503" t="str">
        <f t="shared" si="2"/>
        <v>normalweight</v>
      </c>
    </row>
    <row r="504" spans="1:10" ht="15.75" customHeight="1">
      <c r="A504" t="s">
        <v>3673</v>
      </c>
      <c r="B504">
        <v>20.234999999999999</v>
      </c>
      <c r="C504">
        <v>6.84</v>
      </c>
      <c r="D504" s="6" t="s">
        <v>4684</v>
      </c>
      <c r="E504" t="s">
        <v>4685</v>
      </c>
      <c r="F504" t="s">
        <v>4685</v>
      </c>
      <c r="G504" t="s">
        <v>4685</v>
      </c>
      <c r="H504" s="2">
        <v>0</v>
      </c>
      <c r="I504" t="s">
        <v>4686</v>
      </c>
      <c r="J504" t="str">
        <f t="shared" si="2"/>
        <v>normalweight</v>
      </c>
    </row>
    <row r="505" spans="1:10" ht="15.75" customHeight="1">
      <c r="A505" t="s">
        <v>3671</v>
      </c>
      <c r="B505">
        <v>49.2</v>
      </c>
      <c r="C505">
        <v>10.9</v>
      </c>
      <c r="D505" s="6" t="s">
        <v>4684</v>
      </c>
      <c r="E505" t="s">
        <v>4686</v>
      </c>
      <c r="F505" t="s">
        <v>4685</v>
      </c>
      <c r="G505" t="s">
        <v>4688</v>
      </c>
      <c r="H505" s="2">
        <v>1</v>
      </c>
      <c r="I505" t="s">
        <v>4685</v>
      </c>
      <c r="J505" t="str">
        <f t="shared" si="2"/>
        <v>normalweight</v>
      </c>
    </row>
    <row r="506" spans="1:10" ht="15.75" customHeight="1">
      <c r="A506" t="s">
        <v>3669</v>
      </c>
      <c r="B506">
        <v>26.4</v>
      </c>
      <c r="C506">
        <v>4.87</v>
      </c>
      <c r="E506" t="s">
        <v>4686</v>
      </c>
      <c r="F506" t="s">
        <v>4685</v>
      </c>
      <c r="G506" t="s">
        <v>4685</v>
      </c>
      <c r="H506" s="2">
        <v>0</v>
      </c>
      <c r="I506" t="s">
        <v>4686</v>
      </c>
      <c r="J506" t="str">
        <f t="shared" si="2"/>
        <v>normalweight</v>
      </c>
    </row>
    <row r="507" spans="1:10" ht="15.75" customHeight="1">
      <c r="A507" t="s">
        <v>3667</v>
      </c>
      <c r="B507">
        <v>28.38</v>
      </c>
      <c r="C507">
        <v>6.07</v>
      </c>
      <c r="E507" t="s">
        <v>4685</v>
      </c>
      <c r="F507" t="s">
        <v>4685</v>
      </c>
      <c r="G507" t="s">
        <v>4685</v>
      </c>
      <c r="H507" s="2">
        <v>1</v>
      </c>
      <c r="I507" t="s">
        <v>4686</v>
      </c>
      <c r="J507" t="str">
        <f t="shared" si="2"/>
        <v>normalweight</v>
      </c>
    </row>
    <row r="508" spans="1:10" ht="15.75" customHeight="1">
      <c r="A508" t="s">
        <v>3665</v>
      </c>
      <c r="B508">
        <v>24.64</v>
      </c>
      <c r="C508">
        <v>4.33</v>
      </c>
      <c r="E508" t="s">
        <v>4685</v>
      </c>
      <c r="F508" t="s">
        <v>4685</v>
      </c>
      <c r="G508" t="s">
        <v>4685</v>
      </c>
      <c r="H508" s="2">
        <v>0</v>
      </c>
      <c r="I508" t="s">
        <v>4686</v>
      </c>
      <c r="J508" t="str">
        <f t="shared" si="2"/>
        <v>normalweight</v>
      </c>
    </row>
    <row r="509" spans="1:10" ht="15.75" customHeight="1">
      <c r="A509" t="s">
        <v>3663</v>
      </c>
      <c r="B509">
        <v>39.71</v>
      </c>
      <c r="C509">
        <v>5.83</v>
      </c>
      <c r="E509" t="s">
        <v>4685</v>
      </c>
      <c r="F509" t="s">
        <v>4685</v>
      </c>
      <c r="G509" t="s">
        <v>4685</v>
      </c>
      <c r="H509" s="2">
        <v>1</v>
      </c>
      <c r="I509" t="s">
        <v>4685</v>
      </c>
      <c r="J509" t="str">
        <f t="shared" si="2"/>
        <v>normalweight</v>
      </c>
    </row>
    <row r="510" spans="1:10" ht="15.75" customHeight="1">
      <c r="A510" t="s">
        <v>3661</v>
      </c>
      <c r="B510">
        <v>22.22</v>
      </c>
      <c r="C510">
        <v>5.5</v>
      </c>
      <c r="E510" t="s">
        <v>4685</v>
      </c>
      <c r="F510" t="s">
        <v>4685</v>
      </c>
      <c r="G510" t="s">
        <v>4685</v>
      </c>
      <c r="H510" s="2">
        <v>0</v>
      </c>
      <c r="I510" t="s">
        <v>4686</v>
      </c>
      <c r="J510" t="str">
        <f t="shared" si="2"/>
        <v>normalweight</v>
      </c>
    </row>
    <row r="511" spans="1:10" ht="15.75" customHeight="1">
      <c r="A511" t="s">
        <v>3659</v>
      </c>
      <c r="B511">
        <v>33.344999999999999</v>
      </c>
      <c r="C511">
        <v>4.79</v>
      </c>
      <c r="E511" t="s">
        <v>4685</v>
      </c>
      <c r="F511" t="s">
        <v>4685</v>
      </c>
      <c r="G511" t="s">
        <v>4688</v>
      </c>
      <c r="H511" s="2">
        <v>1</v>
      </c>
      <c r="I511" t="s">
        <v>4685</v>
      </c>
      <c r="J511" t="str">
        <f t="shared" si="2"/>
        <v>normalweight</v>
      </c>
    </row>
    <row r="512" spans="1:10" ht="15.75" customHeight="1">
      <c r="A512" t="s">
        <v>3657</v>
      </c>
      <c r="B512">
        <v>24.42</v>
      </c>
      <c r="C512">
        <v>5.81</v>
      </c>
      <c r="E512" t="s">
        <v>4685</v>
      </c>
      <c r="F512" t="s">
        <v>4685</v>
      </c>
      <c r="G512" t="s">
        <v>4685</v>
      </c>
      <c r="H512" s="2">
        <v>1</v>
      </c>
      <c r="I512" t="s">
        <v>4686</v>
      </c>
      <c r="J512" t="str">
        <f t="shared" si="2"/>
        <v>normalweight</v>
      </c>
    </row>
    <row r="513" spans="1:10" ht="15.75" customHeight="1">
      <c r="A513" t="s">
        <v>3655</v>
      </c>
      <c r="B513">
        <v>29.81</v>
      </c>
      <c r="C513">
        <v>5.58</v>
      </c>
      <c r="E513" t="s">
        <v>4685</v>
      </c>
      <c r="F513" t="s">
        <v>4685</v>
      </c>
      <c r="G513" t="s">
        <v>4685</v>
      </c>
      <c r="H513" s="2">
        <v>0</v>
      </c>
      <c r="I513" t="s">
        <v>4686</v>
      </c>
      <c r="J513" t="str">
        <f t="shared" si="2"/>
        <v>normalweight</v>
      </c>
    </row>
    <row r="514" spans="1:10" ht="15.75" customHeight="1">
      <c r="A514" t="s">
        <v>3653</v>
      </c>
      <c r="B514">
        <v>51.18</v>
      </c>
      <c r="C514">
        <v>4.4000000000000004</v>
      </c>
      <c r="E514" t="s">
        <v>4686</v>
      </c>
      <c r="F514" t="s">
        <v>4685</v>
      </c>
      <c r="G514" t="s">
        <v>4685</v>
      </c>
      <c r="H514" s="2">
        <v>2</v>
      </c>
      <c r="I514" t="s">
        <v>4685</v>
      </c>
      <c r="J514" t="str">
        <f t="shared" si="2"/>
        <v>normalweight</v>
      </c>
    </row>
    <row r="515" spans="1:10" ht="15.75" customHeight="1">
      <c r="A515" t="s">
        <v>3651</v>
      </c>
      <c r="B515">
        <v>51.37</v>
      </c>
      <c r="C515">
        <v>8.18</v>
      </c>
      <c r="E515" t="s">
        <v>4686</v>
      </c>
      <c r="F515" t="s">
        <v>4685</v>
      </c>
      <c r="G515" t="s">
        <v>4685</v>
      </c>
      <c r="H515" s="2">
        <v>0</v>
      </c>
      <c r="I515" t="s">
        <v>4685</v>
      </c>
      <c r="J515" t="str">
        <f t="shared" si="2"/>
        <v>normalweight</v>
      </c>
    </row>
    <row r="516" spans="1:10" ht="15.75" customHeight="1">
      <c r="A516" t="s">
        <v>3649</v>
      </c>
      <c r="B516">
        <v>36.19</v>
      </c>
      <c r="C516">
        <v>5.52</v>
      </c>
      <c r="E516" t="s">
        <v>4686</v>
      </c>
      <c r="F516" t="s">
        <v>4685</v>
      </c>
      <c r="G516" t="s">
        <v>4685</v>
      </c>
      <c r="H516" s="2">
        <v>0</v>
      </c>
      <c r="I516" t="s">
        <v>4685</v>
      </c>
      <c r="J516" t="str">
        <f t="shared" si="2"/>
        <v>normalweight</v>
      </c>
    </row>
    <row r="517" spans="1:10" ht="15.75" customHeight="1">
      <c r="A517" t="s">
        <v>3647</v>
      </c>
      <c r="B517">
        <v>25.9</v>
      </c>
      <c r="C517">
        <v>4.84</v>
      </c>
      <c r="E517" t="s">
        <v>4685</v>
      </c>
      <c r="F517" t="s">
        <v>4685</v>
      </c>
      <c r="G517" t="s">
        <v>4685</v>
      </c>
      <c r="H517" s="2">
        <v>0</v>
      </c>
      <c r="I517" t="s">
        <v>4686</v>
      </c>
      <c r="J517" t="str">
        <f t="shared" si="2"/>
        <v>normalweight</v>
      </c>
    </row>
    <row r="518" spans="1:10" ht="15.75" customHeight="1">
      <c r="A518" t="s">
        <v>3645</v>
      </c>
      <c r="B518">
        <v>35.72</v>
      </c>
      <c r="C518">
        <v>4.08</v>
      </c>
      <c r="E518" t="s">
        <v>4685</v>
      </c>
      <c r="F518" t="s">
        <v>4685</v>
      </c>
      <c r="G518" t="s">
        <v>4688</v>
      </c>
      <c r="H518" s="2">
        <v>1</v>
      </c>
      <c r="I518" t="s">
        <v>4685</v>
      </c>
      <c r="J518" t="str">
        <f t="shared" si="2"/>
        <v>normalweight</v>
      </c>
    </row>
    <row r="519" spans="1:10" ht="15.75" customHeight="1">
      <c r="A519" t="s">
        <v>3643</v>
      </c>
      <c r="B519">
        <v>27.94</v>
      </c>
      <c r="C519">
        <v>4.4800000000000004</v>
      </c>
      <c r="E519" t="s">
        <v>4685</v>
      </c>
      <c r="F519" t="s">
        <v>4685</v>
      </c>
      <c r="G519" t="s">
        <v>4688</v>
      </c>
      <c r="H519" s="2">
        <v>1</v>
      </c>
      <c r="I519" t="s">
        <v>4686</v>
      </c>
      <c r="J519" t="str">
        <f t="shared" si="2"/>
        <v>normalweight</v>
      </c>
    </row>
    <row r="520" spans="1:10" ht="15.75" customHeight="1">
      <c r="A520" t="s">
        <v>3641</v>
      </c>
      <c r="B520">
        <v>27.1</v>
      </c>
      <c r="C520">
        <v>5.73</v>
      </c>
      <c r="E520" t="s">
        <v>4685</v>
      </c>
      <c r="F520" t="s">
        <v>4685</v>
      </c>
      <c r="G520" t="s">
        <v>4685</v>
      </c>
      <c r="H520" s="2">
        <v>0</v>
      </c>
      <c r="I520" t="s">
        <v>4686</v>
      </c>
      <c r="J520" t="str">
        <f t="shared" si="2"/>
        <v>normalweight</v>
      </c>
    </row>
    <row r="521" spans="1:10" ht="15.75" customHeight="1">
      <c r="A521" t="s">
        <v>3639</v>
      </c>
      <c r="B521">
        <v>18.3</v>
      </c>
      <c r="C521">
        <v>5.46</v>
      </c>
      <c r="E521" t="s">
        <v>4686</v>
      </c>
      <c r="F521" t="s">
        <v>4685</v>
      </c>
      <c r="G521" t="s">
        <v>4688</v>
      </c>
      <c r="H521" s="2">
        <v>1</v>
      </c>
      <c r="I521" t="s">
        <v>4686</v>
      </c>
      <c r="J521" t="str">
        <f t="shared" si="2"/>
        <v>underweight</v>
      </c>
    </row>
    <row r="522" spans="1:10" ht="15.75" customHeight="1">
      <c r="A522" t="s">
        <v>3637</v>
      </c>
      <c r="B522">
        <v>25.3</v>
      </c>
      <c r="C522">
        <v>5.0199999999999996</v>
      </c>
      <c r="E522" t="s">
        <v>4686</v>
      </c>
      <c r="F522" t="s">
        <v>4685</v>
      </c>
      <c r="G522" t="s">
        <v>4685</v>
      </c>
      <c r="H522" s="2">
        <v>1</v>
      </c>
      <c r="I522" t="s">
        <v>4686</v>
      </c>
      <c r="J522" t="str">
        <f t="shared" si="2"/>
        <v>normalweight</v>
      </c>
    </row>
    <row r="523" spans="1:10" ht="15.75" customHeight="1">
      <c r="A523" t="s">
        <v>3635</v>
      </c>
      <c r="B523">
        <v>38.83</v>
      </c>
      <c r="C523">
        <v>6.36</v>
      </c>
      <c r="E523" t="s">
        <v>4685</v>
      </c>
      <c r="F523" t="s">
        <v>4685</v>
      </c>
      <c r="G523" t="s">
        <v>4685</v>
      </c>
      <c r="H523" s="2">
        <v>1</v>
      </c>
      <c r="I523" t="s">
        <v>4685</v>
      </c>
      <c r="J523" t="str">
        <f t="shared" si="2"/>
        <v>normalweight</v>
      </c>
    </row>
    <row r="524" spans="1:10" ht="15.75" customHeight="1">
      <c r="A524" t="s">
        <v>3633</v>
      </c>
      <c r="B524">
        <v>27.6</v>
      </c>
      <c r="C524">
        <v>5.36</v>
      </c>
      <c r="E524" t="s">
        <v>4685</v>
      </c>
      <c r="F524" t="s">
        <v>4685</v>
      </c>
      <c r="G524" t="s">
        <v>4685</v>
      </c>
      <c r="H524" s="2">
        <v>1</v>
      </c>
      <c r="I524" t="s">
        <v>4685</v>
      </c>
      <c r="J524" t="str">
        <f t="shared" si="2"/>
        <v>normalweight</v>
      </c>
    </row>
    <row r="525" spans="1:10" ht="15.75" customHeight="1">
      <c r="A525" t="s">
        <v>3631</v>
      </c>
      <c r="B525">
        <v>46.4</v>
      </c>
      <c r="C525">
        <v>8.3699999999999992</v>
      </c>
      <c r="D525" s="6" t="s">
        <v>4684</v>
      </c>
      <c r="E525" t="s">
        <v>4686</v>
      </c>
      <c r="F525" t="s">
        <v>4685</v>
      </c>
      <c r="G525" t="s">
        <v>4688</v>
      </c>
      <c r="H525" s="2">
        <v>1</v>
      </c>
      <c r="I525" t="s">
        <v>4685</v>
      </c>
      <c r="J525" t="str">
        <f t="shared" si="2"/>
        <v>normalweight</v>
      </c>
    </row>
    <row r="526" spans="1:10" ht="15.75" customHeight="1">
      <c r="A526" t="s">
        <v>3629</v>
      </c>
      <c r="B526">
        <v>51.92</v>
      </c>
      <c r="C526">
        <v>5.18</v>
      </c>
      <c r="E526" t="s">
        <v>4686</v>
      </c>
      <c r="F526" t="s">
        <v>4685</v>
      </c>
      <c r="G526" t="s">
        <v>4688</v>
      </c>
      <c r="H526" s="2">
        <v>1</v>
      </c>
      <c r="I526" t="s">
        <v>4685</v>
      </c>
      <c r="J526" t="str">
        <f t="shared" si="2"/>
        <v>normalweight</v>
      </c>
    </row>
    <row r="527" spans="1:10" ht="15.75" customHeight="1">
      <c r="A527" t="s">
        <v>3627</v>
      </c>
      <c r="B527">
        <v>32.395000000000003</v>
      </c>
      <c r="C527">
        <v>5.68</v>
      </c>
      <c r="E527" t="s">
        <v>4686</v>
      </c>
      <c r="F527" t="s">
        <v>4685</v>
      </c>
      <c r="G527" t="s">
        <v>4685</v>
      </c>
      <c r="H527" s="2">
        <v>1</v>
      </c>
      <c r="I527" t="s">
        <v>4685</v>
      </c>
      <c r="J527" t="str">
        <f t="shared" si="2"/>
        <v>normalweight</v>
      </c>
    </row>
    <row r="528" spans="1:10" ht="15.75" customHeight="1">
      <c r="A528" t="s">
        <v>3625</v>
      </c>
      <c r="B528">
        <v>46.19</v>
      </c>
      <c r="C528">
        <v>7.31</v>
      </c>
      <c r="D528" s="6" t="s">
        <v>4684</v>
      </c>
      <c r="E528" t="s">
        <v>4686</v>
      </c>
      <c r="F528" t="s">
        <v>4685</v>
      </c>
      <c r="G528" t="s">
        <v>4688</v>
      </c>
      <c r="H528" s="2">
        <v>1</v>
      </c>
      <c r="I528" t="s">
        <v>4685</v>
      </c>
      <c r="J528" t="str">
        <f t="shared" si="2"/>
        <v>normalweight</v>
      </c>
    </row>
    <row r="529" spans="1:10" ht="15.75" customHeight="1">
      <c r="A529" t="s">
        <v>3623</v>
      </c>
      <c r="B529">
        <v>27.93</v>
      </c>
      <c r="C529">
        <v>4.67</v>
      </c>
      <c r="E529" t="s">
        <v>4685</v>
      </c>
      <c r="F529" t="s">
        <v>4685</v>
      </c>
      <c r="G529" t="s">
        <v>4688</v>
      </c>
      <c r="H529" s="2">
        <v>1</v>
      </c>
      <c r="I529" t="s">
        <v>4685</v>
      </c>
      <c r="J529" t="str">
        <f t="shared" si="2"/>
        <v>normalweight</v>
      </c>
    </row>
    <row r="530" spans="1:10" ht="15.75" customHeight="1">
      <c r="A530" t="s">
        <v>3621</v>
      </c>
      <c r="B530">
        <v>45.62</v>
      </c>
      <c r="C530">
        <v>6.87</v>
      </c>
      <c r="D530" s="6" t="s">
        <v>4684</v>
      </c>
      <c r="E530" t="s">
        <v>4685</v>
      </c>
      <c r="F530" t="s">
        <v>4685</v>
      </c>
      <c r="G530" t="s">
        <v>4685</v>
      </c>
      <c r="H530" s="2">
        <v>0</v>
      </c>
      <c r="I530" t="s">
        <v>4685</v>
      </c>
      <c r="J530" t="str">
        <f t="shared" si="2"/>
        <v>normalweight</v>
      </c>
    </row>
    <row r="531" spans="1:10" ht="15.75" customHeight="1">
      <c r="A531" t="s">
        <v>3619</v>
      </c>
      <c r="B531">
        <v>35.31</v>
      </c>
      <c r="C531">
        <v>5.87</v>
      </c>
      <c r="E531" t="s">
        <v>4685</v>
      </c>
      <c r="F531" t="s">
        <v>4685</v>
      </c>
      <c r="G531" t="s">
        <v>4688</v>
      </c>
      <c r="H531" s="2">
        <v>1</v>
      </c>
      <c r="I531" t="s">
        <v>4685</v>
      </c>
      <c r="J531" t="str">
        <f t="shared" si="2"/>
        <v>normalweight</v>
      </c>
    </row>
    <row r="532" spans="1:10" ht="15.75" customHeight="1">
      <c r="A532" t="s">
        <v>3617</v>
      </c>
      <c r="B532">
        <v>30.4</v>
      </c>
      <c r="C532">
        <v>4.07</v>
      </c>
      <c r="E532" t="s">
        <v>4686</v>
      </c>
      <c r="F532" t="s">
        <v>4685</v>
      </c>
      <c r="G532" t="s">
        <v>4685</v>
      </c>
      <c r="H532" s="2">
        <v>1</v>
      </c>
      <c r="I532" t="s">
        <v>4685</v>
      </c>
      <c r="J532" t="str">
        <f t="shared" ref="J532:J786" si="3">IF(B532&lt;=18.5,"underweight",IF(B532&gt;=18.5-24.9,"normalweight",IF(B532&gt;=25-29.9,"overweight","obesity")))</f>
        <v>normalweight</v>
      </c>
    </row>
    <row r="533" spans="1:10" ht="15.75" customHeight="1">
      <c r="A533" t="s">
        <v>3615</v>
      </c>
      <c r="B533">
        <v>20.13</v>
      </c>
      <c r="C533">
        <v>6.47</v>
      </c>
      <c r="E533" t="s">
        <v>4685</v>
      </c>
      <c r="F533" t="s">
        <v>4685</v>
      </c>
      <c r="G533" t="s">
        <v>4688</v>
      </c>
      <c r="H533" s="2">
        <v>1</v>
      </c>
      <c r="I533" t="s">
        <v>4686</v>
      </c>
      <c r="J533" t="str">
        <f t="shared" si="3"/>
        <v>normalweight</v>
      </c>
    </row>
    <row r="534" spans="1:10" ht="15.75" customHeight="1">
      <c r="A534" t="s">
        <v>3613</v>
      </c>
      <c r="B534">
        <v>23.655000000000001</v>
      </c>
      <c r="C534">
        <v>5.14</v>
      </c>
      <c r="E534" t="s">
        <v>4685</v>
      </c>
      <c r="F534" t="s">
        <v>4685</v>
      </c>
      <c r="G534" t="s">
        <v>4685</v>
      </c>
      <c r="H534" s="2">
        <v>1</v>
      </c>
      <c r="I534" t="s">
        <v>4686</v>
      </c>
      <c r="J534" t="str">
        <f t="shared" si="3"/>
        <v>normalweight</v>
      </c>
    </row>
    <row r="535" spans="1:10" ht="15.75" customHeight="1">
      <c r="A535" t="s">
        <v>3611</v>
      </c>
      <c r="B535">
        <v>49.05</v>
      </c>
      <c r="C535">
        <v>9.77</v>
      </c>
      <c r="D535" s="6" t="s">
        <v>4684</v>
      </c>
      <c r="E535" t="s">
        <v>4686</v>
      </c>
      <c r="F535" t="s">
        <v>4685</v>
      </c>
      <c r="G535" t="s">
        <v>4685</v>
      </c>
      <c r="H535" s="2">
        <v>0</v>
      </c>
      <c r="I535" t="s">
        <v>4685</v>
      </c>
      <c r="J535" t="str">
        <f t="shared" si="3"/>
        <v>normalweight</v>
      </c>
    </row>
    <row r="536" spans="1:10" ht="15.75" customHeight="1">
      <c r="A536" t="s">
        <v>3609</v>
      </c>
      <c r="B536">
        <v>51.94</v>
      </c>
      <c r="C536">
        <v>8.8000000000000007</v>
      </c>
      <c r="D536" s="6" t="s">
        <v>4684</v>
      </c>
      <c r="E536" t="s">
        <v>4686</v>
      </c>
      <c r="F536" t="s">
        <v>4685</v>
      </c>
      <c r="G536" t="s">
        <v>4685</v>
      </c>
      <c r="H536" s="2">
        <v>2</v>
      </c>
      <c r="I536" t="s">
        <v>4685</v>
      </c>
      <c r="J536" t="str">
        <f t="shared" si="3"/>
        <v>normalweight</v>
      </c>
    </row>
    <row r="537" spans="1:10" ht="15.75" customHeight="1">
      <c r="A537" t="s">
        <v>3607</v>
      </c>
      <c r="B537">
        <v>29.83</v>
      </c>
      <c r="C537">
        <v>5.84</v>
      </c>
      <c r="E537" t="s">
        <v>4685</v>
      </c>
      <c r="F537" t="s">
        <v>4685</v>
      </c>
      <c r="G537" t="s">
        <v>4685</v>
      </c>
      <c r="H537" s="2">
        <v>1</v>
      </c>
      <c r="I537" t="s">
        <v>4686</v>
      </c>
      <c r="J537" t="str">
        <f t="shared" si="3"/>
        <v>normalweight</v>
      </c>
    </row>
    <row r="538" spans="1:10" ht="15.75" customHeight="1">
      <c r="A538" t="s">
        <v>3605</v>
      </c>
      <c r="B538">
        <v>22.6</v>
      </c>
      <c r="C538">
        <v>10.43</v>
      </c>
      <c r="D538" s="6" t="s">
        <v>4684</v>
      </c>
      <c r="E538" t="s">
        <v>4686</v>
      </c>
      <c r="F538" t="s">
        <v>4685</v>
      </c>
      <c r="G538" t="s">
        <v>4685</v>
      </c>
      <c r="H538" s="2">
        <v>1</v>
      </c>
      <c r="I538" t="s">
        <v>4686</v>
      </c>
      <c r="J538" t="str">
        <f t="shared" si="3"/>
        <v>normalweight</v>
      </c>
    </row>
    <row r="539" spans="1:10" ht="15.75" customHeight="1">
      <c r="A539" t="s">
        <v>3603</v>
      </c>
      <c r="B539">
        <v>46.69</v>
      </c>
      <c r="C539">
        <v>4.25</v>
      </c>
      <c r="E539" t="s">
        <v>4686</v>
      </c>
      <c r="F539" t="s">
        <v>4685</v>
      </c>
      <c r="G539" t="s">
        <v>4685</v>
      </c>
      <c r="H539" s="2">
        <v>1</v>
      </c>
      <c r="I539" t="s">
        <v>4685</v>
      </c>
      <c r="J539" t="str">
        <f t="shared" si="3"/>
        <v>normalweight</v>
      </c>
    </row>
    <row r="540" spans="1:10" ht="15.75" customHeight="1">
      <c r="A540" t="s">
        <v>3601</v>
      </c>
      <c r="B540">
        <v>28.49</v>
      </c>
      <c r="C540">
        <v>4.8899999999999997</v>
      </c>
      <c r="E540" t="s">
        <v>4685</v>
      </c>
      <c r="F540" t="s">
        <v>4685</v>
      </c>
      <c r="G540" t="s">
        <v>4685</v>
      </c>
      <c r="H540" s="2">
        <v>0</v>
      </c>
      <c r="I540" t="s">
        <v>4686</v>
      </c>
      <c r="J540" t="str">
        <f t="shared" si="3"/>
        <v>normalweight</v>
      </c>
    </row>
    <row r="541" spans="1:10" ht="15.75" customHeight="1">
      <c r="A541" t="s">
        <v>3599</v>
      </c>
      <c r="B541">
        <v>28.5</v>
      </c>
      <c r="C541">
        <v>5.55</v>
      </c>
      <c r="E541" t="s">
        <v>4686</v>
      </c>
      <c r="F541" t="s">
        <v>4685</v>
      </c>
      <c r="G541" t="s">
        <v>4685</v>
      </c>
      <c r="H541" s="2">
        <v>1</v>
      </c>
      <c r="I541" t="s">
        <v>4686</v>
      </c>
      <c r="J541" t="str">
        <f t="shared" si="3"/>
        <v>normalweight</v>
      </c>
    </row>
    <row r="542" spans="1:10" ht="15.75" customHeight="1">
      <c r="A542" t="s">
        <v>3597</v>
      </c>
      <c r="B542">
        <v>24.4</v>
      </c>
      <c r="C542">
        <v>4.5199999999999996</v>
      </c>
      <c r="E542" t="s">
        <v>4685</v>
      </c>
      <c r="F542" t="s">
        <v>4685</v>
      </c>
      <c r="G542" t="s">
        <v>4685</v>
      </c>
      <c r="H542" s="2">
        <v>1</v>
      </c>
      <c r="I542" t="s">
        <v>4686</v>
      </c>
      <c r="J542" t="str">
        <f t="shared" si="3"/>
        <v>normalweight</v>
      </c>
    </row>
    <row r="543" spans="1:10" ht="15.75" customHeight="1">
      <c r="A543" t="s">
        <v>3595</v>
      </c>
      <c r="B543">
        <v>29.15</v>
      </c>
      <c r="C543">
        <v>4.45</v>
      </c>
      <c r="E543" t="s">
        <v>4686</v>
      </c>
      <c r="F543" t="s">
        <v>4685</v>
      </c>
      <c r="G543" t="s">
        <v>4685</v>
      </c>
      <c r="H543" s="2">
        <v>1</v>
      </c>
      <c r="I543" t="s">
        <v>4686</v>
      </c>
      <c r="J543" t="str">
        <f t="shared" si="3"/>
        <v>normalweight</v>
      </c>
    </row>
    <row r="544" spans="1:10" ht="15.75" customHeight="1">
      <c r="A544" t="s">
        <v>3593</v>
      </c>
      <c r="B544">
        <v>27.28</v>
      </c>
      <c r="C544">
        <v>4.72</v>
      </c>
      <c r="E544" t="s">
        <v>4685</v>
      </c>
      <c r="F544" t="s">
        <v>4686</v>
      </c>
      <c r="G544" t="s">
        <v>4685</v>
      </c>
      <c r="H544" s="2">
        <v>1</v>
      </c>
      <c r="I544" t="s">
        <v>4686</v>
      </c>
      <c r="J544" t="str">
        <f t="shared" si="3"/>
        <v>normalweight</v>
      </c>
    </row>
    <row r="545" spans="1:10" ht="15.75" customHeight="1">
      <c r="A545" t="s">
        <v>3591</v>
      </c>
      <c r="B545">
        <v>32.229999999999997</v>
      </c>
      <c r="C545">
        <v>4.6500000000000004</v>
      </c>
      <c r="E545" t="s">
        <v>4686</v>
      </c>
      <c r="F545" t="s">
        <v>4685</v>
      </c>
      <c r="G545" t="s">
        <v>4688</v>
      </c>
      <c r="H545" s="2">
        <v>1</v>
      </c>
      <c r="I545" t="s">
        <v>4685</v>
      </c>
      <c r="J545" t="str">
        <f t="shared" si="3"/>
        <v>normalweight</v>
      </c>
    </row>
    <row r="546" spans="1:10" ht="15.75" customHeight="1">
      <c r="A546" t="s">
        <v>3589</v>
      </c>
      <c r="B546">
        <v>44.2</v>
      </c>
      <c r="C546">
        <v>11.34</v>
      </c>
      <c r="D546" s="6" t="s">
        <v>4684</v>
      </c>
      <c r="E546" t="s">
        <v>4686</v>
      </c>
      <c r="F546" t="s">
        <v>4685</v>
      </c>
      <c r="G546" t="s">
        <v>4688</v>
      </c>
      <c r="H546" s="2">
        <v>1</v>
      </c>
      <c r="I546" t="s">
        <v>4685</v>
      </c>
      <c r="J546" t="str">
        <f t="shared" si="3"/>
        <v>normalweight</v>
      </c>
    </row>
    <row r="547" spans="1:10" ht="15.75" customHeight="1">
      <c r="A547" t="s">
        <v>3587</v>
      </c>
      <c r="B547">
        <v>29.734999999999999</v>
      </c>
      <c r="C547">
        <v>4.53</v>
      </c>
      <c r="E547" t="s">
        <v>4685</v>
      </c>
      <c r="F547" t="s">
        <v>4685</v>
      </c>
      <c r="G547" t="s">
        <v>4688</v>
      </c>
      <c r="H547" s="2">
        <v>1</v>
      </c>
      <c r="I547" t="s">
        <v>4685</v>
      </c>
      <c r="J547" t="str">
        <f t="shared" si="3"/>
        <v>normalweight</v>
      </c>
    </row>
    <row r="548" spans="1:10" ht="15.75" customHeight="1">
      <c r="A548" t="s">
        <v>3585</v>
      </c>
      <c r="B548">
        <v>28.31</v>
      </c>
      <c r="C548">
        <v>6.35</v>
      </c>
      <c r="E548" t="s">
        <v>4685</v>
      </c>
      <c r="F548" t="s">
        <v>4685</v>
      </c>
      <c r="G548" t="s">
        <v>4685</v>
      </c>
      <c r="H548" s="2">
        <v>0</v>
      </c>
      <c r="I548" t="s">
        <v>4686</v>
      </c>
      <c r="J548" t="str">
        <f t="shared" si="3"/>
        <v>normalweight</v>
      </c>
    </row>
    <row r="549" spans="1:10" ht="15.75" customHeight="1">
      <c r="A549" t="s">
        <v>3583</v>
      </c>
      <c r="B549">
        <v>46.62</v>
      </c>
      <c r="C549">
        <v>8.51</v>
      </c>
      <c r="D549" s="6" t="s">
        <v>4684</v>
      </c>
      <c r="E549" t="s">
        <v>4685</v>
      </c>
      <c r="F549" t="s">
        <v>4685</v>
      </c>
      <c r="G549" t="s">
        <v>4685</v>
      </c>
      <c r="H549" s="2">
        <v>0</v>
      </c>
      <c r="I549" t="s">
        <v>4685</v>
      </c>
      <c r="J549" t="str">
        <f t="shared" si="3"/>
        <v>normalweight</v>
      </c>
    </row>
    <row r="550" spans="1:10" ht="15.75" customHeight="1">
      <c r="A550" t="s">
        <v>3581</v>
      </c>
      <c r="B550">
        <v>51.75</v>
      </c>
      <c r="C550">
        <v>8.59</v>
      </c>
      <c r="D550" s="6" t="s">
        <v>4684</v>
      </c>
      <c r="E550" t="s">
        <v>4686</v>
      </c>
      <c r="F550" t="s">
        <v>4685</v>
      </c>
      <c r="G550" t="s">
        <v>4685</v>
      </c>
      <c r="H550" s="2">
        <v>1</v>
      </c>
      <c r="I550" t="s">
        <v>4685</v>
      </c>
      <c r="J550" t="str">
        <f t="shared" si="3"/>
        <v>normalweight</v>
      </c>
    </row>
    <row r="551" spans="1:10" ht="15.75" customHeight="1">
      <c r="A551" t="s">
        <v>3579</v>
      </c>
      <c r="B551">
        <v>25.7</v>
      </c>
      <c r="C551">
        <v>4.13</v>
      </c>
      <c r="E551" t="s">
        <v>4686</v>
      </c>
      <c r="F551" t="s">
        <v>4685</v>
      </c>
      <c r="G551" t="s">
        <v>4685</v>
      </c>
      <c r="H551" s="2">
        <v>0</v>
      </c>
      <c r="I551" t="s">
        <v>4686</v>
      </c>
      <c r="J551" t="str">
        <f t="shared" si="3"/>
        <v>normalweight</v>
      </c>
    </row>
    <row r="552" spans="1:10" ht="15.75" customHeight="1">
      <c r="A552" t="s">
        <v>3577</v>
      </c>
      <c r="B552">
        <v>31.79</v>
      </c>
      <c r="C552">
        <v>4.55</v>
      </c>
      <c r="E552" t="s">
        <v>4685</v>
      </c>
      <c r="F552" t="s">
        <v>4685</v>
      </c>
      <c r="G552" t="s">
        <v>4685</v>
      </c>
      <c r="H552" s="2">
        <v>0</v>
      </c>
      <c r="I552" t="s">
        <v>4685</v>
      </c>
      <c r="J552" t="str">
        <f t="shared" si="3"/>
        <v>normalweight</v>
      </c>
    </row>
    <row r="553" spans="1:10" ht="15.75" customHeight="1">
      <c r="A553" t="s">
        <v>3575</v>
      </c>
      <c r="B553">
        <v>24.795000000000002</v>
      </c>
      <c r="C553">
        <v>4.5199999999999996</v>
      </c>
      <c r="E553" t="s">
        <v>4685</v>
      </c>
      <c r="F553" t="s">
        <v>4685</v>
      </c>
      <c r="G553" t="s">
        <v>4685</v>
      </c>
      <c r="H553" s="2">
        <v>0</v>
      </c>
      <c r="I553" t="s">
        <v>4686</v>
      </c>
      <c r="J553" t="str">
        <f t="shared" si="3"/>
        <v>normalweight</v>
      </c>
    </row>
    <row r="554" spans="1:10" ht="15.75" customHeight="1">
      <c r="A554" t="s">
        <v>3573</v>
      </c>
      <c r="B554">
        <v>53.98</v>
      </c>
      <c r="C554">
        <v>5.07</v>
      </c>
      <c r="E554" t="s">
        <v>4685</v>
      </c>
      <c r="F554" t="s">
        <v>4685</v>
      </c>
      <c r="G554" t="s">
        <v>4688</v>
      </c>
      <c r="H554" s="2">
        <v>1</v>
      </c>
      <c r="I554" t="s">
        <v>4685</v>
      </c>
      <c r="J554" t="str">
        <f t="shared" si="3"/>
        <v>normalweight</v>
      </c>
    </row>
    <row r="555" spans="1:10" ht="15.75" customHeight="1">
      <c r="A555" t="s">
        <v>3571</v>
      </c>
      <c r="B555">
        <v>41.325000000000003</v>
      </c>
      <c r="C555">
        <v>4.04</v>
      </c>
      <c r="E555" t="s">
        <v>4686</v>
      </c>
      <c r="F555" t="s">
        <v>4685</v>
      </c>
      <c r="G555" t="s">
        <v>4688</v>
      </c>
      <c r="H555" s="2">
        <v>1</v>
      </c>
      <c r="I555" t="s">
        <v>4685</v>
      </c>
      <c r="J555" t="str">
        <f t="shared" si="3"/>
        <v>normalweight</v>
      </c>
    </row>
    <row r="556" spans="1:10" ht="15.75" customHeight="1">
      <c r="A556" t="s">
        <v>3569</v>
      </c>
      <c r="B556">
        <v>51.65</v>
      </c>
      <c r="C556">
        <v>5.3</v>
      </c>
      <c r="E556" t="s">
        <v>4686</v>
      </c>
      <c r="F556" t="s">
        <v>4685</v>
      </c>
      <c r="G556" t="s">
        <v>4685</v>
      </c>
      <c r="H556" s="2">
        <v>0</v>
      </c>
      <c r="I556" t="s">
        <v>4685</v>
      </c>
      <c r="J556" t="str">
        <f t="shared" si="3"/>
        <v>normalweight</v>
      </c>
    </row>
    <row r="557" spans="1:10" ht="15.75" customHeight="1">
      <c r="A557" t="s">
        <v>3567</v>
      </c>
      <c r="B557">
        <v>44.52</v>
      </c>
      <c r="C557">
        <v>8.64</v>
      </c>
      <c r="D557" s="6" t="s">
        <v>4684</v>
      </c>
      <c r="E557" t="s">
        <v>4686</v>
      </c>
      <c r="F557" t="s">
        <v>4685</v>
      </c>
      <c r="G557" t="s">
        <v>4688</v>
      </c>
      <c r="H557" s="2">
        <v>1</v>
      </c>
      <c r="I557" t="s">
        <v>4685</v>
      </c>
      <c r="J557" t="str">
        <f t="shared" si="3"/>
        <v>normalweight</v>
      </c>
    </row>
    <row r="558" spans="1:10" ht="15.75" customHeight="1">
      <c r="A558" t="s">
        <v>3565</v>
      </c>
      <c r="B558">
        <v>53.29</v>
      </c>
      <c r="C558">
        <v>4.03</v>
      </c>
      <c r="E558" t="s">
        <v>4685</v>
      </c>
      <c r="F558" t="s">
        <v>4685</v>
      </c>
      <c r="G558" t="s">
        <v>4688</v>
      </c>
      <c r="H558" s="2">
        <v>1</v>
      </c>
      <c r="I558" t="s">
        <v>4685</v>
      </c>
      <c r="J558" t="str">
        <f t="shared" si="3"/>
        <v>normalweight</v>
      </c>
    </row>
    <row r="559" spans="1:10" ht="15.75" customHeight="1">
      <c r="A559" t="s">
        <v>3563</v>
      </c>
      <c r="B559">
        <v>46.63</v>
      </c>
      <c r="C559">
        <v>4.26</v>
      </c>
      <c r="E559" t="s">
        <v>4686</v>
      </c>
      <c r="F559" t="s">
        <v>4685</v>
      </c>
      <c r="G559" t="s">
        <v>4685</v>
      </c>
      <c r="H559" s="2">
        <v>2</v>
      </c>
      <c r="I559" t="s">
        <v>4685</v>
      </c>
      <c r="J559" t="str">
        <f t="shared" si="3"/>
        <v>normalweight</v>
      </c>
    </row>
    <row r="560" spans="1:10" ht="15.75" customHeight="1">
      <c r="A560" t="s">
        <v>3561</v>
      </c>
      <c r="B560">
        <v>28.88</v>
      </c>
      <c r="C560">
        <v>5.35</v>
      </c>
      <c r="E560" t="s">
        <v>4685</v>
      </c>
      <c r="F560" t="s">
        <v>4685</v>
      </c>
      <c r="G560" t="s">
        <v>4688</v>
      </c>
      <c r="H560" s="2">
        <v>1</v>
      </c>
      <c r="I560" t="s">
        <v>4686</v>
      </c>
      <c r="J560" t="str">
        <f t="shared" si="3"/>
        <v>normalweight</v>
      </c>
    </row>
    <row r="561" spans="1:10" ht="15.75" customHeight="1">
      <c r="A561" t="s">
        <v>3559</v>
      </c>
      <c r="B561">
        <v>23.98</v>
      </c>
      <c r="C561">
        <v>4.9000000000000004</v>
      </c>
      <c r="E561" t="s">
        <v>4685</v>
      </c>
      <c r="F561" t="s">
        <v>4685</v>
      </c>
      <c r="G561" t="s">
        <v>4685</v>
      </c>
      <c r="H561" s="2">
        <v>0</v>
      </c>
      <c r="I561" t="s">
        <v>4685</v>
      </c>
      <c r="J561" t="str">
        <f t="shared" si="3"/>
        <v>normalweight</v>
      </c>
    </row>
    <row r="562" spans="1:10" ht="15.75" customHeight="1">
      <c r="A562" t="s">
        <v>3557</v>
      </c>
      <c r="B562">
        <v>23.65</v>
      </c>
      <c r="C562">
        <v>4.5</v>
      </c>
      <c r="E562" t="s">
        <v>4685</v>
      </c>
      <c r="F562" t="s">
        <v>4685</v>
      </c>
      <c r="G562" t="s">
        <v>4685</v>
      </c>
      <c r="H562" s="2">
        <v>0</v>
      </c>
      <c r="I562" t="s">
        <v>4685</v>
      </c>
      <c r="J562" t="str">
        <f t="shared" si="3"/>
        <v>normalweight</v>
      </c>
    </row>
    <row r="563" spans="1:10" ht="15.75" customHeight="1">
      <c r="A563" t="s">
        <v>3555</v>
      </c>
      <c r="B563">
        <v>49.09</v>
      </c>
      <c r="C563">
        <v>8.3800000000000008</v>
      </c>
      <c r="D563" s="6" t="s">
        <v>4684</v>
      </c>
      <c r="E563" t="s">
        <v>4686</v>
      </c>
      <c r="F563" t="s">
        <v>4685</v>
      </c>
      <c r="G563" t="s">
        <v>4685</v>
      </c>
      <c r="H563" s="2">
        <v>2</v>
      </c>
      <c r="I563" t="s">
        <v>4685</v>
      </c>
      <c r="J563" t="str">
        <f t="shared" si="3"/>
        <v>normalweight</v>
      </c>
    </row>
    <row r="564" spans="1:10" ht="15.75" customHeight="1">
      <c r="A564" t="s">
        <v>3553</v>
      </c>
      <c r="B564">
        <v>28.024999999999999</v>
      </c>
      <c r="C564">
        <v>7.03</v>
      </c>
      <c r="D564" s="6" t="s">
        <v>4684</v>
      </c>
      <c r="E564" t="s">
        <v>4685</v>
      </c>
      <c r="F564" t="s">
        <v>4685</v>
      </c>
      <c r="G564" t="s">
        <v>4685</v>
      </c>
      <c r="H564" s="2">
        <v>0</v>
      </c>
      <c r="I564" t="s">
        <v>4686</v>
      </c>
      <c r="J564" t="str">
        <f t="shared" si="3"/>
        <v>normalweight</v>
      </c>
    </row>
    <row r="565" spans="1:10" ht="15.75" customHeight="1">
      <c r="A565" t="s">
        <v>3551</v>
      </c>
      <c r="B565">
        <v>43.32</v>
      </c>
      <c r="C565">
        <v>8.75</v>
      </c>
      <c r="D565" s="6" t="s">
        <v>4684</v>
      </c>
      <c r="E565" t="s">
        <v>4686</v>
      </c>
      <c r="F565" t="s">
        <v>4685</v>
      </c>
      <c r="G565" t="s">
        <v>4688</v>
      </c>
      <c r="H565" s="2">
        <v>1</v>
      </c>
      <c r="I565" t="s">
        <v>4685</v>
      </c>
      <c r="J565" t="str">
        <f t="shared" si="3"/>
        <v>normalweight</v>
      </c>
    </row>
    <row r="566" spans="1:10" ht="15.75" customHeight="1">
      <c r="A566" t="s">
        <v>3549</v>
      </c>
      <c r="B566">
        <v>45.92</v>
      </c>
      <c r="C566">
        <v>9.51</v>
      </c>
      <c r="D566" s="6" t="s">
        <v>4684</v>
      </c>
      <c r="E566" t="s">
        <v>4685</v>
      </c>
      <c r="F566" t="s">
        <v>4685</v>
      </c>
      <c r="G566" t="s">
        <v>4685</v>
      </c>
      <c r="H566" s="2">
        <v>0</v>
      </c>
      <c r="I566" t="s">
        <v>4685</v>
      </c>
      <c r="J566" t="str">
        <f t="shared" si="3"/>
        <v>normalweight</v>
      </c>
    </row>
    <row r="567" spans="1:10" ht="15.75" customHeight="1">
      <c r="A567" t="s">
        <v>3547</v>
      </c>
      <c r="B567">
        <v>44.03</v>
      </c>
      <c r="C567">
        <v>9.36</v>
      </c>
      <c r="D567" s="6" t="s">
        <v>4684</v>
      </c>
      <c r="E567" t="s">
        <v>4685</v>
      </c>
      <c r="F567" t="s">
        <v>4685</v>
      </c>
      <c r="G567" t="s">
        <v>4685</v>
      </c>
      <c r="H567" s="2">
        <v>0</v>
      </c>
      <c r="I567" t="s">
        <v>4685</v>
      </c>
      <c r="J567" t="str">
        <f t="shared" si="3"/>
        <v>normalweight</v>
      </c>
    </row>
    <row r="568" spans="1:10" ht="15.75" customHeight="1">
      <c r="A568" t="s">
        <v>3545</v>
      </c>
      <c r="B568">
        <v>24.6</v>
      </c>
      <c r="C568">
        <v>4.8099999999999996</v>
      </c>
      <c r="E568" t="s">
        <v>4685</v>
      </c>
      <c r="F568" t="s">
        <v>4685</v>
      </c>
      <c r="G568" t="s">
        <v>4685</v>
      </c>
      <c r="H568" s="2">
        <v>0</v>
      </c>
      <c r="I568" t="s">
        <v>4686</v>
      </c>
      <c r="J568" t="str">
        <f t="shared" si="3"/>
        <v>normalweight</v>
      </c>
    </row>
    <row r="569" spans="1:10" ht="15.75" customHeight="1">
      <c r="A569" t="s">
        <v>3543</v>
      </c>
      <c r="B569">
        <v>49.15</v>
      </c>
      <c r="C569">
        <v>8.08</v>
      </c>
      <c r="D569" s="6" t="s">
        <v>4684</v>
      </c>
      <c r="E569" t="s">
        <v>4685</v>
      </c>
      <c r="F569" t="s">
        <v>4685</v>
      </c>
      <c r="G569" t="s">
        <v>4685</v>
      </c>
      <c r="H569" s="2">
        <v>0</v>
      </c>
      <c r="I569" t="s">
        <v>4685</v>
      </c>
      <c r="J569" t="str">
        <f t="shared" si="3"/>
        <v>normalweight</v>
      </c>
    </row>
    <row r="570" spans="1:10" ht="15.75" customHeight="1">
      <c r="A570" t="s">
        <v>3541</v>
      </c>
      <c r="B570">
        <v>28.31</v>
      </c>
      <c r="C570">
        <v>6.29</v>
      </c>
      <c r="E570" t="s">
        <v>4685</v>
      </c>
      <c r="F570" t="s">
        <v>4685</v>
      </c>
      <c r="G570" t="s">
        <v>4688</v>
      </c>
      <c r="H570" s="2">
        <v>1</v>
      </c>
      <c r="I570" t="s">
        <v>4686</v>
      </c>
      <c r="J570" t="str">
        <f t="shared" si="3"/>
        <v>normalweight</v>
      </c>
    </row>
    <row r="571" spans="1:10" ht="15.75" customHeight="1">
      <c r="A571" t="s">
        <v>3539</v>
      </c>
      <c r="B571">
        <v>22.99</v>
      </c>
      <c r="C571">
        <v>6.29</v>
      </c>
      <c r="E571" t="s">
        <v>4685</v>
      </c>
      <c r="F571" t="s">
        <v>4685</v>
      </c>
      <c r="G571" t="s">
        <v>4685</v>
      </c>
      <c r="H571" s="2">
        <v>1</v>
      </c>
      <c r="I571" t="s">
        <v>4686</v>
      </c>
      <c r="J571" t="str">
        <f t="shared" si="3"/>
        <v>normalweight</v>
      </c>
    </row>
    <row r="572" spans="1:10" ht="15.75" customHeight="1">
      <c r="A572" t="s">
        <v>3537</v>
      </c>
      <c r="B572">
        <v>29.07</v>
      </c>
      <c r="C572">
        <v>5.12</v>
      </c>
      <c r="E572" t="s">
        <v>4685</v>
      </c>
      <c r="F572" t="s">
        <v>4685</v>
      </c>
      <c r="G572" t="s">
        <v>4688</v>
      </c>
      <c r="H572" s="2">
        <v>1</v>
      </c>
      <c r="I572" t="s">
        <v>4686</v>
      </c>
      <c r="J572" t="str">
        <f t="shared" si="3"/>
        <v>normalweight</v>
      </c>
    </row>
    <row r="573" spans="1:10" ht="15.75" customHeight="1">
      <c r="A573" t="s">
        <v>3535</v>
      </c>
      <c r="B573">
        <v>42.02</v>
      </c>
      <c r="C573">
        <v>9.9499999999999993</v>
      </c>
      <c r="D573" s="6" t="s">
        <v>4684</v>
      </c>
      <c r="E573" t="s">
        <v>4686</v>
      </c>
      <c r="F573" t="s">
        <v>4685</v>
      </c>
      <c r="G573" t="s">
        <v>4688</v>
      </c>
      <c r="H573" s="2">
        <v>1</v>
      </c>
      <c r="I573" t="s">
        <v>4685</v>
      </c>
      <c r="J573" t="str">
        <f t="shared" si="3"/>
        <v>normalweight</v>
      </c>
    </row>
    <row r="574" spans="1:10" ht="15.75" customHeight="1">
      <c r="A574" t="s">
        <v>3533</v>
      </c>
      <c r="B574">
        <v>49.07</v>
      </c>
      <c r="C574">
        <v>9.08</v>
      </c>
      <c r="D574" s="6" t="s">
        <v>4684</v>
      </c>
      <c r="E574" t="s">
        <v>4686</v>
      </c>
      <c r="F574" t="s">
        <v>4685</v>
      </c>
      <c r="G574" t="s">
        <v>4685</v>
      </c>
      <c r="H574" s="2">
        <v>1</v>
      </c>
      <c r="I574" t="s">
        <v>4685</v>
      </c>
      <c r="J574" t="str">
        <f t="shared" si="3"/>
        <v>normalweight</v>
      </c>
    </row>
    <row r="575" spans="1:10" ht="15.75" customHeight="1">
      <c r="A575" t="s">
        <v>3531</v>
      </c>
      <c r="B575">
        <v>19.8</v>
      </c>
      <c r="C575">
        <v>4.82</v>
      </c>
      <c r="E575" t="s">
        <v>4685</v>
      </c>
      <c r="F575" t="s">
        <v>4685</v>
      </c>
      <c r="G575" t="s">
        <v>4685</v>
      </c>
      <c r="H575" s="2">
        <v>0</v>
      </c>
      <c r="I575" t="s">
        <v>4686</v>
      </c>
      <c r="J575" t="str">
        <f t="shared" si="3"/>
        <v>normalweight</v>
      </c>
    </row>
    <row r="576" spans="1:10" ht="15.75" customHeight="1">
      <c r="A576" t="s">
        <v>3529</v>
      </c>
      <c r="B576">
        <v>27.36</v>
      </c>
      <c r="C576">
        <v>4.6500000000000004</v>
      </c>
      <c r="E576" t="s">
        <v>4685</v>
      </c>
      <c r="F576" t="s">
        <v>4686</v>
      </c>
      <c r="G576" t="s">
        <v>4685</v>
      </c>
      <c r="H576" s="2">
        <v>1</v>
      </c>
      <c r="I576" t="s">
        <v>4686</v>
      </c>
      <c r="J576" t="str">
        <f t="shared" si="3"/>
        <v>normalweight</v>
      </c>
    </row>
    <row r="577" spans="1:10" ht="15.75" customHeight="1">
      <c r="A577" t="s">
        <v>3527</v>
      </c>
      <c r="B577">
        <v>42.95</v>
      </c>
      <c r="C577">
        <v>5.16</v>
      </c>
      <c r="E577" t="s">
        <v>4686</v>
      </c>
      <c r="F577" t="s">
        <v>4685</v>
      </c>
      <c r="G577" t="s">
        <v>4685</v>
      </c>
      <c r="H577" s="2">
        <v>1</v>
      </c>
      <c r="I577" t="s">
        <v>4685</v>
      </c>
      <c r="J577" t="str">
        <f t="shared" si="3"/>
        <v>normalweight</v>
      </c>
    </row>
    <row r="578" spans="1:10" ht="15.75" customHeight="1">
      <c r="A578" t="s">
        <v>3525</v>
      </c>
      <c r="B578">
        <v>42.66</v>
      </c>
      <c r="C578">
        <v>10.44</v>
      </c>
      <c r="D578" s="6" t="s">
        <v>4684</v>
      </c>
      <c r="E578" t="s">
        <v>4685</v>
      </c>
      <c r="F578" t="s">
        <v>4685</v>
      </c>
      <c r="G578" t="s">
        <v>4685</v>
      </c>
      <c r="H578" s="2">
        <v>0</v>
      </c>
      <c r="I578" t="s">
        <v>4685</v>
      </c>
      <c r="J578" t="str">
        <f t="shared" si="3"/>
        <v>normalweight</v>
      </c>
    </row>
    <row r="579" spans="1:10" ht="15.75" customHeight="1">
      <c r="A579" t="s">
        <v>3523</v>
      </c>
      <c r="B579">
        <v>33.630000000000003</v>
      </c>
      <c r="C579">
        <v>5.69</v>
      </c>
      <c r="E579" t="s">
        <v>4685</v>
      </c>
      <c r="F579" t="s">
        <v>4685</v>
      </c>
      <c r="G579" t="s">
        <v>4685</v>
      </c>
      <c r="H579" s="2">
        <v>1</v>
      </c>
      <c r="I579" t="s">
        <v>4685</v>
      </c>
      <c r="J579" t="str">
        <f t="shared" si="3"/>
        <v>normalweight</v>
      </c>
    </row>
    <row r="580" spans="1:10" ht="15.75" customHeight="1">
      <c r="A580" t="s">
        <v>3521</v>
      </c>
      <c r="B580">
        <v>26.84</v>
      </c>
      <c r="C580">
        <v>6.5</v>
      </c>
      <c r="E580" t="s">
        <v>4685</v>
      </c>
      <c r="F580" t="s">
        <v>4685</v>
      </c>
      <c r="G580" t="s">
        <v>4685</v>
      </c>
      <c r="H580" s="2">
        <v>0</v>
      </c>
      <c r="I580" t="s">
        <v>4686</v>
      </c>
      <c r="J580" t="str">
        <f t="shared" si="3"/>
        <v>normalweight</v>
      </c>
    </row>
    <row r="581" spans="1:10" ht="15.75" customHeight="1">
      <c r="A581" t="s">
        <v>3519</v>
      </c>
      <c r="B581">
        <v>28.3</v>
      </c>
      <c r="C581">
        <v>5.73</v>
      </c>
      <c r="E581" t="s">
        <v>4685</v>
      </c>
      <c r="F581" t="s">
        <v>4685</v>
      </c>
      <c r="G581" t="s">
        <v>4688</v>
      </c>
      <c r="H581" s="2">
        <v>1</v>
      </c>
      <c r="I581" t="s">
        <v>4686</v>
      </c>
      <c r="J581" t="str">
        <f t="shared" si="3"/>
        <v>normalweight</v>
      </c>
    </row>
    <row r="582" spans="1:10" ht="15.75" customHeight="1">
      <c r="A582" t="s">
        <v>3517</v>
      </c>
      <c r="B582">
        <v>27.06</v>
      </c>
      <c r="C582">
        <v>5.74</v>
      </c>
      <c r="E582" t="s">
        <v>4686</v>
      </c>
      <c r="F582" t="s">
        <v>4685</v>
      </c>
      <c r="G582" t="s">
        <v>4685</v>
      </c>
      <c r="H582" s="2">
        <v>0</v>
      </c>
      <c r="I582" t="s">
        <v>4686</v>
      </c>
      <c r="J582" t="str">
        <f t="shared" si="3"/>
        <v>normalweight</v>
      </c>
    </row>
    <row r="583" spans="1:10" ht="15.75" customHeight="1">
      <c r="A583" t="s">
        <v>3515</v>
      </c>
      <c r="B583">
        <v>47.13</v>
      </c>
      <c r="C583">
        <v>8.6999999999999993</v>
      </c>
      <c r="D583" s="6" t="s">
        <v>4684</v>
      </c>
      <c r="E583" t="s">
        <v>4685</v>
      </c>
      <c r="F583" t="s">
        <v>4685</v>
      </c>
      <c r="G583" t="s">
        <v>4685</v>
      </c>
      <c r="H583" s="2">
        <v>0</v>
      </c>
      <c r="I583" t="s">
        <v>4685</v>
      </c>
      <c r="J583" t="str">
        <f t="shared" si="3"/>
        <v>normalweight</v>
      </c>
    </row>
    <row r="584" spans="1:10" ht="15.75" customHeight="1">
      <c r="A584" t="s">
        <v>3513</v>
      </c>
      <c r="B584">
        <v>51.72</v>
      </c>
      <c r="C584">
        <v>5.09</v>
      </c>
      <c r="E584" t="s">
        <v>4685</v>
      </c>
      <c r="F584" t="s">
        <v>4685</v>
      </c>
      <c r="G584" t="s">
        <v>4685</v>
      </c>
      <c r="H584" s="2">
        <v>0</v>
      </c>
      <c r="I584" t="s">
        <v>4685</v>
      </c>
      <c r="J584" t="str">
        <f t="shared" si="3"/>
        <v>normalweight</v>
      </c>
    </row>
    <row r="585" spans="1:10" ht="15.75" customHeight="1">
      <c r="A585" t="s">
        <v>3511</v>
      </c>
      <c r="B585">
        <v>48.59</v>
      </c>
      <c r="C585">
        <v>5.57</v>
      </c>
      <c r="E585" t="s">
        <v>4685</v>
      </c>
      <c r="F585" t="s">
        <v>4685</v>
      </c>
      <c r="G585" t="s">
        <v>4685</v>
      </c>
      <c r="H585" s="2">
        <v>0</v>
      </c>
      <c r="I585" t="s">
        <v>4685</v>
      </c>
      <c r="J585" t="str">
        <f t="shared" si="3"/>
        <v>normalweight</v>
      </c>
    </row>
    <row r="586" spans="1:10" ht="15.75" customHeight="1">
      <c r="A586" t="s">
        <v>3509</v>
      </c>
      <c r="B586">
        <v>45.18</v>
      </c>
      <c r="C586">
        <v>10.87</v>
      </c>
      <c r="D586" s="6" t="s">
        <v>4684</v>
      </c>
      <c r="E586" t="s">
        <v>4685</v>
      </c>
      <c r="F586" t="s">
        <v>4685</v>
      </c>
      <c r="G586" t="s">
        <v>4685</v>
      </c>
      <c r="H586" s="2">
        <v>0</v>
      </c>
      <c r="I586" t="s">
        <v>4685</v>
      </c>
      <c r="J586" t="str">
        <f t="shared" si="3"/>
        <v>normalweight</v>
      </c>
    </row>
    <row r="587" spans="1:10" ht="15.75" customHeight="1">
      <c r="A587" t="s">
        <v>3507</v>
      </c>
      <c r="B587">
        <v>27.9</v>
      </c>
      <c r="C587">
        <v>6.02</v>
      </c>
      <c r="E587" t="s">
        <v>4685</v>
      </c>
      <c r="F587" t="s">
        <v>4685</v>
      </c>
      <c r="G587" t="s">
        <v>4688</v>
      </c>
      <c r="H587" s="2">
        <v>1</v>
      </c>
      <c r="I587" t="s">
        <v>4686</v>
      </c>
      <c r="J587" t="str">
        <f t="shared" si="3"/>
        <v>normalweight</v>
      </c>
    </row>
    <row r="588" spans="1:10" ht="15.75" customHeight="1">
      <c r="A588" t="s">
        <v>3505</v>
      </c>
      <c r="B588">
        <v>51.33</v>
      </c>
      <c r="C588">
        <v>7</v>
      </c>
      <c r="D588" s="6" t="s">
        <v>4684</v>
      </c>
      <c r="E588" t="s">
        <v>4685</v>
      </c>
      <c r="F588" t="s">
        <v>4685</v>
      </c>
      <c r="G588" t="s">
        <v>4685</v>
      </c>
      <c r="H588" s="2">
        <v>0</v>
      </c>
      <c r="I588" t="s">
        <v>4685</v>
      </c>
      <c r="J588" t="str">
        <f t="shared" si="3"/>
        <v>normalweight</v>
      </c>
    </row>
    <row r="589" spans="1:10" ht="15.75" customHeight="1">
      <c r="A589" t="s">
        <v>3503</v>
      </c>
      <c r="B589">
        <v>30.59</v>
      </c>
      <c r="C589">
        <v>5.56</v>
      </c>
      <c r="E589" t="s">
        <v>4686</v>
      </c>
      <c r="F589" t="s">
        <v>4685</v>
      </c>
      <c r="G589" t="s">
        <v>4685</v>
      </c>
      <c r="H589" s="2">
        <v>1</v>
      </c>
      <c r="I589" t="s">
        <v>4685</v>
      </c>
      <c r="J589" t="str">
        <f t="shared" si="3"/>
        <v>normalweight</v>
      </c>
    </row>
    <row r="590" spans="1:10" ht="15.75" customHeight="1">
      <c r="A590" t="s">
        <v>3501</v>
      </c>
      <c r="B590">
        <v>39.229999999999997</v>
      </c>
      <c r="C590">
        <v>8.4499999999999993</v>
      </c>
      <c r="D590" s="6" t="s">
        <v>4684</v>
      </c>
      <c r="E590" t="s">
        <v>4685</v>
      </c>
      <c r="F590" t="s">
        <v>4685</v>
      </c>
      <c r="G590" t="s">
        <v>4685</v>
      </c>
      <c r="H590" s="2">
        <v>0</v>
      </c>
      <c r="I590" t="s">
        <v>4685</v>
      </c>
      <c r="J590" t="str">
        <f t="shared" si="3"/>
        <v>normalweight</v>
      </c>
    </row>
    <row r="591" spans="1:10" ht="15.75" customHeight="1">
      <c r="A591" t="s">
        <v>3499</v>
      </c>
      <c r="B591">
        <v>19.094999999999999</v>
      </c>
      <c r="C591">
        <v>6.19</v>
      </c>
      <c r="E591" t="s">
        <v>4685</v>
      </c>
      <c r="F591" t="s">
        <v>4685</v>
      </c>
      <c r="G591" t="s">
        <v>4685</v>
      </c>
      <c r="H591" s="2">
        <v>0</v>
      </c>
      <c r="I591" t="s">
        <v>4686</v>
      </c>
      <c r="J591" t="str">
        <f t="shared" si="3"/>
        <v>normalweight</v>
      </c>
    </row>
    <row r="592" spans="1:10" ht="15.75" customHeight="1">
      <c r="A592" t="s">
        <v>3497</v>
      </c>
      <c r="B592">
        <v>49.72</v>
      </c>
      <c r="C592">
        <v>7.71</v>
      </c>
      <c r="D592" s="6" t="s">
        <v>4684</v>
      </c>
      <c r="E592" t="s">
        <v>4685</v>
      </c>
      <c r="F592" t="s">
        <v>4685</v>
      </c>
      <c r="G592" t="s">
        <v>4685</v>
      </c>
      <c r="H592" s="2">
        <v>0</v>
      </c>
      <c r="I592" t="s">
        <v>4685</v>
      </c>
      <c r="J592" t="str">
        <f t="shared" si="3"/>
        <v>normalweight</v>
      </c>
    </row>
    <row r="593" spans="1:10" ht="15.75" customHeight="1">
      <c r="A593" t="s">
        <v>3495</v>
      </c>
      <c r="B593">
        <v>21.754999999999999</v>
      </c>
      <c r="C593">
        <v>4.63</v>
      </c>
      <c r="E593" t="s">
        <v>4685</v>
      </c>
      <c r="F593" t="s">
        <v>4685</v>
      </c>
      <c r="G593" t="s">
        <v>4688</v>
      </c>
      <c r="H593" s="2">
        <v>1</v>
      </c>
      <c r="I593" t="s">
        <v>4686</v>
      </c>
      <c r="J593" t="str">
        <f t="shared" si="3"/>
        <v>normalweight</v>
      </c>
    </row>
    <row r="594" spans="1:10" ht="15.75" customHeight="1">
      <c r="A594" t="s">
        <v>3493</v>
      </c>
      <c r="B594">
        <v>48.39</v>
      </c>
      <c r="C594">
        <v>4.6100000000000003</v>
      </c>
      <c r="E594" t="s">
        <v>4685</v>
      </c>
      <c r="F594" t="s">
        <v>4685</v>
      </c>
      <c r="G594" t="s">
        <v>4685</v>
      </c>
      <c r="H594" s="2">
        <v>0</v>
      </c>
      <c r="I594" t="s">
        <v>4685</v>
      </c>
      <c r="J594" t="str">
        <f t="shared" si="3"/>
        <v>normalweight</v>
      </c>
    </row>
    <row r="595" spans="1:10" ht="15.75" customHeight="1">
      <c r="A595" t="s">
        <v>3491</v>
      </c>
      <c r="B595">
        <v>47.15</v>
      </c>
      <c r="C595">
        <v>9.5299999999999994</v>
      </c>
      <c r="D595" s="6" t="s">
        <v>4684</v>
      </c>
      <c r="E595" t="s">
        <v>4686</v>
      </c>
      <c r="F595" t="s">
        <v>4685</v>
      </c>
      <c r="G595" t="s">
        <v>4685</v>
      </c>
      <c r="H595" s="2">
        <v>1</v>
      </c>
      <c r="I595" t="s">
        <v>4685</v>
      </c>
      <c r="J595" t="str">
        <f t="shared" si="3"/>
        <v>normalweight</v>
      </c>
    </row>
    <row r="596" spans="1:10" ht="15.75" customHeight="1">
      <c r="A596" t="s">
        <v>3489</v>
      </c>
      <c r="B596">
        <v>47.59</v>
      </c>
      <c r="C596">
        <v>11.43</v>
      </c>
      <c r="D596" s="6" t="s">
        <v>4684</v>
      </c>
      <c r="E596" t="s">
        <v>4686</v>
      </c>
      <c r="F596" t="s">
        <v>4685</v>
      </c>
      <c r="G596" t="s">
        <v>4685</v>
      </c>
      <c r="H596" s="2">
        <v>2</v>
      </c>
      <c r="I596" t="s">
        <v>4685</v>
      </c>
      <c r="J596" t="str">
        <f t="shared" si="3"/>
        <v>normalweight</v>
      </c>
    </row>
    <row r="597" spans="1:10" ht="15.75" customHeight="1">
      <c r="A597" t="s">
        <v>3487</v>
      </c>
      <c r="B597">
        <v>39.81</v>
      </c>
      <c r="C597">
        <v>7.65</v>
      </c>
      <c r="D597" s="6" t="s">
        <v>4684</v>
      </c>
      <c r="E597" t="s">
        <v>4686</v>
      </c>
      <c r="F597" t="s">
        <v>4685</v>
      </c>
      <c r="G597" t="s">
        <v>4688</v>
      </c>
      <c r="H597" s="2">
        <v>1</v>
      </c>
      <c r="I597" t="s">
        <v>4685</v>
      </c>
      <c r="J597" t="str">
        <f t="shared" si="3"/>
        <v>normalweight</v>
      </c>
    </row>
    <row r="598" spans="1:10" ht="15.75" customHeight="1">
      <c r="A598" t="s">
        <v>3485</v>
      </c>
      <c r="B598">
        <v>31.02</v>
      </c>
      <c r="C598">
        <v>5.87</v>
      </c>
      <c r="E598" t="s">
        <v>4686</v>
      </c>
      <c r="F598" t="s">
        <v>4685</v>
      </c>
      <c r="G598" t="s">
        <v>4685</v>
      </c>
      <c r="H598" s="2">
        <v>0</v>
      </c>
      <c r="I598" t="s">
        <v>4685</v>
      </c>
      <c r="J598" t="str">
        <f t="shared" si="3"/>
        <v>normalweight</v>
      </c>
    </row>
    <row r="599" spans="1:10" ht="15.75" customHeight="1">
      <c r="A599" t="s">
        <v>3483</v>
      </c>
      <c r="B599">
        <v>24.75</v>
      </c>
      <c r="C599">
        <v>4.3600000000000003</v>
      </c>
      <c r="E599" t="s">
        <v>4686</v>
      </c>
      <c r="F599" t="s">
        <v>4685</v>
      </c>
      <c r="G599" t="s">
        <v>4685</v>
      </c>
      <c r="H599" s="2">
        <v>1</v>
      </c>
      <c r="I599" t="s">
        <v>4686</v>
      </c>
      <c r="J599" t="str">
        <f t="shared" si="3"/>
        <v>normalweight</v>
      </c>
    </row>
    <row r="600" spans="1:10" ht="15.75" customHeight="1">
      <c r="A600" t="s">
        <v>3481</v>
      </c>
      <c r="B600">
        <v>30.114999999999998</v>
      </c>
      <c r="C600">
        <v>10.119999999999999</v>
      </c>
      <c r="D600" s="6" t="s">
        <v>4684</v>
      </c>
      <c r="E600" t="s">
        <v>4685</v>
      </c>
      <c r="F600" t="s">
        <v>4685</v>
      </c>
      <c r="G600" t="s">
        <v>4685</v>
      </c>
      <c r="H600" s="2">
        <v>3</v>
      </c>
      <c r="I600" t="s">
        <v>4685</v>
      </c>
      <c r="J600" t="str">
        <f t="shared" si="3"/>
        <v>normalweight</v>
      </c>
    </row>
    <row r="601" spans="1:10" ht="15.75" customHeight="1">
      <c r="A601" t="s">
        <v>3479</v>
      </c>
      <c r="B601">
        <v>26.03</v>
      </c>
      <c r="C601">
        <v>4.01</v>
      </c>
      <c r="E601" t="s">
        <v>4685</v>
      </c>
      <c r="F601" t="s">
        <v>4685</v>
      </c>
      <c r="G601" t="s">
        <v>4688</v>
      </c>
      <c r="H601" s="2">
        <v>1</v>
      </c>
      <c r="I601" t="s">
        <v>4686</v>
      </c>
      <c r="J601" t="str">
        <f t="shared" si="3"/>
        <v>normalweight</v>
      </c>
    </row>
    <row r="602" spans="1:10" ht="15.75" customHeight="1">
      <c r="A602" t="s">
        <v>3477</v>
      </c>
      <c r="B602">
        <v>20.045000000000002</v>
      </c>
      <c r="C602">
        <v>4.7699999999999996</v>
      </c>
      <c r="E602" t="s">
        <v>4686</v>
      </c>
      <c r="F602" t="s">
        <v>4685</v>
      </c>
      <c r="G602" t="s">
        <v>4685</v>
      </c>
      <c r="H602" s="2">
        <v>1</v>
      </c>
      <c r="I602" t="s">
        <v>4686</v>
      </c>
      <c r="J602" t="str">
        <f t="shared" si="3"/>
        <v>normalweight</v>
      </c>
    </row>
    <row r="603" spans="1:10" ht="15.75" customHeight="1">
      <c r="A603" t="s">
        <v>3475</v>
      </c>
      <c r="B603">
        <v>40.24</v>
      </c>
      <c r="C603">
        <v>6.83</v>
      </c>
      <c r="E603" t="s">
        <v>4685</v>
      </c>
      <c r="F603" t="s">
        <v>4685</v>
      </c>
      <c r="G603" t="s">
        <v>4685</v>
      </c>
      <c r="H603" s="2">
        <v>0</v>
      </c>
      <c r="I603" t="s">
        <v>4685</v>
      </c>
      <c r="J603" t="str">
        <f t="shared" si="3"/>
        <v>normalweight</v>
      </c>
    </row>
    <row r="604" spans="1:10" ht="15.75" customHeight="1">
      <c r="A604" t="s">
        <v>3473</v>
      </c>
      <c r="B604">
        <v>43.15</v>
      </c>
      <c r="C604">
        <v>6.14</v>
      </c>
      <c r="E604" t="s">
        <v>4686</v>
      </c>
      <c r="F604" t="s">
        <v>4685</v>
      </c>
      <c r="G604" t="s">
        <v>4688</v>
      </c>
      <c r="H604" s="2">
        <v>1</v>
      </c>
      <c r="I604" t="s">
        <v>4685</v>
      </c>
      <c r="J604" t="str">
        <f t="shared" si="3"/>
        <v>normalweight</v>
      </c>
    </row>
    <row r="605" spans="1:10" ht="15.75" customHeight="1">
      <c r="A605" t="s">
        <v>3471</v>
      </c>
      <c r="B605">
        <v>27.7</v>
      </c>
      <c r="C605">
        <v>5.6</v>
      </c>
      <c r="E605" t="s">
        <v>4685</v>
      </c>
      <c r="F605" t="s">
        <v>4685</v>
      </c>
      <c r="G605" t="s">
        <v>4688</v>
      </c>
      <c r="H605" s="2">
        <v>1</v>
      </c>
      <c r="I605" t="s">
        <v>4686</v>
      </c>
      <c r="J605" t="str">
        <f t="shared" si="3"/>
        <v>normalweight</v>
      </c>
    </row>
    <row r="606" spans="1:10" ht="15.75" customHeight="1">
      <c r="A606" t="s">
        <v>3469</v>
      </c>
      <c r="B606">
        <v>45.68</v>
      </c>
      <c r="C606">
        <v>4.8</v>
      </c>
      <c r="E606" t="s">
        <v>4685</v>
      </c>
      <c r="F606" t="s">
        <v>4685</v>
      </c>
      <c r="G606" t="s">
        <v>4685</v>
      </c>
      <c r="H606" s="2">
        <v>2</v>
      </c>
      <c r="I606" t="s">
        <v>4685</v>
      </c>
      <c r="J606" t="str">
        <f t="shared" si="3"/>
        <v>normalweight</v>
      </c>
    </row>
    <row r="607" spans="1:10" ht="15.75" customHeight="1">
      <c r="A607" t="s">
        <v>3467</v>
      </c>
      <c r="B607">
        <v>27.3</v>
      </c>
      <c r="C607">
        <v>11.89</v>
      </c>
      <c r="D607" s="6" t="s">
        <v>4684</v>
      </c>
      <c r="E607" t="s">
        <v>4685</v>
      </c>
      <c r="F607" t="s">
        <v>4685</v>
      </c>
      <c r="G607" t="s">
        <v>4685</v>
      </c>
      <c r="H607" s="2">
        <v>0</v>
      </c>
      <c r="I607" t="s">
        <v>4686</v>
      </c>
      <c r="J607" t="str">
        <f t="shared" si="3"/>
        <v>normalweight</v>
      </c>
    </row>
    <row r="608" spans="1:10" ht="15.75" customHeight="1">
      <c r="A608" t="s">
        <v>3465</v>
      </c>
      <c r="B608">
        <v>54.45</v>
      </c>
      <c r="C608">
        <v>4.7300000000000004</v>
      </c>
      <c r="E608" t="s">
        <v>4686</v>
      </c>
      <c r="F608" t="s">
        <v>4685</v>
      </c>
      <c r="G608" t="s">
        <v>4685</v>
      </c>
      <c r="H608" s="2">
        <v>1</v>
      </c>
      <c r="I608" t="s">
        <v>4685</v>
      </c>
      <c r="J608" t="str">
        <f t="shared" si="3"/>
        <v>normalweight</v>
      </c>
    </row>
    <row r="609" spans="1:10" ht="15.75" customHeight="1">
      <c r="A609" t="s">
        <v>3463</v>
      </c>
      <c r="B609">
        <v>54.43</v>
      </c>
      <c r="C609">
        <v>4.6100000000000003</v>
      </c>
      <c r="E609" t="s">
        <v>4686</v>
      </c>
      <c r="F609" t="s">
        <v>4685</v>
      </c>
      <c r="G609" t="s">
        <v>4685</v>
      </c>
      <c r="H609" s="2">
        <v>1</v>
      </c>
      <c r="I609" t="s">
        <v>4685</v>
      </c>
      <c r="J609" t="str">
        <f t="shared" si="3"/>
        <v>normalweight</v>
      </c>
    </row>
    <row r="610" spans="1:10" ht="15.75" customHeight="1">
      <c r="A610" t="s">
        <v>3461</v>
      </c>
      <c r="B610">
        <v>48.01</v>
      </c>
      <c r="C610">
        <v>7.3</v>
      </c>
      <c r="D610" s="6" t="s">
        <v>4684</v>
      </c>
      <c r="E610" t="s">
        <v>4685</v>
      </c>
      <c r="F610" t="s">
        <v>4685</v>
      </c>
      <c r="G610" t="s">
        <v>4685</v>
      </c>
      <c r="H610" s="2">
        <v>0</v>
      </c>
      <c r="I610" t="s">
        <v>4685</v>
      </c>
      <c r="J610" t="str">
        <f t="shared" si="3"/>
        <v>normalweight</v>
      </c>
    </row>
    <row r="611" spans="1:10" ht="15.75" customHeight="1">
      <c r="A611" t="s">
        <v>3459</v>
      </c>
      <c r="B611">
        <v>48.32</v>
      </c>
      <c r="C611">
        <v>5.88</v>
      </c>
      <c r="E611" t="s">
        <v>4685</v>
      </c>
      <c r="F611" t="s">
        <v>4685</v>
      </c>
      <c r="G611" t="s">
        <v>4685</v>
      </c>
      <c r="H611" s="2">
        <v>0</v>
      </c>
      <c r="I611" t="s">
        <v>4685</v>
      </c>
      <c r="J611" t="str">
        <f t="shared" si="3"/>
        <v>normalweight</v>
      </c>
    </row>
    <row r="612" spans="1:10" ht="15.75" customHeight="1">
      <c r="A612" t="s">
        <v>3457</v>
      </c>
      <c r="B612">
        <v>22.895</v>
      </c>
      <c r="C612">
        <v>4.0599999999999996</v>
      </c>
      <c r="E612" t="s">
        <v>4685</v>
      </c>
      <c r="F612" t="s">
        <v>4685</v>
      </c>
      <c r="G612" t="s">
        <v>4688</v>
      </c>
      <c r="H612" s="2">
        <v>1</v>
      </c>
      <c r="I612" t="s">
        <v>4686</v>
      </c>
      <c r="J612" t="str">
        <f t="shared" si="3"/>
        <v>normalweight</v>
      </c>
    </row>
    <row r="613" spans="1:10" ht="15.75" customHeight="1">
      <c r="A613" t="s">
        <v>3455</v>
      </c>
      <c r="B613">
        <v>54.85</v>
      </c>
      <c r="C613">
        <v>4.9000000000000004</v>
      </c>
      <c r="E613" t="s">
        <v>4685</v>
      </c>
      <c r="F613" t="s">
        <v>4685</v>
      </c>
      <c r="G613" t="s">
        <v>4685</v>
      </c>
      <c r="H613" s="2">
        <v>1</v>
      </c>
      <c r="I613" t="s">
        <v>4685</v>
      </c>
      <c r="J613" t="str">
        <f t="shared" si="3"/>
        <v>normalweight</v>
      </c>
    </row>
    <row r="614" spans="1:10" ht="15.75" customHeight="1">
      <c r="A614" t="s">
        <v>3453</v>
      </c>
      <c r="B614">
        <v>21.85</v>
      </c>
      <c r="C614">
        <v>5.52</v>
      </c>
      <c r="E614" t="s">
        <v>4685</v>
      </c>
      <c r="F614" t="s">
        <v>4685</v>
      </c>
      <c r="G614" t="s">
        <v>4688</v>
      </c>
      <c r="H614" s="2">
        <v>1</v>
      </c>
      <c r="I614" t="s">
        <v>4686</v>
      </c>
      <c r="J614" t="str">
        <f t="shared" si="3"/>
        <v>normalweight</v>
      </c>
    </row>
    <row r="615" spans="1:10" ht="15.75" customHeight="1">
      <c r="A615" t="s">
        <v>3451</v>
      </c>
      <c r="B615">
        <v>51.86</v>
      </c>
      <c r="C615">
        <v>5.2</v>
      </c>
      <c r="E615" t="s">
        <v>4686</v>
      </c>
      <c r="F615" t="s">
        <v>4685</v>
      </c>
      <c r="G615" t="s">
        <v>4685</v>
      </c>
      <c r="H615" s="2">
        <v>0</v>
      </c>
      <c r="I615" t="s">
        <v>4685</v>
      </c>
      <c r="J615" t="str">
        <f t="shared" si="3"/>
        <v>normalweight</v>
      </c>
    </row>
    <row r="616" spans="1:10" ht="15.75" customHeight="1">
      <c r="A616" t="s">
        <v>3449</v>
      </c>
      <c r="B616">
        <v>39.049999999999997</v>
      </c>
      <c r="C616">
        <v>7.59</v>
      </c>
      <c r="D616" s="6" t="s">
        <v>4684</v>
      </c>
      <c r="E616" t="s">
        <v>4685</v>
      </c>
      <c r="F616" t="s">
        <v>4685</v>
      </c>
      <c r="G616" t="s">
        <v>4685</v>
      </c>
      <c r="H616" s="2">
        <v>3</v>
      </c>
      <c r="I616" t="s">
        <v>4685</v>
      </c>
      <c r="J616" t="str">
        <f t="shared" si="3"/>
        <v>normalweight</v>
      </c>
    </row>
    <row r="617" spans="1:10" ht="15.75" customHeight="1">
      <c r="A617" t="s">
        <v>3447</v>
      </c>
      <c r="B617">
        <v>31.824999999999999</v>
      </c>
      <c r="C617">
        <v>8.2799999999999994</v>
      </c>
      <c r="D617" s="6" t="s">
        <v>4684</v>
      </c>
      <c r="E617" t="s">
        <v>4685</v>
      </c>
      <c r="F617" t="s">
        <v>4685</v>
      </c>
      <c r="G617" t="s">
        <v>4685</v>
      </c>
      <c r="H617" s="2">
        <v>3</v>
      </c>
      <c r="I617" t="s">
        <v>4685</v>
      </c>
      <c r="J617" t="str">
        <f t="shared" si="3"/>
        <v>normalweight</v>
      </c>
    </row>
    <row r="618" spans="1:10" ht="15.75" customHeight="1">
      <c r="A618" t="s">
        <v>3445</v>
      </c>
      <c r="B618">
        <v>46.43</v>
      </c>
      <c r="C618">
        <v>6.72</v>
      </c>
      <c r="D618" s="6" t="s">
        <v>4684</v>
      </c>
      <c r="E618" t="s">
        <v>4685</v>
      </c>
      <c r="F618" t="s">
        <v>4685</v>
      </c>
      <c r="G618" t="s">
        <v>4685</v>
      </c>
      <c r="H618" s="2">
        <v>0</v>
      </c>
      <c r="I618" t="s">
        <v>4685</v>
      </c>
      <c r="J618" t="str">
        <f t="shared" si="3"/>
        <v>normalweight</v>
      </c>
    </row>
    <row r="619" spans="1:10" ht="15.75" customHeight="1">
      <c r="A619" t="s">
        <v>3443</v>
      </c>
      <c r="B619">
        <v>53.63</v>
      </c>
      <c r="C619">
        <v>5.47</v>
      </c>
      <c r="E619" t="s">
        <v>4686</v>
      </c>
      <c r="F619" t="s">
        <v>4685</v>
      </c>
      <c r="G619" t="s">
        <v>4685</v>
      </c>
      <c r="H619" s="2">
        <v>1</v>
      </c>
      <c r="I619" t="s">
        <v>4685</v>
      </c>
      <c r="J619" t="str">
        <f t="shared" si="3"/>
        <v>normalweight</v>
      </c>
    </row>
    <row r="620" spans="1:10" ht="15.75" customHeight="1">
      <c r="A620" t="s">
        <v>3441</v>
      </c>
      <c r="B620">
        <v>48.7</v>
      </c>
      <c r="C620">
        <v>4.71</v>
      </c>
      <c r="E620" t="s">
        <v>4685</v>
      </c>
      <c r="F620" t="s">
        <v>4685</v>
      </c>
      <c r="G620" t="s">
        <v>4685</v>
      </c>
      <c r="H620" s="2">
        <v>0</v>
      </c>
      <c r="I620" t="s">
        <v>4685</v>
      </c>
      <c r="J620" t="str">
        <f t="shared" si="3"/>
        <v>normalweight</v>
      </c>
    </row>
    <row r="621" spans="1:10" ht="15.75" customHeight="1">
      <c r="A621" t="s">
        <v>3439</v>
      </c>
      <c r="B621">
        <v>48.81</v>
      </c>
      <c r="C621">
        <v>5.49</v>
      </c>
      <c r="E621" t="s">
        <v>4685</v>
      </c>
      <c r="F621" t="s">
        <v>4685</v>
      </c>
      <c r="G621" t="s">
        <v>4685</v>
      </c>
      <c r="H621" s="2">
        <v>0</v>
      </c>
      <c r="I621" t="s">
        <v>4685</v>
      </c>
      <c r="J621" t="str">
        <f t="shared" si="3"/>
        <v>normalweight</v>
      </c>
    </row>
    <row r="622" spans="1:10" ht="15.75" customHeight="1">
      <c r="A622" t="s">
        <v>3437</v>
      </c>
      <c r="B622">
        <v>47.53</v>
      </c>
      <c r="C622">
        <v>4.72</v>
      </c>
      <c r="E622" t="s">
        <v>4685</v>
      </c>
      <c r="F622" t="s">
        <v>4685</v>
      </c>
      <c r="G622" t="s">
        <v>4685</v>
      </c>
      <c r="H622" s="2">
        <v>0</v>
      </c>
      <c r="I622" t="s">
        <v>4685</v>
      </c>
      <c r="J622" t="str">
        <f t="shared" si="3"/>
        <v>normalweight</v>
      </c>
    </row>
    <row r="623" spans="1:10" ht="15.75" customHeight="1">
      <c r="A623" t="s">
        <v>3435</v>
      </c>
      <c r="B623">
        <v>36.85</v>
      </c>
      <c r="C623">
        <v>6.7</v>
      </c>
      <c r="D623" s="6" t="s">
        <v>4684</v>
      </c>
      <c r="E623" t="s">
        <v>4685</v>
      </c>
      <c r="F623" t="s">
        <v>4685</v>
      </c>
      <c r="G623" t="s">
        <v>4685</v>
      </c>
      <c r="H623" s="2">
        <v>0</v>
      </c>
      <c r="I623" t="s">
        <v>4685</v>
      </c>
      <c r="J623" t="str">
        <f t="shared" si="3"/>
        <v>normalweight</v>
      </c>
    </row>
    <row r="624" spans="1:10" ht="15.75" customHeight="1">
      <c r="A624" t="s">
        <v>3433</v>
      </c>
      <c r="B624">
        <v>29.3</v>
      </c>
      <c r="C624">
        <v>5.5</v>
      </c>
      <c r="E624" t="s">
        <v>4685</v>
      </c>
      <c r="F624" t="s">
        <v>4685</v>
      </c>
      <c r="G624" t="s">
        <v>4685</v>
      </c>
      <c r="H624" s="2">
        <v>0</v>
      </c>
      <c r="I624" t="s">
        <v>4685</v>
      </c>
      <c r="J624" t="str">
        <f t="shared" si="3"/>
        <v>normalweight</v>
      </c>
    </row>
    <row r="625" spans="1:10" ht="15.75" customHeight="1">
      <c r="A625" t="s">
        <v>3431</v>
      </c>
      <c r="B625">
        <v>19.3</v>
      </c>
      <c r="C625">
        <v>4.46</v>
      </c>
      <c r="E625" t="s">
        <v>4685</v>
      </c>
      <c r="F625" t="s">
        <v>4685</v>
      </c>
      <c r="G625" t="s">
        <v>4685</v>
      </c>
      <c r="H625" s="2">
        <v>1</v>
      </c>
      <c r="I625" t="s">
        <v>4686</v>
      </c>
      <c r="J625" t="str">
        <f t="shared" si="3"/>
        <v>normalweight</v>
      </c>
    </row>
    <row r="626" spans="1:10" ht="15.75" customHeight="1">
      <c r="A626" t="s">
        <v>3429</v>
      </c>
      <c r="B626">
        <v>24.13</v>
      </c>
      <c r="C626">
        <v>5.29</v>
      </c>
      <c r="E626" t="s">
        <v>4686</v>
      </c>
      <c r="F626" t="s">
        <v>4685</v>
      </c>
      <c r="G626" t="s">
        <v>4688</v>
      </c>
      <c r="H626" s="2">
        <v>1</v>
      </c>
      <c r="I626" t="s">
        <v>4686</v>
      </c>
      <c r="J626" t="str">
        <f t="shared" si="3"/>
        <v>normalweight</v>
      </c>
    </row>
    <row r="627" spans="1:10" ht="15.75" customHeight="1">
      <c r="A627" t="s">
        <v>3427</v>
      </c>
      <c r="B627">
        <v>46.7</v>
      </c>
      <c r="C627">
        <v>10.99</v>
      </c>
      <c r="D627" s="6" t="s">
        <v>4684</v>
      </c>
      <c r="E627" t="s">
        <v>4685</v>
      </c>
      <c r="F627" t="s">
        <v>4685</v>
      </c>
      <c r="G627" t="s">
        <v>4685</v>
      </c>
      <c r="H627" s="2">
        <v>0</v>
      </c>
      <c r="I627" t="s">
        <v>4685</v>
      </c>
      <c r="J627" t="str">
        <f t="shared" si="3"/>
        <v>normalweight</v>
      </c>
    </row>
    <row r="628" spans="1:10" ht="15.75" customHeight="1">
      <c r="A628" t="s">
        <v>3425</v>
      </c>
      <c r="B628">
        <v>45.27</v>
      </c>
      <c r="C628">
        <v>5.2</v>
      </c>
      <c r="E628" t="s">
        <v>4686</v>
      </c>
      <c r="F628" t="s">
        <v>4685</v>
      </c>
      <c r="G628" t="s">
        <v>4685</v>
      </c>
      <c r="H628" s="2">
        <v>0</v>
      </c>
      <c r="I628" t="s">
        <v>4685</v>
      </c>
      <c r="J628" t="str">
        <f t="shared" si="3"/>
        <v>normalweight</v>
      </c>
    </row>
    <row r="629" spans="1:10" ht="15.75" customHeight="1">
      <c r="A629" t="s">
        <v>3423</v>
      </c>
      <c r="B629">
        <v>44.29</v>
      </c>
      <c r="C629">
        <v>9.66</v>
      </c>
      <c r="D629" s="6" t="s">
        <v>4684</v>
      </c>
      <c r="E629" t="s">
        <v>4685</v>
      </c>
      <c r="F629" t="s">
        <v>4685</v>
      </c>
      <c r="G629" t="s">
        <v>4685</v>
      </c>
      <c r="H629" s="2">
        <v>2</v>
      </c>
      <c r="I629" t="s">
        <v>4685</v>
      </c>
      <c r="J629" t="str">
        <f t="shared" si="3"/>
        <v>normalweight</v>
      </c>
    </row>
    <row r="630" spans="1:10" ht="15.75" customHeight="1">
      <c r="A630" t="s">
        <v>3421</v>
      </c>
      <c r="B630">
        <v>54.59</v>
      </c>
      <c r="C630">
        <v>4.22</v>
      </c>
      <c r="E630" t="s">
        <v>4686</v>
      </c>
      <c r="F630" t="s">
        <v>4685</v>
      </c>
      <c r="G630" t="s">
        <v>4685</v>
      </c>
      <c r="H630" s="2">
        <v>1</v>
      </c>
      <c r="I630" t="s">
        <v>4685</v>
      </c>
      <c r="J630" t="str">
        <f t="shared" si="3"/>
        <v>normalweight</v>
      </c>
    </row>
    <row r="631" spans="1:10" ht="15.75" customHeight="1">
      <c r="A631" t="s">
        <v>3419</v>
      </c>
      <c r="B631">
        <v>32.965000000000003</v>
      </c>
      <c r="C631">
        <v>11.78</v>
      </c>
      <c r="D631" s="6" t="s">
        <v>4684</v>
      </c>
      <c r="E631" t="s">
        <v>4685</v>
      </c>
      <c r="F631" t="s">
        <v>4685</v>
      </c>
      <c r="G631" t="s">
        <v>4685</v>
      </c>
      <c r="H631" s="2">
        <v>0</v>
      </c>
      <c r="I631" t="s">
        <v>4685</v>
      </c>
      <c r="J631" t="str">
        <f t="shared" si="3"/>
        <v>normalweight</v>
      </c>
    </row>
    <row r="632" spans="1:10" ht="15.75" customHeight="1">
      <c r="A632" t="s">
        <v>3417</v>
      </c>
      <c r="B632">
        <v>38.049999999999997</v>
      </c>
      <c r="C632">
        <v>9.6199999999999992</v>
      </c>
      <c r="D632" s="6" t="s">
        <v>4684</v>
      </c>
      <c r="E632" t="s">
        <v>4685</v>
      </c>
      <c r="F632" t="s">
        <v>4685</v>
      </c>
      <c r="G632" t="s">
        <v>4685</v>
      </c>
      <c r="H632" s="2">
        <v>0</v>
      </c>
      <c r="I632" t="s">
        <v>4685</v>
      </c>
      <c r="J632" t="str">
        <f t="shared" si="3"/>
        <v>normalweight</v>
      </c>
    </row>
    <row r="633" spans="1:10" ht="15.75" customHeight="1">
      <c r="A633" t="s">
        <v>3415</v>
      </c>
      <c r="B633">
        <v>46.14</v>
      </c>
      <c r="C633">
        <v>10.78</v>
      </c>
      <c r="D633" s="6" t="s">
        <v>4684</v>
      </c>
      <c r="E633" t="s">
        <v>4685</v>
      </c>
      <c r="F633" t="s">
        <v>4685</v>
      </c>
      <c r="G633" t="s">
        <v>4685</v>
      </c>
      <c r="H633" s="2">
        <v>0</v>
      </c>
      <c r="I633" t="s">
        <v>4685</v>
      </c>
      <c r="J633" t="str">
        <f t="shared" si="3"/>
        <v>normalweight</v>
      </c>
    </row>
    <row r="634" spans="1:10" ht="15.75" customHeight="1">
      <c r="A634" t="s">
        <v>3413</v>
      </c>
      <c r="B634">
        <v>41.325000000000003</v>
      </c>
      <c r="C634">
        <v>5.1100000000000003</v>
      </c>
      <c r="E634" t="s">
        <v>4686</v>
      </c>
      <c r="F634" t="s">
        <v>4685</v>
      </c>
      <c r="G634" t="s">
        <v>4685</v>
      </c>
      <c r="H634" s="2">
        <v>2</v>
      </c>
      <c r="I634" t="s">
        <v>4685</v>
      </c>
      <c r="J634" t="str">
        <f t="shared" si="3"/>
        <v>normalweight</v>
      </c>
    </row>
    <row r="635" spans="1:10" ht="15.75" customHeight="1">
      <c r="A635" t="s">
        <v>3411</v>
      </c>
      <c r="B635">
        <v>44.64</v>
      </c>
      <c r="C635">
        <v>7.18</v>
      </c>
      <c r="D635" s="6" t="s">
        <v>4684</v>
      </c>
      <c r="E635" t="s">
        <v>4685</v>
      </c>
      <c r="F635" t="s">
        <v>4685</v>
      </c>
      <c r="G635" t="s">
        <v>4685</v>
      </c>
      <c r="H635" s="2">
        <v>0</v>
      </c>
      <c r="I635" t="s">
        <v>4685</v>
      </c>
      <c r="J635" t="str">
        <f t="shared" si="3"/>
        <v>normalweight</v>
      </c>
    </row>
    <row r="636" spans="1:10" ht="15.75" customHeight="1">
      <c r="A636" t="s">
        <v>3409</v>
      </c>
      <c r="B636">
        <v>25.175000000000001</v>
      </c>
      <c r="C636">
        <v>4.96</v>
      </c>
      <c r="E636" t="s">
        <v>4685</v>
      </c>
      <c r="F636" t="s">
        <v>4686</v>
      </c>
      <c r="G636" t="s">
        <v>4685</v>
      </c>
      <c r="H636" s="2">
        <v>1</v>
      </c>
      <c r="I636" t="s">
        <v>4685</v>
      </c>
      <c r="J636" t="str">
        <f t="shared" si="3"/>
        <v>normalweight</v>
      </c>
    </row>
    <row r="637" spans="1:10" ht="15.75" customHeight="1">
      <c r="A637" t="s">
        <v>3407</v>
      </c>
      <c r="B637">
        <v>43.11</v>
      </c>
      <c r="C637">
        <v>4.67</v>
      </c>
      <c r="E637" t="s">
        <v>4686</v>
      </c>
      <c r="F637" t="s">
        <v>4685</v>
      </c>
      <c r="G637" t="s">
        <v>4685</v>
      </c>
      <c r="H637" s="2">
        <v>0</v>
      </c>
      <c r="I637" t="s">
        <v>4685</v>
      </c>
      <c r="J637" t="str">
        <f t="shared" si="3"/>
        <v>normalweight</v>
      </c>
    </row>
    <row r="638" spans="1:10" ht="15.75" customHeight="1">
      <c r="A638" t="s">
        <v>3405</v>
      </c>
      <c r="B638">
        <v>53.32</v>
      </c>
      <c r="C638">
        <v>5.0599999999999996</v>
      </c>
      <c r="E638" t="s">
        <v>4685</v>
      </c>
      <c r="F638" t="s">
        <v>4685</v>
      </c>
      <c r="G638" t="s">
        <v>4685</v>
      </c>
      <c r="H638" s="2">
        <v>0</v>
      </c>
      <c r="I638" t="s">
        <v>4685</v>
      </c>
      <c r="J638" t="str">
        <f t="shared" si="3"/>
        <v>normalweight</v>
      </c>
    </row>
    <row r="639" spans="1:10" ht="15.75" customHeight="1">
      <c r="A639" t="s">
        <v>3403</v>
      </c>
      <c r="B639">
        <v>38.04</v>
      </c>
      <c r="C639">
        <v>5.0199999999999996</v>
      </c>
      <c r="E639" t="s">
        <v>4686</v>
      </c>
      <c r="F639" t="s">
        <v>4685</v>
      </c>
      <c r="G639" t="s">
        <v>4685</v>
      </c>
      <c r="H639" s="2">
        <v>1</v>
      </c>
      <c r="I639" t="s">
        <v>4685</v>
      </c>
      <c r="J639" t="str">
        <f t="shared" si="3"/>
        <v>normalweight</v>
      </c>
    </row>
    <row r="640" spans="1:10" ht="15.75" customHeight="1">
      <c r="A640" t="s">
        <v>3401</v>
      </c>
      <c r="B640">
        <v>37.9</v>
      </c>
      <c r="C640">
        <v>7.76</v>
      </c>
      <c r="D640" s="6" t="s">
        <v>4684</v>
      </c>
      <c r="E640" t="s">
        <v>4685</v>
      </c>
      <c r="F640" t="s">
        <v>4685</v>
      </c>
      <c r="G640" t="s">
        <v>4685</v>
      </c>
      <c r="H640" s="2">
        <v>0</v>
      </c>
      <c r="I640" t="s">
        <v>4685</v>
      </c>
      <c r="J640" t="str">
        <f t="shared" si="3"/>
        <v>normalweight</v>
      </c>
    </row>
    <row r="641" spans="1:10" ht="15.75" customHeight="1">
      <c r="A641" t="s">
        <v>3399</v>
      </c>
      <c r="B641">
        <v>39.6</v>
      </c>
      <c r="C641">
        <v>9.32</v>
      </c>
      <c r="D641" s="6" t="s">
        <v>4684</v>
      </c>
      <c r="E641" t="s">
        <v>4685</v>
      </c>
      <c r="F641" t="s">
        <v>4685</v>
      </c>
      <c r="G641" t="s">
        <v>4685</v>
      </c>
      <c r="H641" s="2">
        <v>0</v>
      </c>
      <c r="I641" t="s">
        <v>4685</v>
      </c>
      <c r="J641" t="str">
        <f t="shared" si="3"/>
        <v>normalweight</v>
      </c>
    </row>
    <row r="642" spans="1:10" ht="15.75" customHeight="1">
      <c r="A642" t="s">
        <v>3397</v>
      </c>
      <c r="B642">
        <v>50.92</v>
      </c>
      <c r="C642">
        <v>5.31</v>
      </c>
      <c r="E642" t="s">
        <v>4686</v>
      </c>
      <c r="F642" t="s">
        <v>4685</v>
      </c>
      <c r="G642" t="s">
        <v>4685</v>
      </c>
      <c r="H642" s="2">
        <v>1</v>
      </c>
      <c r="I642" t="s">
        <v>4685</v>
      </c>
      <c r="J642" t="str">
        <f t="shared" si="3"/>
        <v>normalweight</v>
      </c>
    </row>
    <row r="643" spans="1:10" ht="15.75" customHeight="1">
      <c r="A643" t="s">
        <v>3395</v>
      </c>
      <c r="B643">
        <v>21.85</v>
      </c>
      <c r="C643">
        <v>5.56</v>
      </c>
      <c r="E643" t="s">
        <v>4686</v>
      </c>
      <c r="F643" t="s">
        <v>4685</v>
      </c>
      <c r="G643" t="s">
        <v>4685</v>
      </c>
      <c r="H643" s="2">
        <v>0</v>
      </c>
      <c r="I643" t="s">
        <v>4686</v>
      </c>
      <c r="J643" t="str">
        <f t="shared" si="3"/>
        <v>normalweight</v>
      </c>
    </row>
    <row r="644" spans="1:10" ht="15.75" customHeight="1">
      <c r="A644" t="s">
        <v>3393</v>
      </c>
      <c r="B644">
        <v>36.08</v>
      </c>
      <c r="C644">
        <v>7.11</v>
      </c>
      <c r="D644" s="6" t="s">
        <v>4684</v>
      </c>
      <c r="E644" t="s">
        <v>4686</v>
      </c>
      <c r="F644" t="s">
        <v>4685</v>
      </c>
      <c r="G644" t="s">
        <v>4688</v>
      </c>
      <c r="H644" s="2">
        <v>1</v>
      </c>
      <c r="I644" t="s">
        <v>4685</v>
      </c>
      <c r="J644" t="str">
        <f t="shared" si="3"/>
        <v>normalweight</v>
      </c>
    </row>
    <row r="645" spans="1:10" ht="15.75" customHeight="1">
      <c r="A645" t="s">
        <v>3391</v>
      </c>
      <c r="B645">
        <v>40.44</v>
      </c>
      <c r="C645">
        <v>5.13</v>
      </c>
      <c r="E645" t="s">
        <v>4686</v>
      </c>
      <c r="F645" t="s">
        <v>4685</v>
      </c>
      <c r="G645" t="s">
        <v>4688</v>
      </c>
      <c r="H645" s="2">
        <v>1</v>
      </c>
      <c r="I645" t="s">
        <v>4685</v>
      </c>
      <c r="J645" t="str">
        <f t="shared" si="3"/>
        <v>normalweight</v>
      </c>
    </row>
    <row r="646" spans="1:10" ht="15.75" customHeight="1">
      <c r="A646" t="s">
        <v>3389</v>
      </c>
      <c r="B646">
        <v>38.094999999999999</v>
      </c>
      <c r="C646">
        <v>10.199999999999999</v>
      </c>
      <c r="D646" s="6" t="s">
        <v>4684</v>
      </c>
      <c r="E646" t="s">
        <v>4685</v>
      </c>
      <c r="F646" t="s">
        <v>4685</v>
      </c>
      <c r="G646" t="s">
        <v>4685</v>
      </c>
      <c r="H646" s="2">
        <v>0</v>
      </c>
      <c r="I646" t="s">
        <v>4685</v>
      </c>
      <c r="J646" t="str">
        <f t="shared" si="3"/>
        <v>normalweight</v>
      </c>
    </row>
    <row r="647" spans="1:10" ht="15.75" customHeight="1">
      <c r="A647" t="s">
        <v>3387</v>
      </c>
      <c r="B647">
        <v>44.95</v>
      </c>
      <c r="C647">
        <v>10.4</v>
      </c>
      <c r="D647" s="6" t="s">
        <v>4684</v>
      </c>
      <c r="E647" t="s">
        <v>4685</v>
      </c>
      <c r="F647" t="s">
        <v>4685</v>
      </c>
      <c r="G647" t="s">
        <v>4685</v>
      </c>
      <c r="H647" s="2">
        <v>0</v>
      </c>
      <c r="I647" t="s">
        <v>4685</v>
      </c>
      <c r="J647" t="str">
        <f t="shared" si="3"/>
        <v>normalweight</v>
      </c>
    </row>
    <row r="648" spans="1:10" ht="15.75" customHeight="1">
      <c r="A648" t="s">
        <v>3385</v>
      </c>
      <c r="B648">
        <v>35.54</v>
      </c>
      <c r="C648">
        <v>10.67</v>
      </c>
      <c r="D648" s="6" t="s">
        <v>4684</v>
      </c>
      <c r="E648" t="s">
        <v>4685</v>
      </c>
      <c r="F648" t="s">
        <v>4685</v>
      </c>
      <c r="G648" t="s">
        <v>4685</v>
      </c>
      <c r="H648" s="2">
        <v>0</v>
      </c>
      <c r="I648" t="s">
        <v>4685</v>
      </c>
      <c r="J648" t="str">
        <f t="shared" si="3"/>
        <v>normalweight</v>
      </c>
    </row>
    <row r="649" spans="1:10" ht="15.75" customHeight="1">
      <c r="A649" t="s">
        <v>3383</v>
      </c>
      <c r="B649">
        <v>39.799999999999997</v>
      </c>
      <c r="C649">
        <v>4.6500000000000004</v>
      </c>
      <c r="E649" t="s">
        <v>4686</v>
      </c>
      <c r="F649" t="s">
        <v>4685</v>
      </c>
      <c r="G649" t="s">
        <v>4685</v>
      </c>
      <c r="H649" s="2">
        <v>2</v>
      </c>
      <c r="I649" t="s">
        <v>4685</v>
      </c>
      <c r="J649" t="str">
        <f t="shared" si="3"/>
        <v>normalweight</v>
      </c>
    </row>
    <row r="650" spans="1:10" ht="15.75" customHeight="1">
      <c r="A650" t="s">
        <v>3381</v>
      </c>
      <c r="B650">
        <v>33.659999999999997</v>
      </c>
      <c r="C650">
        <v>5.65</v>
      </c>
      <c r="E650" t="s">
        <v>4686</v>
      </c>
      <c r="F650" t="s">
        <v>4685</v>
      </c>
      <c r="G650" t="s">
        <v>4685</v>
      </c>
      <c r="H650" s="2">
        <v>2</v>
      </c>
      <c r="I650" t="s">
        <v>4685</v>
      </c>
      <c r="J650" t="str">
        <f t="shared" si="3"/>
        <v>normalweight</v>
      </c>
    </row>
    <row r="651" spans="1:10" ht="15.75" customHeight="1">
      <c r="A651" t="s">
        <v>3379</v>
      </c>
      <c r="B651">
        <v>35.5</v>
      </c>
      <c r="C651">
        <v>11.97</v>
      </c>
      <c r="D651" s="6" t="s">
        <v>4684</v>
      </c>
      <c r="E651" t="s">
        <v>4685</v>
      </c>
      <c r="F651" t="s">
        <v>4685</v>
      </c>
      <c r="G651" t="s">
        <v>4685</v>
      </c>
      <c r="H651" s="2">
        <v>0</v>
      </c>
      <c r="I651" t="s">
        <v>4685</v>
      </c>
      <c r="J651" t="str">
        <f t="shared" si="3"/>
        <v>normalweight</v>
      </c>
    </row>
    <row r="652" spans="1:10" ht="15.75" customHeight="1">
      <c r="A652" t="s">
        <v>3377</v>
      </c>
      <c r="B652">
        <v>41.63</v>
      </c>
      <c r="C652">
        <v>6.71</v>
      </c>
      <c r="E652" t="s">
        <v>4685</v>
      </c>
      <c r="F652" t="s">
        <v>4685</v>
      </c>
      <c r="G652" t="s">
        <v>4685</v>
      </c>
      <c r="H652" s="2">
        <v>0</v>
      </c>
      <c r="I652" t="s">
        <v>4685</v>
      </c>
      <c r="J652" t="str">
        <f t="shared" si="3"/>
        <v>normalweight</v>
      </c>
    </row>
    <row r="653" spans="1:10" ht="15.75" customHeight="1">
      <c r="A653" t="s">
        <v>3375</v>
      </c>
      <c r="B653">
        <v>46.49</v>
      </c>
      <c r="C653">
        <v>11.92</v>
      </c>
      <c r="D653" s="6" t="s">
        <v>4684</v>
      </c>
      <c r="E653" t="s">
        <v>4685</v>
      </c>
      <c r="F653" t="s">
        <v>4685</v>
      </c>
      <c r="G653" t="s">
        <v>4685</v>
      </c>
      <c r="H653" s="2">
        <v>0</v>
      </c>
      <c r="I653" t="s">
        <v>4685</v>
      </c>
      <c r="J653" t="str">
        <f t="shared" si="3"/>
        <v>normalweight</v>
      </c>
    </row>
    <row r="654" spans="1:10" ht="15.75" customHeight="1">
      <c r="A654" t="s">
        <v>3373</v>
      </c>
      <c r="B654">
        <v>43.29</v>
      </c>
      <c r="C654">
        <v>5.35</v>
      </c>
      <c r="E654" t="s">
        <v>4685</v>
      </c>
      <c r="F654" t="s">
        <v>4685</v>
      </c>
      <c r="G654" t="s">
        <v>4685</v>
      </c>
      <c r="H654" s="2">
        <v>2</v>
      </c>
      <c r="I654" t="s">
        <v>4685</v>
      </c>
      <c r="J654" t="str">
        <f t="shared" si="3"/>
        <v>normalweight</v>
      </c>
    </row>
    <row r="655" spans="1:10" ht="15.75" customHeight="1">
      <c r="A655" t="s">
        <v>3371</v>
      </c>
      <c r="B655">
        <v>43.08</v>
      </c>
      <c r="C655">
        <v>8.9600000000000009</v>
      </c>
      <c r="D655" s="6" t="s">
        <v>4684</v>
      </c>
      <c r="E655" t="s">
        <v>4686</v>
      </c>
      <c r="F655" t="s">
        <v>4685</v>
      </c>
      <c r="G655" t="s">
        <v>4685</v>
      </c>
      <c r="H655" s="2">
        <v>1</v>
      </c>
      <c r="I655" t="s">
        <v>4685</v>
      </c>
      <c r="J655" t="str">
        <f t="shared" si="3"/>
        <v>normalweight</v>
      </c>
    </row>
    <row r="656" spans="1:10" ht="15.75" customHeight="1">
      <c r="A656" t="s">
        <v>3369</v>
      </c>
      <c r="B656">
        <v>39.07</v>
      </c>
      <c r="C656">
        <v>11.93</v>
      </c>
      <c r="D656" s="6" t="s">
        <v>4684</v>
      </c>
      <c r="E656" t="s">
        <v>4685</v>
      </c>
      <c r="F656" t="s">
        <v>4685</v>
      </c>
      <c r="G656" t="s">
        <v>4685</v>
      </c>
      <c r="H656" s="2">
        <v>0</v>
      </c>
      <c r="I656" t="s">
        <v>4685</v>
      </c>
      <c r="J656" t="str">
        <f t="shared" si="3"/>
        <v>normalweight</v>
      </c>
    </row>
    <row r="657" spans="1:10" ht="15.75" customHeight="1">
      <c r="A657" t="s">
        <v>3367</v>
      </c>
      <c r="B657">
        <v>41.3</v>
      </c>
      <c r="C657">
        <v>9.59</v>
      </c>
      <c r="D657" s="6" t="s">
        <v>4684</v>
      </c>
      <c r="E657" t="s">
        <v>4685</v>
      </c>
      <c r="F657" t="s">
        <v>4685</v>
      </c>
      <c r="G657" t="s">
        <v>4685</v>
      </c>
      <c r="H657" s="2">
        <v>0</v>
      </c>
      <c r="I657" t="s">
        <v>4685</v>
      </c>
      <c r="J657" t="str">
        <f t="shared" si="3"/>
        <v>normalweight</v>
      </c>
    </row>
    <row r="658" spans="1:10" ht="15.75" customHeight="1">
      <c r="A658" t="s">
        <v>3365</v>
      </c>
      <c r="B658">
        <v>42.95</v>
      </c>
      <c r="C658">
        <v>11.88</v>
      </c>
      <c r="D658" s="6" t="s">
        <v>4684</v>
      </c>
      <c r="E658" t="s">
        <v>4686</v>
      </c>
      <c r="F658" t="s">
        <v>4685</v>
      </c>
      <c r="G658" t="s">
        <v>4685</v>
      </c>
      <c r="H658" s="2">
        <v>2</v>
      </c>
      <c r="I658" t="s">
        <v>4685</v>
      </c>
      <c r="J658" t="str">
        <f t="shared" si="3"/>
        <v>normalweight</v>
      </c>
    </row>
    <row r="659" spans="1:10" ht="15.75" customHeight="1">
      <c r="A659" t="s">
        <v>3363</v>
      </c>
      <c r="B659">
        <v>46.96</v>
      </c>
      <c r="C659">
        <v>4.6399999999999997</v>
      </c>
      <c r="E659" t="s">
        <v>4685</v>
      </c>
      <c r="F659" t="s">
        <v>4685</v>
      </c>
      <c r="G659" t="s">
        <v>4688</v>
      </c>
      <c r="H659" s="2">
        <v>1</v>
      </c>
      <c r="I659" t="s">
        <v>4685</v>
      </c>
      <c r="J659" t="str">
        <f t="shared" si="3"/>
        <v>normalweight</v>
      </c>
    </row>
    <row r="660" spans="1:10" ht="15.75" customHeight="1">
      <c r="A660" t="s">
        <v>3361</v>
      </c>
      <c r="B660">
        <v>30.495000000000001</v>
      </c>
      <c r="C660">
        <v>9.5299999999999994</v>
      </c>
      <c r="D660" s="6" t="s">
        <v>4684</v>
      </c>
      <c r="E660" t="s">
        <v>4685</v>
      </c>
      <c r="F660" t="s">
        <v>4685</v>
      </c>
      <c r="G660" t="s">
        <v>4685</v>
      </c>
      <c r="H660" s="2">
        <v>0</v>
      </c>
      <c r="I660" t="s">
        <v>4685</v>
      </c>
      <c r="J660" t="str">
        <f t="shared" si="3"/>
        <v>normalweight</v>
      </c>
    </row>
    <row r="661" spans="1:10" ht="15.75" customHeight="1">
      <c r="A661" t="s">
        <v>3359</v>
      </c>
      <c r="B661">
        <v>17.954999999999998</v>
      </c>
      <c r="C661">
        <v>5.29</v>
      </c>
      <c r="E661" t="s">
        <v>4686</v>
      </c>
      <c r="F661" t="s">
        <v>4685</v>
      </c>
      <c r="G661" t="s">
        <v>4685</v>
      </c>
      <c r="H661" s="2">
        <v>1</v>
      </c>
      <c r="I661" t="s">
        <v>4686</v>
      </c>
      <c r="J661" t="str">
        <f t="shared" si="3"/>
        <v>underweight</v>
      </c>
    </row>
    <row r="662" spans="1:10" ht="15.75" customHeight="1">
      <c r="A662" t="s">
        <v>3357</v>
      </c>
      <c r="B662">
        <v>25.6</v>
      </c>
      <c r="C662">
        <v>10.95</v>
      </c>
      <c r="D662" s="6" t="s">
        <v>4684</v>
      </c>
      <c r="E662" t="s">
        <v>4685</v>
      </c>
      <c r="F662" t="s">
        <v>4685</v>
      </c>
      <c r="G662" t="s">
        <v>4685</v>
      </c>
      <c r="H662" s="2">
        <v>3</v>
      </c>
      <c r="I662" t="s">
        <v>4685</v>
      </c>
      <c r="J662" t="str">
        <f t="shared" si="3"/>
        <v>normalweight</v>
      </c>
    </row>
    <row r="663" spans="1:10" ht="15.75" customHeight="1">
      <c r="A663" t="s">
        <v>3355</v>
      </c>
      <c r="B663">
        <v>34.21</v>
      </c>
      <c r="C663">
        <v>9.17</v>
      </c>
      <c r="D663" s="6" t="s">
        <v>4684</v>
      </c>
      <c r="E663" t="s">
        <v>4685</v>
      </c>
      <c r="F663" t="s">
        <v>4685</v>
      </c>
      <c r="G663" t="s">
        <v>4685</v>
      </c>
      <c r="H663" s="2">
        <v>0</v>
      </c>
      <c r="I663" t="s">
        <v>4685</v>
      </c>
      <c r="J663" t="str">
        <f t="shared" si="3"/>
        <v>normalweight</v>
      </c>
    </row>
    <row r="664" spans="1:10" ht="15.75" customHeight="1">
      <c r="A664" t="s">
        <v>3353</v>
      </c>
      <c r="B664">
        <v>39.74</v>
      </c>
      <c r="C664">
        <v>7.39</v>
      </c>
      <c r="D664" s="6" t="s">
        <v>4684</v>
      </c>
      <c r="E664" t="s">
        <v>4685</v>
      </c>
      <c r="F664" t="s">
        <v>4685</v>
      </c>
      <c r="G664" t="s">
        <v>4685</v>
      </c>
      <c r="H664" s="2">
        <v>0</v>
      </c>
      <c r="I664" t="s">
        <v>4685</v>
      </c>
      <c r="J664" t="str">
        <f t="shared" si="3"/>
        <v>normalweight</v>
      </c>
    </row>
    <row r="665" spans="1:10" ht="15.75" customHeight="1">
      <c r="A665" t="s">
        <v>3351</v>
      </c>
      <c r="B665">
        <v>49.53</v>
      </c>
      <c r="C665">
        <v>9.1300000000000008</v>
      </c>
      <c r="D665" s="6" t="s">
        <v>4684</v>
      </c>
      <c r="E665" t="s">
        <v>4686</v>
      </c>
      <c r="F665" t="s">
        <v>4685</v>
      </c>
      <c r="G665" t="s">
        <v>4685</v>
      </c>
      <c r="H665" s="2">
        <v>0</v>
      </c>
      <c r="I665" t="s">
        <v>4685</v>
      </c>
      <c r="J665" t="str">
        <f t="shared" si="3"/>
        <v>normalweight</v>
      </c>
    </row>
    <row r="666" spans="1:10" ht="15.75" customHeight="1">
      <c r="A666" t="s">
        <v>3349</v>
      </c>
      <c r="B666">
        <v>39.33</v>
      </c>
      <c r="C666">
        <v>10.4</v>
      </c>
      <c r="D666" s="6" t="s">
        <v>4684</v>
      </c>
      <c r="E666" t="s">
        <v>4685</v>
      </c>
      <c r="F666" t="s">
        <v>4685</v>
      </c>
      <c r="G666" t="s">
        <v>4685</v>
      </c>
      <c r="H666" s="2">
        <v>3</v>
      </c>
      <c r="I666" t="s">
        <v>4685</v>
      </c>
      <c r="J666" t="str">
        <f t="shared" si="3"/>
        <v>normalweight</v>
      </c>
    </row>
    <row r="667" spans="1:10" ht="15.75" customHeight="1">
      <c r="A667" t="s">
        <v>3347</v>
      </c>
      <c r="B667">
        <v>39.979999999999997</v>
      </c>
      <c r="C667">
        <v>9.4600000000000009</v>
      </c>
      <c r="D667" s="6" t="s">
        <v>4684</v>
      </c>
      <c r="E667" t="s">
        <v>4686</v>
      </c>
      <c r="F667" t="s">
        <v>4685</v>
      </c>
      <c r="G667" t="s">
        <v>4685</v>
      </c>
      <c r="H667" s="2">
        <v>2</v>
      </c>
      <c r="I667" t="s">
        <v>4685</v>
      </c>
      <c r="J667" t="str">
        <f t="shared" si="3"/>
        <v>normalweight</v>
      </c>
    </row>
    <row r="668" spans="1:10" ht="15.75" customHeight="1">
      <c r="A668" t="s">
        <v>3345</v>
      </c>
      <c r="B668">
        <v>46.51</v>
      </c>
      <c r="C668">
        <v>8.69</v>
      </c>
      <c r="D668" s="6" t="s">
        <v>4684</v>
      </c>
      <c r="E668" t="s">
        <v>4686</v>
      </c>
      <c r="F668" t="s">
        <v>4685</v>
      </c>
      <c r="G668" t="s">
        <v>4685</v>
      </c>
      <c r="H668" s="2">
        <v>0</v>
      </c>
      <c r="I668" t="s">
        <v>4685</v>
      </c>
      <c r="J668" t="str">
        <f t="shared" si="3"/>
        <v>normalweight</v>
      </c>
    </row>
    <row r="669" spans="1:10" ht="15.75" customHeight="1">
      <c r="A669" t="s">
        <v>3343</v>
      </c>
      <c r="B669">
        <v>43.58</v>
      </c>
      <c r="C669">
        <v>4.2300000000000004</v>
      </c>
      <c r="E669" t="s">
        <v>4685</v>
      </c>
      <c r="F669" t="s">
        <v>4685</v>
      </c>
      <c r="G669" t="s">
        <v>4688</v>
      </c>
      <c r="H669" s="2">
        <v>1</v>
      </c>
      <c r="I669" t="s">
        <v>4685</v>
      </c>
      <c r="J669" t="str">
        <f t="shared" si="3"/>
        <v>normalweight</v>
      </c>
    </row>
    <row r="670" spans="1:10" ht="15.75" customHeight="1">
      <c r="A670" t="s">
        <v>3341</v>
      </c>
      <c r="B670">
        <v>42.28</v>
      </c>
      <c r="C670">
        <v>9.16</v>
      </c>
      <c r="D670" s="6" t="s">
        <v>4684</v>
      </c>
      <c r="E670" t="s">
        <v>4686</v>
      </c>
      <c r="F670" t="s">
        <v>4685</v>
      </c>
      <c r="G670" t="s">
        <v>4685</v>
      </c>
      <c r="H670" s="2">
        <v>1</v>
      </c>
      <c r="I670" t="s">
        <v>4685</v>
      </c>
      <c r="J670" t="str">
        <f t="shared" si="3"/>
        <v>normalweight</v>
      </c>
    </row>
    <row r="671" spans="1:10" ht="15.75" customHeight="1">
      <c r="A671" t="s">
        <v>3339</v>
      </c>
      <c r="B671">
        <v>35.520000000000003</v>
      </c>
      <c r="C671">
        <v>8.26</v>
      </c>
      <c r="D671" s="6" t="s">
        <v>4684</v>
      </c>
      <c r="E671" t="s">
        <v>4685</v>
      </c>
      <c r="F671" t="s">
        <v>4685</v>
      </c>
      <c r="G671" t="s">
        <v>4685</v>
      </c>
      <c r="H671" s="2">
        <v>0</v>
      </c>
      <c r="I671" t="s">
        <v>4685</v>
      </c>
      <c r="J671" t="str">
        <f t="shared" si="3"/>
        <v>normalweight</v>
      </c>
    </row>
    <row r="672" spans="1:10" ht="15.75" customHeight="1">
      <c r="A672" t="s">
        <v>3337</v>
      </c>
      <c r="B672">
        <v>33.6</v>
      </c>
      <c r="C672">
        <v>11.25</v>
      </c>
      <c r="D672" s="6" t="s">
        <v>4684</v>
      </c>
      <c r="E672" t="s">
        <v>4685</v>
      </c>
      <c r="F672" t="s">
        <v>4685</v>
      </c>
      <c r="G672" t="s">
        <v>4685</v>
      </c>
      <c r="H672" s="2">
        <v>0</v>
      </c>
      <c r="I672" t="s">
        <v>4685</v>
      </c>
      <c r="J672" t="str">
        <f t="shared" si="3"/>
        <v>normalweight</v>
      </c>
    </row>
    <row r="673" spans="1:10" ht="15.75" customHeight="1">
      <c r="A673" t="s">
        <v>3335</v>
      </c>
      <c r="B673">
        <v>22.42</v>
      </c>
      <c r="C673">
        <v>6.74</v>
      </c>
      <c r="D673" s="6" t="s">
        <v>4684</v>
      </c>
      <c r="E673" t="s">
        <v>4685</v>
      </c>
      <c r="F673" t="s">
        <v>4685</v>
      </c>
      <c r="G673" t="s">
        <v>4685</v>
      </c>
      <c r="H673" s="2">
        <v>0</v>
      </c>
      <c r="I673" t="s">
        <v>4686</v>
      </c>
      <c r="J673" t="str">
        <f t="shared" si="3"/>
        <v>normalweight</v>
      </c>
    </row>
    <row r="674" spans="1:10" ht="15.75" customHeight="1">
      <c r="A674" t="s">
        <v>3333</v>
      </c>
      <c r="B674">
        <v>46.86</v>
      </c>
      <c r="C674">
        <v>4.87</v>
      </c>
      <c r="E674" t="s">
        <v>4685</v>
      </c>
      <c r="F674" t="s">
        <v>4685</v>
      </c>
      <c r="G674" t="s">
        <v>4685</v>
      </c>
      <c r="H674" s="2">
        <v>0</v>
      </c>
      <c r="I674" t="s">
        <v>4685</v>
      </c>
      <c r="J674" t="str">
        <f t="shared" si="3"/>
        <v>normalweight</v>
      </c>
    </row>
    <row r="675" spans="1:10" ht="15.75" customHeight="1">
      <c r="A675" t="s">
        <v>3331</v>
      </c>
      <c r="B675">
        <v>32.965000000000003</v>
      </c>
      <c r="C675">
        <v>6.68</v>
      </c>
      <c r="D675" s="6" t="s">
        <v>4684</v>
      </c>
      <c r="E675" t="s">
        <v>4685</v>
      </c>
      <c r="F675" t="s">
        <v>4685</v>
      </c>
      <c r="G675" t="s">
        <v>4685</v>
      </c>
      <c r="H675" s="2">
        <v>3</v>
      </c>
      <c r="I675" t="s">
        <v>4685</v>
      </c>
      <c r="J675" t="str">
        <f t="shared" si="3"/>
        <v>normalweight</v>
      </c>
    </row>
    <row r="676" spans="1:10" ht="15.75" customHeight="1">
      <c r="A676" t="s">
        <v>3329</v>
      </c>
      <c r="B676">
        <v>39.340000000000003</v>
      </c>
      <c r="C676">
        <v>5.0199999999999996</v>
      </c>
      <c r="E676" t="s">
        <v>4686</v>
      </c>
      <c r="F676" t="s">
        <v>4685</v>
      </c>
      <c r="G676" t="s">
        <v>4688</v>
      </c>
      <c r="H676" s="2">
        <v>1</v>
      </c>
      <c r="I676" t="s">
        <v>4685</v>
      </c>
      <c r="J676" t="str">
        <f t="shared" si="3"/>
        <v>normalweight</v>
      </c>
    </row>
    <row r="677" spans="1:10" ht="15.75" customHeight="1">
      <c r="A677" t="s">
        <v>3327</v>
      </c>
      <c r="B677">
        <v>47</v>
      </c>
      <c r="C677">
        <v>10.64</v>
      </c>
      <c r="D677" s="6" t="s">
        <v>4684</v>
      </c>
      <c r="E677" t="s">
        <v>4686</v>
      </c>
      <c r="F677" t="s">
        <v>4685</v>
      </c>
      <c r="G677" t="s">
        <v>4685</v>
      </c>
      <c r="H677" s="2">
        <v>0</v>
      </c>
      <c r="I677" t="s">
        <v>4685</v>
      </c>
      <c r="J677" t="str">
        <f t="shared" si="3"/>
        <v>normalweight</v>
      </c>
    </row>
    <row r="678" spans="1:10" ht="15.75" customHeight="1">
      <c r="A678" t="s">
        <v>3325</v>
      </c>
      <c r="B678">
        <v>36.71</v>
      </c>
      <c r="C678">
        <v>8.74</v>
      </c>
      <c r="D678" s="6" t="s">
        <v>4684</v>
      </c>
      <c r="E678" t="s">
        <v>4686</v>
      </c>
      <c r="F678" t="s">
        <v>4685</v>
      </c>
      <c r="G678" t="s">
        <v>4685</v>
      </c>
      <c r="H678" s="2">
        <v>0</v>
      </c>
      <c r="I678" t="s">
        <v>4685</v>
      </c>
      <c r="J678" t="str">
        <f t="shared" si="3"/>
        <v>normalweight</v>
      </c>
    </row>
    <row r="679" spans="1:10" ht="15.75" customHeight="1">
      <c r="A679" t="s">
        <v>3323</v>
      </c>
      <c r="B679">
        <v>53.48</v>
      </c>
      <c r="C679">
        <v>5.64</v>
      </c>
      <c r="E679" t="s">
        <v>4685</v>
      </c>
      <c r="F679" t="s">
        <v>4685</v>
      </c>
      <c r="G679" t="s">
        <v>4685</v>
      </c>
      <c r="H679" s="2">
        <v>0</v>
      </c>
      <c r="I679" t="s">
        <v>4685</v>
      </c>
      <c r="J679" t="str">
        <f t="shared" si="3"/>
        <v>normalweight</v>
      </c>
    </row>
    <row r="680" spans="1:10" ht="15.75" customHeight="1">
      <c r="A680" t="s">
        <v>3321</v>
      </c>
      <c r="B680">
        <v>35.5</v>
      </c>
      <c r="C680">
        <v>10.37</v>
      </c>
      <c r="D680" s="6" t="s">
        <v>4684</v>
      </c>
      <c r="E680" t="s">
        <v>4685</v>
      </c>
      <c r="F680" t="s">
        <v>4685</v>
      </c>
      <c r="G680" t="s">
        <v>4685</v>
      </c>
      <c r="H680" s="2">
        <v>0</v>
      </c>
      <c r="I680" t="s">
        <v>4685</v>
      </c>
      <c r="J680" t="str">
        <f t="shared" si="3"/>
        <v>normalweight</v>
      </c>
    </row>
    <row r="681" spans="1:10" ht="15.75" customHeight="1">
      <c r="A681" t="s">
        <v>3319</v>
      </c>
      <c r="B681">
        <v>36.979999999999997</v>
      </c>
      <c r="C681">
        <v>9.56</v>
      </c>
      <c r="D681" s="6" t="s">
        <v>4684</v>
      </c>
      <c r="E681" t="s">
        <v>4686</v>
      </c>
      <c r="F681" t="s">
        <v>4685</v>
      </c>
      <c r="G681" t="s">
        <v>4685</v>
      </c>
      <c r="H681" s="2">
        <v>0</v>
      </c>
      <c r="I681" t="s">
        <v>4685</v>
      </c>
      <c r="J681" t="str">
        <f t="shared" si="3"/>
        <v>normalweight</v>
      </c>
    </row>
    <row r="682" spans="1:10" ht="15.75" customHeight="1">
      <c r="A682" t="s">
        <v>3317</v>
      </c>
      <c r="B682">
        <v>32.395000000000003</v>
      </c>
      <c r="C682">
        <v>8.23</v>
      </c>
      <c r="D682" s="6" t="s">
        <v>4684</v>
      </c>
      <c r="E682" t="s">
        <v>4686</v>
      </c>
      <c r="F682" t="s">
        <v>4685</v>
      </c>
      <c r="G682" t="s">
        <v>4688</v>
      </c>
      <c r="H682" s="2">
        <v>1</v>
      </c>
      <c r="I682" t="s">
        <v>4685</v>
      </c>
      <c r="J682" t="str">
        <f t="shared" si="3"/>
        <v>normalweight</v>
      </c>
    </row>
    <row r="683" spans="1:10" ht="15.75" customHeight="1">
      <c r="A683" t="s">
        <v>3315</v>
      </c>
      <c r="B683">
        <v>32.729999999999997</v>
      </c>
      <c r="C683">
        <v>7.03</v>
      </c>
      <c r="D683" s="6" t="s">
        <v>4684</v>
      </c>
      <c r="E683" t="s">
        <v>4685</v>
      </c>
      <c r="F683" t="s">
        <v>4685</v>
      </c>
      <c r="G683" t="s">
        <v>4685</v>
      </c>
      <c r="H683" s="2">
        <v>0</v>
      </c>
      <c r="I683" t="s">
        <v>4685</v>
      </c>
      <c r="J683" t="str">
        <f t="shared" si="3"/>
        <v>normalweight</v>
      </c>
    </row>
    <row r="684" spans="1:10" ht="15.75" customHeight="1">
      <c r="A684" t="s">
        <v>3313</v>
      </c>
      <c r="B684">
        <v>20.52</v>
      </c>
      <c r="C684">
        <v>5.45</v>
      </c>
      <c r="E684" t="s">
        <v>4685</v>
      </c>
      <c r="F684" t="s">
        <v>4685</v>
      </c>
      <c r="G684" t="s">
        <v>4685</v>
      </c>
      <c r="H684" s="2">
        <v>1</v>
      </c>
      <c r="I684" t="s">
        <v>4686</v>
      </c>
      <c r="J684" t="str">
        <f t="shared" si="3"/>
        <v>normalweight</v>
      </c>
    </row>
    <row r="685" spans="1:10" ht="15.75" customHeight="1">
      <c r="A685" t="s">
        <v>3311</v>
      </c>
      <c r="B685">
        <v>51.72</v>
      </c>
      <c r="C685">
        <v>5.76</v>
      </c>
      <c r="E685" t="s">
        <v>4685</v>
      </c>
      <c r="F685" t="s">
        <v>4685</v>
      </c>
      <c r="G685" t="s">
        <v>4685</v>
      </c>
      <c r="H685" s="2">
        <v>0</v>
      </c>
      <c r="I685" t="s">
        <v>4685</v>
      </c>
      <c r="J685" t="str">
        <f t="shared" si="3"/>
        <v>normalweight</v>
      </c>
    </row>
    <row r="686" spans="1:10" ht="15.75" customHeight="1">
      <c r="A686" t="s">
        <v>3309</v>
      </c>
      <c r="B686">
        <v>50.2</v>
      </c>
      <c r="C686">
        <v>5.4</v>
      </c>
      <c r="E686" t="s">
        <v>4685</v>
      </c>
      <c r="F686" t="s">
        <v>4685</v>
      </c>
      <c r="G686" t="s">
        <v>4685</v>
      </c>
      <c r="H686" s="2">
        <v>0</v>
      </c>
      <c r="I686" t="s">
        <v>4685</v>
      </c>
      <c r="J686" t="str">
        <f t="shared" si="3"/>
        <v>normalweight</v>
      </c>
    </row>
    <row r="687" spans="1:10" ht="15.75" customHeight="1">
      <c r="A687" t="s">
        <v>3307</v>
      </c>
      <c r="B687">
        <v>25.52</v>
      </c>
      <c r="C687">
        <v>6.35</v>
      </c>
      <c r="E687" t="s">
        <v>4685</v>
      </c>
      <c r="F687" t="s">
        <v>4685</v>
      </c>
      <c r="G687" t="s">
        <v>4688</v>
      </c>
      <c r="H687" s="2">
        <v>1</v>
      </c>
      <c r="I687" t="s">
        <v>4685</v>
      </c>
      <c r="J687" t="str">
        <f t="shared" si="3"/>
        <v>normalweight</v>
      </c>
    </row>
    <row r="688" spans="1:10" ht="15.75" customHeight="1">
      <c r="A688" t="s">
        <v>3305</v>
      </c>
      <c r="B688">
        <v>35.200000000000003</v>
      </c>
      <c r="C688">
        <v>6.26</v>
      </c>
      <c r="E688" t="s">
        <v>4686</v>
      </c>
      <c r="F688" t="s">
        <v>4685</v>
      </c>
      <c r="G688" t="s">
        <v>4685</v>
      </c>
      <c r="H688" s="2">
        <v>2</v>
      </c>
      <c r="I688" t="s">
        <v>4685</v>
      </c>
      <c r="J688" t="str">
        <f t="shared" si="3"/>
        <v>normalweight</v>
      </c>
    </row>
    <row r="689" spans="1:10" ht="15.75" customHeight="1">
      <c r="A689" t="s">
        <v>3303</v>
      </c>
      <c r="B689">
        <v>41.26</v>
      </c>
      <c r="C689">
        <v>5.97</v>
      </c>
      <c r="E689" t="s">
        <v>4686</v>
      </c>
      <c r="F689" t="s">
        <v>4685</v>
      </c>
      <c r="G689" t="s">
        <v>4685</v>
      </c>
      <c r="H689" s="2">
        <v>0</v>
      </c>
      <c r="I689" t="s">
        <v>4685</v>
      </c>
      <c r="J689" t="str">
        <f t="shared" si="3"/>
        <v>normalweight</v>
      </c>
    </row>
    <row r="690" spans="1:10" ht="15.75" customHeight="1">
      <c r="A690" t="s">
        <v>3301</v>
      </c>
      <c r="B690">
        <v>17.195</v>
      </c>
      <c r="C690">
        <v>5.29</v>
      </c>
      <c r="E690" t="s">
        <v>4686</v>
      </c>
      <c r="F690" t="s">
        <v>4685</v>
      </c>
      <c r="G690" t="s">
        <v>4685</v>
      </c>
      <c r="H690" s="2">
        <v>0</v>
      </c>
      <c r="I690" t="s">
        <v>4686</v>
      </c>
      <c r="J690" t="str">
        <f t="shared" si="3"/>
        <v>underweight</v>
      </c>
    </row>
    <row r="691" spans="1:10" ht="15.75" customHeight="1">
      <c r="A691" t="s">
        <v>3299</v>
      </c>
      <c r="B691">
        <v>23.085000000000001</v>
      </c>
      <c r="C691">
        <v>4.2699999999999996</v>
      </c>
      <c r="E691" t="s">
        <v>4686</v>
      </c>
      <c r="F691" t="s">
        <v>4685</v>
      </c>
      <c r="G691" t="s">
        <v>4685</v>
      </c>
      <c r="H691" s="2">
        <v>2</v>
      </c>
      <c r="I691" t="s">
        <v>4685</v>
      </c>
      <c r="J691" t="str">
        <f t="shared" si="3"/>
        <v>normalweight</v>
      </c>
    </row>
    <row r="692" spans="1:10" ht="15.75" customHeight="1">
      <c r="A692" t="s">
        <v>3297</v>
      </c>
      <c r="B692">
        <v>21.66</v>
      </c>
      <c r="C692">
        <v>5.2</v>
      </c>
      <c r="E692" t="s">
        <v>4686</v>
      </c>
      <c r="F692" t="s">
        <v>4685</v>
      </c>
      <c r="G692" t="s">
        <v>4685</v>
      </c>
      <c r="H692" s="2">
        <v>2</v>
      </c>
      <c r="I692" t="s">
        <v>4685</v>
      </c>
      <c r="J692" t="str">
        <f t="shared" si="3"/>
        <v>normalweight</v>
      </c>
    </row>
    <row r="693" spans="1:10" ht="15.75" customHeight="1">
      <c r="A693" t="s">
        <v>3295</v>
      </c>
      <c r="B693">
        <v>36.47</v>
      </c>
      <c r="C693">
        <v>8.23</v>
      </c>
      <c r="D693" s="6" t="s">
        <v>4684</v>
      </c>
      <c r="E693" t="s">
        <v>4686</v>
      </c>
      <c r="F693" t="s">
        <v>4685</v>
      </c>
      <c r="G693" t="s">
        <v>4685</v>
      </c>
      <c r="H693" s="2">
        <v>0</v>
      </c>
      <c r="I693" t="s">
        <v>4685</v>
      </c>
      <c r="J693" t="str">
        <f t="shared" si="3"/>
        <v>normalweight</v>
      </c>
    </row>
    <row r="694" spans="1:10" ht="15.75" customHeight="1">
      <c r="A694" t="s">
        <v>3293</v>
      </c>
      <c r="B694">
        <v>36.08</v>
      </c>
      <c r="C694">
        <v>10.33</v>
      </c>
      <c r="D694" s="6" t="s">
        <v>4684</v>
      </c>
      <c r="E694" t="s">
        <v>4686</v>
      </c>
      <c r="F694" t="s">
        <v>4685</v>
      </c>
      <c r="G694" t="s">
        <v>4685</v>
      </c>
      <c r="H694" s="2">
        <v>0</v>
      </c>
      <c r="I694" t="s">
        <v>4685</v>
      </c>
      <c r="J694" t="str">
        <f t="shared" si="3"/>
        <v>normalweight</v>
      </c>
    </row>
    <row r="695" spans="1:10" ht="15.75" customHeight="1">
      <c r="A695" t="s">
        <v>3291</v>
      </c>
      <c r="B695">
        <v>23.18</v>
      </c>
      <c r="C695">
        <v>6.13</v>
      </c>
      <c r="E695" t="s">
        <v>4685</v>
      </c>
      <c r="F695" t="s">
        <v>4685</v>
      </c>
      <c r="G695" t="s">
        <v>4685</v>
      </c>
      <c r="H695" s="2">
        <v>0</v>
      </c>
      <c r="I695" t="s">
        <v>4685</v>
      </c>
      <c r="J695" t="str">
        <f t="shared" si="3"/>
        <v>normalweight</v>
      </c>
    </row>
    <row r="696" spans="1:10" ht="15.75" customHeight="1">
      <c r="A696" t="s">
        <v>3289</v>
      </c>
      <c r="B696">
        <v>39.159999999999997</v>
      </c>
      <c r="C696">
        <v>8.08</v>
      </c>
      <c r="D696" s="6" t="s">
        <v>4684</v>
      </c>
      <c r="E696" t="s">
        <v>4685</v>
      </c>
      <c r="F696" t="s">
        <v>4685</v>
      </c>
      <c r="G696" t="s">
        <v>4685</v>
      </c>
      <c r="H696" s="2">
        <v>3</v>
      </c>
      <c r="I696" t="s">
        <v>4685</v>
      </c>
      <c r="J696" t="str">
        <f t="shared" si="3"/>
        <v>normalweight</v>
      </c>
    </row>
    <row r="697" spans="1:10" ht="15.75" customHeight="1">
      <c r="A697" t="s">
        <v>3287</v>
      </c>
      <c r="B697">
        <v>38.19</v>
      </c>
      <c r="C697">
        <v>10.49</v>
      </c>
      <c r="D697" s="6" t="s">
        <v>4684</v>
      </c>
      <c r="E697" t="s">
        <v>4685</v>
      </c>
      <c r="F697" t="s">
        <v>4685</v>
      </c>
      <c r="G697" t="s">
        <v>4685</v>
      </c>
      <c r="H697" s="2">
        <v>3</v>
      </c>
      <c r="I697" t="s">
        <v>4685</v>
      </c>
      <c r="J697" t="str">
        <f t="shared" si="3"/>
        <v>normalweight</v>
      </c>
    </row>
    <row r="698" spans="1:10" ht="15.75" customHeight="1">
      <c r="A698" t="s">
        <v>3285</v>
      </c>
      <c r="B698">
        <v>26.41</v>
      </c>
      <c r="C698">
        <v>8.11</v>
      </c>
      <c r="D698" s="6" t="s">
        <v>4684</v>
      </c>
      <c r="E698" t="s">
        <v>4685</v>
      </c>
      <c r="F698" t="s">
        <v>4685</v>
      </c>
      <c r="G698" t="s">
        <v>4685</v>
      </c>
      <c r="H698" s="2">
        <v>3</v>
      </c>
      <c r="I698" t="s">
        <v>4685</v>
      </c>
      <c r="J698" t="str">
        <f t="shared" si="3"/>
        <v>normalweight</v>
      </c>
    </row>
    <row r="699" spans="1:10" ht="15.75" customHeight="1">
      <c r="A699" t="s">
        <v>3283</v>
      </c>
      <c r="B699">
        <v>28.785</v>
      </c>
      <c r="C699">
        <v>6.6</v>
      </c>
      <c r="E699" t="s">
        <v>4685</v>
      </c>
      <c r="F699" t="s">
        <v>4685</v>
      </c>
      <c r="G699" t="s">
        <v>4685</v>
      </c>
      <c r="H699" s="2">
        <v>0</v>
      </c>
      <c r="I699" t="s">
        <v>4685</v>
      </c>
      <c r="J699" t="str">
        <f t="shared" si="3"/>
        <v>normalweight</v>
      </c>
    </row>
    <row r="700" spans="1:10" ht="15.75" customHeight="1">
      <c r="A700" t="s">
        <v>3281</v>
      </c>
      <c r="B700">
        <v>26.695</v>
      </c>
      <c r="C700">
        <v>10.14</v>
      </c>
      <c r="D700" s="6" t="s">
        <v>4684</v>
      </c>
      <c r="E700" t="s">
        <v>4686</v>
      </c>
      <c r="F700" t="s">
        <v>4685</v>
      </c>
      <c r="G700" t="s">
        <v>4688</v>
      </c>
      <c r="H700" s="2">
        <v>1</v>
      </c>
      <c r="I700" t="s">
        <v>4685</v>
      </c>
      <c r="J700" t="str">
        <f t="shared" si="3"/>
        <v>normalweight</v>
      </c>
    </row>
    <row r="701" spans="1:10" ht="15.75" customHeight="1">
      <c r="A701" t="s">
        <v>3279</v>
      </c>
      <c r="B701">
        <v>32.799999999999997</v>
      </c>
      <c r="C701">
        <v>6.06</v>
      </c>
      <c r="E701" t="s">
        <v>4686</v>
      </c>
      <c r="F701" t="s">
        <v>4685</v>
      </c>
      <c r="G701" t="s">
        <v>4685</v>
      </c>
      <c r="H701" s="2">
        <v>1</v>
      </c>
      <c r="I701" t="s">
        <v>4685</v>
      </c>
      <c r="J701" t="str">
        <f t="shared" si="3"/>
        <v>normalweight</v>
      </c>
    </row>
    <row r="702" spans="1:10" ht="15.75" customHeight="1">
      <c r="A702" t="s">
        <v>3277</v>
      </c>
      <c r="B702">
        <v>35.869999999999997</v>
      </c>
      <c r="C702">
        <v>9.91</v>
      </c>
      <c r="D702" s="6" t="s">
        <v>4684</v>
      </c>
      <c r="E702" t="s">
        <v>4686</v>
      </c>
      <c r="F702" t="s">
        <v>4685</v>
      </c>
      <c r="G702" t="s">
        <v>4685</v>
      </c>
      <c r="H702" s="2">
        <v>0</v>
      </c>
      <c r="I702" t="s">
        <v>4685</v>
      </c>
      <c r="J702" t="str">
        <f t="shared" si="3"/>
        <v>normalweight</v>
      </c>
    </row>
    <row r="703" spans="1:10" ht="15.75" customHeight="1">
      <c r="A703" t="s">
        <v>3275</v>
      </c>
      <c r="B703">
        <v>21.66</v>
      </c>
      <c r="C703">
        <v>4.1399999999999997</v>
      </c>
      <c r="E703" t="s">
        <v>4686</v>
      </c>
      <c r="F703" t="s">
        <v>4685</v>
      </c>
      <c r="G703" t="s">
        <v>4685</v>
      </c>
      <c r="H703" s="2">
        <v>2</v>
      </c>
      <c r="I703" t="s">
        <v>4685</v>
      </c>
      <c r="J703" t="str">
        <f t="shared" si="3"/>
        <v>normalweight</v>
      </c>
    </row>
    <row r="704" spans="1:10" ht="15.75" customHeight="1">
      <c r="A704" t="s">
        <v>3273</v>
      </c>
      <c r="B704">
        <v>37.72</v>
      </c>
      <c r="C704">
        <v>4.38</v>
      </c>
      <c r="E704" t="s">
        <v>4686</v>
      </c>
      <c r="F704" t="s">
        <v>4685</v>
      </c>
      <c r="G704" t="s">
        <v>4688</v>
      </c>
      <c r="H704" s="2">
        <v>1</v>
      </c>
      <c r="I704" t="s">
        <v>4685</v>
      </c>
      <c r="J704" t="str">
        <f t="shared" si="3"/>
        <v>normalweight</v>
      </c>
    </row>
    <row r="705" spans="1:10" ht="15.75" customHeight="1">
      <c r="A705" t="s">
        <v>3271</v>
      </c>
      <c r="B705">
        <v>39.700000000000003</v>
      </c>
      <c r="C705">
        <v>9.83</v>
      </c>
      <c r="D705" s="6" t="s">
        <v>4684</v>
      </c>
      <c r="E705" t="s">
        <v>4685</v>
      </c>
      <c r="F705" t="s">
        <v>4685</v>
      </c>
      <c r="G705" t="s">
        <v>4685</v>
      </c>
      <c r="H705" s="2">
        <v>3</v>
      </c>
      <c r="I705" t="s">
        <v>4685</v>
      </c>
      <c r="J705" t="str">
        <f t="shared" si="3"/>
        <v>normalweight</v>
      </c>
    </row>
    <row r="706" spans="1:10" ht="15.75" customHeight="1">
      <c r="A706" t="s">
        <v>3269</v>
      </c>
      <c r="B706">
        <v>35.97</v>
      </c>
      <c r="C706">
        <v>11.08</v>
      </c>
      <c r="D706" s="6" t="s">
        <v>4684</v>
      </c>
      <c r="E706" t="s">
        <v>4685</v>
      </c>
      <c r="F706" t="s">
        <v>4685</v>
      </c>
      <c r="G706" t="s">
        <v>4685</v>
      </c>
      <c r="H706" s="2">
        <v>3</v>
      </c>
      <c r="I706" t="s">
        <v>4685</v>
      </c>
      <c r="J706" t="str">
        <f t="shared" si="3"/>
        <v>normalweight</v>
      </c>
    </row>
    <row r="707" spans="1:10" ht="15.75" customHeight="1">
      <c r="A707" t="s">
        <v>3267</v>
      </c>
      <c r="B707">
        <v>37.85</v>
      </c>
      <c r="C707">
        <v>11.01</v>
      </c>
      <c r="D707" s="6" t="s">
        <v>4684</v>
      </c>
      <c r="E707" t="s">
        <v>4685</v>
      </c>
      <c r="F707" t="s">
        <v>4685</v>
      </c>
      <c r="G707" t="s">
        <v>4685</v>
      </c>
      <c r="H707" s="2">
        <v>0</v>
      </c>
      <c r="I707" t="s">
        <v>4685</v>
      </c>
      <c r="J707" t="str">
        <f t="shared" si="3"/>
        <v>normalweight</v>
      </c>
    </row>
    <row r="708" spans="1:10" ht="15.75" customHeight="1">
      <c r="A708" t="s">
        <v>3265</v>
      </c>
      <c r="B708">
        <v>21.66</v>
      </c>
      <c r="C708">
        <v>4.37</v>
      </c>
      <c r="E708" t="s">
        <v>4685</v>
      </c>
      <c r="F708" t="s">
        <v>4686</v>
      </c>
      <c r="G708" t="s">
        <v>4685</v>
      </c>
      <c r="H708" s="2">
        <v>1</v>
      </c>
      <c r="I708" t="s">
        <v>4686</v>
      </c>
      <c r="J708" t="str">
        <f t="shared" si="3"/>
        <v>normalweight</v>
      </c>
    </row>
    <row r="709" spans="1:10" ht="15.75" customHeight="1">
      <c r="A709" t="s">
        <v>3263</v>
      </c>
      <c r="B709">
        <v>39.369999999999997</v>
      </c>
      <c r="C709">
        <v>5.91</v>
      </c>
      <c r="E709" t="s">
        <v>4685</v>
      </c>
      <c r="F709" t="s">
        <v>4685</v>
      </c>
      <c r="G709" t="s">
        <v>4685</v>
      </c>
      <c r="H709" s="2">
        <v>2</v>
      </c>
      <c r="I709" t="s">
        <v>4685</v>
      </c>
      <c r="J709" t="str">
        <f t="shared" si="3"/>
        <v>normalweight</v>
      </c>
    </row>
    <row r="710" spans="1:10" ht="15.75" customHeight="1">
      <c r="A710" t="s">
        <v>3261</v>
      </c>
      <c r="B710">
        <v>40.880000000000003</v>
      </c>
      <c r="C710">
        <v>7.65</v>
      </c>
      <c r="D710" s="6" t="s">
        <v>4684</v>
      </c>
      <c r="E710" t="s">
        <v>4685</v>
      </c>
      <c r="F710" t="s">
        <v>4685</v>
      </c>
      <c r="G710" t="s">
        <v>4685</v>
      </c>
      <c r="H710" s="2">
        <v>0</v>
      </c>
      <c r="I710" t="s">
        <v>4685</v>
      </c>
      <c r="J710" t="str">
        <f t="shared" si="3"/>
        <v>normalweight</v>
      </c>
    </row>
    <row r="711" spans="1:10" ht="15.75" customHeight="1">
      <c r="A711" t="s">
        <v>3259</v>
      </c>
      <c r="B711">
        <v>26.22</v>
      </c>
      <c r="C711">
        <v>5.37</v>
      </c>
      <c r="E711" t="s">
        <v>4686</v>
      </c>
      <c r="F711" t="s">
        <v>4685</v>
      </c>
      <c r="G711" t="s">
        <v>4685</v>
      </c>
      <c r="H711" s="2">
        <v>2</v>
      </c>
      <c r="I711" t="s">
        <v>4685</v>
      </c>
      <c r="J711" t="str">
        <f t="shared" si="3"/>
        <v>normalweight</v>
      </c>
    </row>
    <row r="712" spans="1:10" ht="15.75" customHeight="1">
      <c r="A712" t="s">
        <v>3257</v>
      </c>
      <c r="B712">
        <v>25.08</v>
      </c>
      <c r="C712">
        <v>5.75</v>
      </c>
      <c r="E712" t="s">
        <v>4686</v>
      </c>
      <c r="F712" t="s">
        <v>4685</v>
      </c>
      <c r="G712" t="s">
        <v>4685</v>
      </c>
      <c r="H712" s="2">
        <v>2</v>
      </c>
      <c r="I712" t="s">
        <v>4685</v>
      </c>
      <c r="J712" t="str">
        <f t="shared" si="3"/>
        <v>normalweight</v>
      </c>
    </row>
    <row r="713" spans="1:10" ht="15.75" customHeight="1">
      <c r="A713" t="s">
        <v>3255</v>
      </c>
      <c r="B713">
        <v>39.1</v>
      </c>
      <c r="C713">
        <v>6.79</v>
      </c>
      <c r="D713" s="6" t="s">
        <v>4684</v>
      </c>
      <c r="E713" t="s">
        <v>4686</v>
      </c>
      <c r="F713" t="s">
        <v>4685</v>
      </c>
      <c r="G713" t="s">
        <v>4685</v>
      </c>
      <c r="H713" s="2">
        <v>2</v>
      </c>
      <c r="I713" t="s">
        <v>4685</v>
      </c>
      <c r="J713" t="str">
        <f t="shared" si="3"/>
        <v>normalweight</v>
      </c>
    </row>
    <row r="714" spans="1:10" ht="15.75" customHeight="1">
      <c r="A714" t="s">
        <v>3253</v>
      </c>
      <c r="B714">
        <v>37.905000000000001</v>
      </c>
      <c r="C714">
        <v>7.03</v>
      </c>
      <c r="D714" s="6" t="s">
        <v>4684</v>
      </c>
      <c r="E714" t="s">
        <v>4685</v>
      </c>
      <c r="F714" t="s">
        <v>4685</v>
      </c>
      <c r="G714" t="s">
        <v>4685</v>
      </c>
      <c r="H714" s="2">
        <v>3</v>
      </c>
      <c r="I714" t="s">
        <v>4685</v>
      </c>
      <c r="J714" t="str">
        <f t="shared" si="3"/>
        <v>normalweight</v>
      </c>
    </row>
    <row r="715" spans="1:10" ht="15.75" customHeight="1">
      <c r="A715" t="s">
        <v>3251</v>
      </c>
      <c r="B715">
        <v>43.35</v>
      </c>
      <c r="C715">
        <v>5.41</v>
      </c>
      <c r="E715" t="s">
        <v>4686</v>
      </c>
      <c r="F715" t="s">
        <v>4685</v>
      </c>
      <c r="G715" t="s">
        <v>4688</v>
      </c>
      <c r="H715" s="2">
        <v>1</v>
      </c>
      <c r="I715" t="s">
        <v>4685</v>
      </c>
      <c r="J715" t="str">
        <f t="shared" si="3"/>
        <v>normalweight</v>
      </c>
    </row>
    <row r="716" spans="1:10" ht="15.75" customHeight="1">
      <c r="A716" t="s">
        <v>3249</v>
      </c>
      <c r="B716">
        <v>36.15</v>
      </c>
      <c r="C716">
        <v>8.0500000000000007</v>
      </c>
      <c r="D716" s="6" t="s">
        <v>4684</v>
      </c>
      <c r="E716" t="s">
        <v>4685</v>
      </c>
      <c r="F716" t="s">
        <v>4685</v>
      </c>
      <c r="G716" t="s">
        <v>4685</v>
      </c>
      <c r="H716" s="2">
        <v>0</v>
      </c>
      <c r="I716" t="s">
        <v>4685</v>
      </c>
      <c r="J716" t="str">
        <f t="shared" si="3"/>
        <v>normalweight</v>
      </c>
    </row>
    <row r="717" spans="1:10" ht="15.75" customHeight="1">
      <c r="A717" t="s">
        <v>3247</v>
      </c>
      <c r="B717">
        <v>44.98</v>
      </c>
      <c r="C717">
        <v>5.94</v>
      </c>
      <c r="E717" t="s">
        <v>4685</v>
      </c>
      <c r="F717" t="s">
        <v>4685</v>
      </c>
      <c r="G717" t="s">
        <v>4685</v>
      </c>
      <c r="H717" s="2">
        <v>1</v>
      </c>
      <c r="I717" t="s">
        <v>4685</v>
      </c>
      <c r="J717" t="str">
        <f t="shared" si="3"/>
        <v>normalweight</v>
      </c>
    </row>
    <row r="718" spans="1:10" ht="15.75" customHeight="1">
      <c r="A718" t="s">
        <v>3245</v>
      </c>
      <c r="B718">
        <v>38.28</v>
      </c>
      <c r="C718">
        <v>5.51</v>
      </c>
      <c r="E718" t="s">
        <v>4685</v>
      </c>
      <c r="F718" t="s">
        <v>4686</v>
      </c>
      <c r="G718" t="s">
        <v>4685</v>
      </c>
      <c r="H718" s="2">
        <v>1</v>
      </c>
      <c r="I718" t="s">
        <v>4685</v>
      </c>
      <c r="J718" t="str">
        <f t="shared" si="3"/>
        <v>normalweight</v>
      </c>
    </row>
    <row r="719" spans="1:10" ht="15.75" customHeight="1">
      <c r="A719" t="s">
        <v>3243</v>
      </c>
      <c r="B719">
        <v>32.299999999999997</v>
      </c>
      <c r="C719">
        <v>6.55</v>
      </c>
      <c r="D719" s="6" t="s">
        <v>4684</v>
      </c>
      <c r="E719" t="s">
        <v>4686</v>
      </c>
      <c r="F719" t="s">
        <v>4685</v>
      </c>
      <c r="G719" t="s">
        <v>4685</v>
      </c>
      <c r="H719" s="2">
        <v>2</v>
      </c>
      <c r="I719" t="s">
        <v>4685</v>
      </c>
      <c r="J719" t="str">
        <f t="shared" si="3"/>
        <v>normalweight</v>
      </c>
    </row>
    <row r="720" spans="1:10" ht="15.75" customHeight="1">
      <c r="A720" t="s">
        <v>3241</v>
      </c>
      <c r="B720">
        <v>39.51</v>
      </c>
      <c r="C720">
        <v>5.79</v>
      </c>
      <c r="E720" t="s">
        <v>4686</v>
      </c>
      <c r="F720" t="s">
        <v>4685</v>
      </c>
      <c r="G720" t="s">
        <v>4685</v>
      </c>
      <c r="H720" s="2">
        <v>0</v>
      </c>
      <c r="I720" t="s">
        <v>4685</v>
      </c>
      <c r="J720" t="str">
        <f t="shared" si="3"/>
        <v>normalweight</v>
      </c>
    </row>
    <row r="721" spans="1:10" ht="15.75" customHeight="1">
      <c r="A721" t="s">
        <v>3239</v>
      </c>
      <c r="B721">
        <v>50.46</v>
      </c>
      <c r="C721">
        <v>4.5599999999999996</v>
      </c>
      <c r="E721" t="s">
        <v>4685</v>
      </c>
      <c r="F721" t="s">
        <v>4685</v>
      </c>
      <c r="G721" t="s">
        <v>4685</v>
      </c>
      <c r="H721" s="2">
        <v>0</v>
      </c>
      <c r="I721" t="s">
        <v>4685</v>
      </c>
      <c r="J721" t="str">
        <f t="shared" si="3"/>
        <v>normalweight</v>
      </c>
    </row>
    <row r="722" spans="1:10" ht="15.75" customHeight="1">
      <c r="A722" t="s">
        <v>3237</v>
      </c>
      <c r="B722">
        <v>31.73</v>
      </c>
      <c r="C722">
        <v>7</v>
      </c>
      <c r="D722" s="6" t="s">
        <v>4684</v>
      </c>
      <c r="E722" t="s">
        <v>4685</v>
      </c>
      <c r="F722" t="s">
        <v>4685</v>
      </c>
      <c r="G722" t="s">
        <v>4685</v>
      </c>
      <c r="H722" s="2">
        <v>0</v>
      </c>
      <c r="I722" t="s">
        <v>4685</v>
      </c>
      <c r="J722" t="str">
        <f t="shared" si="3"/>
        <v>normalweight</v>
      </c>
    </row>
    <row r="723" spans="1:10" ht="15.75" customHeight="1">
      <c r="A723" t="s">
        <v>3235</v>
      </c>
      <c r="B723">
        <v>32.1</v>
      </c>
      <c r="C723">
        <v>6.57</v>
      </c>
      <c r="D723" s="6" t="s">
        <v>4684</v>
      </c>
      <c r="E723" t="s">
        <v>4686</v>
      </c>
      <c r="F723" t="s">
        <v>4685</v>
      </c>
      <c r="G723" t="s">
        <v>4688</v>
      </c>
      <c r="H723" s="2">
        <v>1</v>
      </c>
      <c r="I723" t="s">
        <v>4685</v>
      </c>
      <c r="J723" t="str">
        <f t="shared" si="3"/>
        <v>normalweight</v>
      </c>
    </row>
    <row r="724" spans="1:10" ht="15.75" customHeight="1">
      <c r="A724" t="s">
        <v>3233</v>
      </c>
      <c r="B724">
        <v>27.83</v>
      </c>
      <c r="C724">
        <v>11.61</v>
      </c>
      <c r="D724" s="6" t="s">
        <v>4684</v>
      </c>
      <c r="E724" t="s">
        <v>4686</v>
      </c>
      <c r="F724" t="s">
        <v>4685</v>
      </c>
      <c r="G724" t="s">
        <v>4688</v>
      </c>
      <c r="H724" s="2">
        <v>1</v>
      </c>
      <c r="I724" t="s">
        <v>4685</v>
      </c>
      <c r="J724" t="str">
        <f t="shared" si="3"/>
        <v>normalweight</v>
      </c>
    </row>
    <row r="725" spans="1:10" ht="15.75" customHeight="1">
      <c r="A725" t="s">
        <v>3231</v>
      </c>
      <c r="B725">
        <v>27.72</v>
      </c>
      <c r="C725">
        <v>8.16</v>
      </c>
      <c r="D725" s="6" t="s">
        <v>4684</v>
      </c>
      <c r="E725" t="s">
        <v>4686</v>
      </c>
      <c r="F725" t="s">
        <v>4685</v>
      </c>
      <c r="G725" t="s">
        <v>4688</v>
      </c>
      <c r="H725" s="2">
        <v>1</v>
      </c>
      <c r="I725" t="s">
        <v>4685</v>
      </c>
      <c r="J725" t="str">
        <f t="shared" si="3"/>
        <v>normalweight</v>
      </c>
    </row>
    <row r="726" spans="1:10" ht="15.75" customHeight="1">
      <c r="A726" t="s">
        <v>3229</v>
      </c>
      <c r="B726">
        <v>36.765000000000001</v>
      </c>
      <c r="C726">
        <v>4.4800000000000004</v>
      </c>
      <c r="E726" t="s">
        <v>4686</v>
      </c>
      <c r="F726" t="s">
        <v>4685</v>
      </c>
      <c r="G726" t="s">
        <v>4685</v>
      </c>
      <c r="H726" s="2">
        <v>2</v>
      </c>
      <c r="I726" t="s">
        <v>4685</v>
      </c>
      <c r="J726" t="str">
        <f t="shared" si="3"/>
        <v>normalweight</v>
      </c>
    </row>
    <row r="727" spans="1:10" ht="15.75" customHeight="1">
      <c r="A727" t="s">
        <v>3227</v>
      </c>
      <c r="B727">
        <v>48.36</v>
      </c>
      <c r="C727">
        <v>4.08</v>
      </c>
      <c r="E727" t="s">
        <v>4685</v>
      </c>
      <c r="F727" t="s">
        <v>4685</v>
      </c>
      <c r="G727" t="s">
        <v>4685</v>
      </c>
      <c r="H727" s="2">
        <v>0</v>
      </c>
      <c r="I727" t="s">
        <v>4685</v>
      </c>
      <c r="J727" t="str">
        <f t="shared" si="3"/>
        <v>normalweight</v>
      </c>
    </row>
    <row r="728" spans="1:10" ht="15.75" customHeight="1">
      <c r="A728" t="s">
        <v>3225</v>
      </c>
      <c r="B728">
        <v>31.445</v>
      </c>
      <c r="C728">
        <v>4.4000000000000004</v>
      </c>
      <c r="E728" t="s">
        <v>4686</v>
      </c>
      <c r="F728" t="s">
        <v>4685</v>
      </c>
      <c r="G728" t="s">
        <v>4685</v>
      </c>
      <c r="H728" s="2">
        <v>2</v>
      </c>
      <c r="I728" t="s">
        <v>4685</v>
      </c>
      <c r="J728" t="str">
        <f t="shared" si="3"/>
        <v>normalweight</v>
      </c>
    </row>
    <row r="729" spans="1:10" ht="15.75" customHeight="1">
      <c r="A729" t="s">
        <v>3223</v>
      </c>
      <c r="B729">
        <v>27.55</v>
      </c>
      <c r="C729">
        <v>9.02</v>
      </c>
      <c r="D729" s="6" t="s">
        <v>4684</v>
      </c>
      <c r="E729" t="s">
        <v>4685</v>
      </c>
      <c r="F729" t="s">
        <v>4685</v>
      </c>
      <c r="G729" t="s">
        <v>4685</v>
      </c>
      <c r="H729" s="2">
        <v>0</v>
      </c>
      <c r="I729" t="s">
        <v>4685</v>
      </c>
      <c r="J729" t="str">
        <f t="shared" si="3"/>
        <v>normalweight</v>
      </c>
    </row>
    <row r="730" spans="1:10" ht="15.75" customHeight="1">
      <c r="A730" t="s">
        <v>3221</v>
      </c>
      <c r="B730">
        <v>33.11</v>
      </c>
      <c r="C730">
        <v>8.06</v>
      </c>
      <c r="D730" s="6" t="s">
        <v>4684</v>
      </c>
      <c r="E730" t="s">
        <v>4685</v>
      </c>
      <c r="F730" t="s">
        <v>4685</v>
      </c>
      <c r="G730" t="s">
        <v>4685</v>
      </c>
      <c r="H730" s="2">
        <v>0</v>
      </c>
      <c r="I730" t="s">
        <v>4685</v>
      </c>
      <c r="J730" t="str">
        <f t="shared" si="3"/>
        <v>normalweight</v>
      </c>
    </row>
    <row r="731" spans="1:10" ht="15.75" customHeight="1">
      <c r="A731" t="s">
        <v>3219</v>
      </c>
      <c r="B731">
        <v>36.85</v>
      </c>
      <c r="C731">
        <v>6.21</v>
      </c>
      <c r="E731" t="s">
        <v>4686</v>
      </c>
      <c r="F731" t="s">
        <v>4685</v>
      </c>
      <c r="G731" t="s">
        <v>4685</v>
      </c>
      <c r="H731" s="2">
        <v>2</v>
      </c>
      <c r="I731" t="s">
        <v>4685</v>
      </c>
      <c r="J731" t="str">
        <f t="shared" si="3"/>
        <v>normalweight</v>
      </c>
    </row>
    <row r="732" spans="1:10" ht="15.75" customHeight="1">
      <c r="A732" t="s">
        <v>3217</v>
      </c>
      <c r="B732">
        <v>36.299999999999997</v>
      </c>
      <c r="C732">
        <v>5.79</v>
      </c>
      <c r="E732" t="s">
        <v>4686</v>
      </c>
      <c r="F732" t="s">
        <v>4685</v>
      </c>
      <c r="G732" t="s">
        <v>4685</v>
      </c>
      <c r="H732" s="2">
        <v>2</v>
      </c>
      <c r="I732" t="s">
        <v>4685</v>
      </c>
      <c r="J732" t="str">
        <f t="shared" si="3"/>
        <v>normalweight</v>
      </c>
    </row>
    <row r="733" spans="1:10" ht="15.75" customHeight="1">
      <c r="A733" t="s">
        <v>4435</v>
      </c>
      <c r="B733">
        <v>45.34</v>
      </c>
      <c r="C733">
        <v>5.69</v>
      </c>
      <c r="E733" t="s">
        <v>4686</v>
      </c>
      <c r="F733" t="s">
        <v>4685</v>
      </c>
      <c r="G733" t="s">
        <v>4685</v>
      </c>
      <c r="H733" s="2">
        <v>0</v>
      </c>
      <c r="I733" t="s">
        <v>4685</v>
      </c>
      <c r="J733" t="str">
        <f t="shared" si="3"/>
        <v>normalweight</v>
      </c>
    </row>
    <row r="734" spans="1:10" ht="15.75" customHeight="1">
      <c r="A734" t="s">
        <v>3215</v>
      </c>
      <c r="B734">
        <v>31.8</v>
      </c>
      <c r="C734">
        <v>5.36</v>
      </c>
      <c r="E734" t="s">
        <v>4686</v>
      </c>
      <c r="F734" t="s">
        <v>4685</v>
      </c>
      <c r="G734" t="s">
        <v>4685</v>
      </c>
      <c r="H734" s="2">
        <v>2</v>
      </c>
      <c r="I734" t="s">
        <v>4685</v>
      </c>
      <c r="J734" t="str">
        <f t="shared" si="3"/>
        <v>normalweight</v>
      </c>
    </row>
    <row r="735" spans="1:10" ht="15.75" customHeight="1">
      <c r="A735" t="s">
        <v>3213</v>
      </c>
      <c r="B735">
        <v>41.02</v>
      </c>
      <c r="C735">
        <v>11.37</v>
      </c>
      <c r="D735" s="6" t="s">
        <v>4684</v>
      </c>
      <c r="E735" t="s">
        <v>4685</v>
      </c>
      <c r="F735" t="s">
        <v>4685</v>
      </c>
      <c r="G735" t="s">
        <v>4685</v>
      </c>
      <c r="H735" s="2">
        <v>0</v>
      </c>
      <c r="I735" t="s">
        <v>4685</v>
      </c>
      <c r="J735" t="str">
        <f t="shared" si="3"/>
        <v>normalweight</v>
      </c>
    </row>
    <row r="736" spans="1:10" ht="15.75" customHeight="1">
      <c r="A736" t="s">
        <v>3211</v>
      </c>
      <c r="B736">
        <v>32.68</v>
      </c>
      <c r="C736">
        <v>11.87</v>
      </c>
      <c r="D736" s="6" t="s">
        <v>4684</v>
      </c>
      <c r="E736" t="s">
        <v>4685</v>
      </c>
      <c r="F736" t="s">
        <v>4685</v>
      </c>
      <c r="G736" t="s">
        <v>4685</v>
      </c>
      <c r="H736" s="2">
        <v>0</v>
      </c>
      <c r="I736" t="s">
        <v>4685</v>
      </c>
      <c r="J736" t="str">
        <f t="shared" si="3"/>
        <v>normalweight</v>
      </c>
    </row>
    <row r="737" spans="1:10" ht="15.75" customHeight="1">
      <c r="A737" t="s">
        <v>3209</v>
      </c>
      <c r="B737">
        <v>21.7</v>
      </c>
      <c r="C737">
        <v>4.9000000000000004</v>
      </c>
      <c r="E737" t="s">
        <v>4685</v>
      </c>
      <c r="F737" t="s">
        <v>4685</v>
      </c>
      <c r="G737" t="s">
        <v>4688</v>
      </c>
      <c r="H737" s="2">
        <v>1</v>
      </c>
      <c r="I737" t="s">
        <v>4686</v>
      </c>
      <c r="J737" t="str">
        <f t="shared" si="3"/>
        <v>normalweight</v>
      </c>
    </row>
    <row r="738" spans="1:10" ht="15.75" customHeight="1">
      <c r="A738" t="s">
        <v>3207</v>
      </c>
      <c r="B738">
        <v>40.479999999999997</v>
      </c>
      <c r="C738">
        <v>6.7</v>
      </c>
      <c r="D738" s="6" t="s">
        <v>4684</v>
      </c>
      <c r="E738" t="s">
        <v>4685</v>
      </c>
      <c r="F738" t="s">
        <v>4685</v>
      </c>
      <c r="G738" t="s">
        <v>4685</v>
      </c>
      <c r="H738" s="2">
        <v>3</v>
      </c>
      <c r="I738" t="s">
        <v>4685</v>
      </c>
      <c r="J738" t="str">
        <f t="shared" si="3"/>
        <v>normalweight</v>
      </c>
    </row>
    <row r="739" spans="1:10" ht="15.75" customHeight="1">
      <c r="A739" t="s">
        <v>3205</v>
      </c>
      <c r="B739">
        <v>34.5</v>
      </c>
      <c r="C739">
        <v>10.3</v>
      </c>
      <c r="D739" s="6" t="s">
        <v>4684</v>
      </c>
      <c r="E739" t="s">
        <v>4685</v>
      </c>
      <c r="F739" t="s">
        <v>4685</v>
      </c>
      <c r="G739" t="s">
        <v>4685</v>
      </c>
      <c r="H739" s="2">
        <v>3</v>
      </c>
      <c r="I739" t="s">
        <v>4685</v>
      </c>
      <c r="J739" t="str">
        <f t="shared" si="3"/>
        <v>normalweight</v>
      </c>
    </row>
    <row r="740" spans="1:10" ht="15.75" customHeight="1">
      <c r="A740" t="s">
        <v>3203</v>
      </c>
      <c r="B740">
        <v>45.9</v>
      </c>
      <c r="C740">
        <v>11.14</v>
      </c>
      <c r="D740" s="6" t="s">
        <v>4684</v>
      </c>
      <c r="E740" t="s">
        <v>4686</v>
      </c>
      <c r="F740" t="s">
        <v>4685</v>
      </c>
      <c r="G740" t="s">
        <v>4685</v>
      </c>
      <c r="H740" s="2">
        <v>1</v>
      </c>
      <c r="I740" t="s">
        <v>4685</v>
      </c>
      <c r="J740" t="str">
        <f t="shared" si="3"/>
        <v>normalweight</v>
      </c>
    </row>
    <row r="741" spans="1:10" ht="15.75" customHeight="1">
      <c r="A741" t="s">
        <v>3201</v>
      </c>
      <c r="B741">
        <v>33.479999999999997</v>
      </c>
      <c r="C741">
        <v>4.74</v>
      </c>
      <c r="E741" t="s">
        <v>4686</v>
      </c>
      <c r="F741" t="s">
        <v>4685</v>
      </c>
      <c r="G741" t="s">
        <v>4685</v>
      </c>
      <c r="H741" s="2">
        <v>2</v>
      </c>
      <c r="I741" t="s">
        <v>4685</v>
      </c>
      <c r="J741" t="str">
        <f t="shared" si="3"/>
        <v>normalweight</v>
      </c>
    </row>
    <row r="742" spans="1:10" ht="15.75" customHeight="1">
      <c r="A742" t="s">
        <v>3199</v>
      </c>
      <c r="B742">
        <v>28.31</v>
      </c>
      <c r="C742">
        <v>5.96</v>
      </c>
      <c r="E742" t="s">
        <v>4686</v>
      </c>
      <c r="F742" t="s">
        <v>4685</v>
      </c>
      <c r="G742" t="s">
        <v>4685</v>
      </c>
      <c r="H742" s="2">
        <v>2</v>
      </c>
      <c r="I742" t="s">
        <v>4685</v>
      </c>
      <c r="J742" t="str">
        <f t="shared" si="3"/>
        <v>normalweight</v>
      </c>
    </row>
    <row r="743" spans="1:10" ht="15.75" customHeight="1">
      <c r="A743" t="s">
        <v>3197</v>
      </c>
      <c r="B743">
        <v>21.565000000000001</v>
      </c>
      <c r="C743">
        <v>4.95</v>
      </c>
      <c r="E743" t="s">
        <v>4685</v>
      </c>
      <c r="F743" t="s">
        <v>4686</v>
      </c>
      <c r="G743" t="s">
        <v>4685</v>
      </c>
      <c r="H743" s="2">
        <v>1</v>
      </c>
      <c r="I743" t="s">
        <v>4686</v>
      </c>
      <c r="J743" t="str">
        <f t="shared" si="3"/>
        <v>normalweight</v>
      </c>
    </row>
    <row r="744" spans="1:10" ht="15.75" customHeight="1">
      <c r="A744" t="s">
        <v>3195</v>
      </c>
      <c r="B744">
        <v>35.590000000000003</v>
      </c>
      <c r="C744">
        <v>5.21</v>
      </c>
      <c r="E744" t="s">
        <v>4686</v>
      </c>
      <c r="F744" t="s">
        <v>4685</v>
      </c>
      <c r="G744" t="s">
        <v>4688</v>
      </c>
      <c r="H744" s="2">
        <v>1</v>
      </c>
      <c r="I744" t="s">
        <v>4685</v>
      </c>
      <c r="J744" t="str">
        <f t="shared" si="3"/>
        <v>normalweight</v>
      </c>
    </row>
    <row r="745" spans="1:10" ht="15.75" customHeight="1">
      <c r="A745" t="s">
        <v>3193</v>
      </c>
      <c r="B745">
        <v>43.44</v>
      </c>
      <c r="C745">
        <v>4.8600000000000003</v>
      </c>
      <c r="E745" t="s">
        <v>4686</v>
      </c>
      <c r="F745" t="s">
        <v>4685</v>
      </c>
      <c r="G745" t="s">
        <v>4685</v>
      </c>
      <c r="H745" s="2">
        <v>0</v>
      </c>
      <c r="I745" t="s">
        <v>4685</v>
      </c>
      <c r="J745" t="str">
        <f t="shared" si="3"/>
        <v>normalweight</v>
      </c>
    </row>
    <row r="746" spans="1:10" ht="15.75" customHeight="1">
      <c r="A746" t="s">
        <v>3191</v>
      </c>
      <c r="B746">
        <v>21.754999999999999</v>
      </c>
      <c r="C746">
        <v>7.79</v>
      </c>
      <c r="D746" s="6" t="s">
        <v>4684</v>
      </c>
      <c r="E746" t="s">
        <v>4686</v>
      </c>
      <c r="F746" t="s">
        <v>4685</v>
      </c>
      <c r="G746" t="s">
        <v>4685</v>
      </c>
      <c r="H746" s="2">
        <v>0</v>
      </c>
      <c r="I746" t="s">
        <v>4685</v>
      </c>
      <c r="J746" t="str">
        <f t="shared" si="3"/>
        <v>normalweight</v>
      </c>
    </row>
    <row r="747" spans="1:10" ht="15.75" customHeight="1">
      <c r="A747" t="s">
        <v>3189</v>
      </c>
      <c r="B747">
        <v>44.55</v>
      </c>
      <c r="C747">
        <v>7.12</v>
      </c>
      <c r="D747" s="6" t="s">
        <v>4684</v>
      </c>
      <c r="E747" t="s">
        <v>4686</v>
      </c>
      <c r="F747" t="s">
        <v>4685</v>
      </c>
      <c r="G747" t="s">
        <v>4685</v>
      </c>
      <c r="H747" s="2">
        <v>1</v>
      </c>
      <c r="I747" t="s">
        <v>4685</v>
      </c>
      <c r="J747" t="str">
        <f t="shared" si="3"/>
        <v>normalweight</v>
      </c>
    </row>
    <row r="748" spans="1:10" ht="15.75" customHeight="1">
      <c r="A748" t="s">
        <v>3187</v>
      </c>
      <c r="B748">
        <v>43.32</v>
      </c>
      <c r="C748">
        <v>4.67</v>
      </c>
      <c r="E748" t="s">
        <v>4686</v>
      </c>
      <c r="F748" t="s">
        <v>4685</v>
      </c>
      <c r="G748" t="s">
        <v>4685</v>
      </c>
      <c r="H748" s="2">
        <v>0</v>
      </c>
      <c r="I748" t="s">
        <v>4685</v>
      </c>
      <c r="J748" t="str">
        <f t="shared" si="3"/>
        <v>normalweight</v>
      </c>
    </row>
    <row r="749" spans="1:10" ht="15.75" customHeight="1">
      <c r="A749" t="s">
        <v>3185</v>
      </c>
      <c r="B749">
        <v>31.23</v>
      </c>
      <c r="C749">
        <v>9.1199999999999992</v>
      </c>
      <c r="D749" s="6" t="s">
        <v>4684</v>
      </c>
      <c r="E749" t="s">
        <v>4686</v>
      </c>
      <c r="F749" t="s">
        <v>4685</v>
      </c>
      <c r="G749" t="s">
        <v>4688</v>
      </c>
      <c r="H749" s="2">
        <v>1</v>
      </c>
      <c r="I749" t="s">
        <v>4685</v>
      </c>
      <c r="J749" t="str">
        <f t="shared" si="3"/>
        <v>normalweight</v>
      </c>
    </row>
    <row r="750" spans="1:10" ht="15.75" customHeight="1">
      <c r="A750" t="s">
        <v>3183</v>
      </c>
      <c r="B750">
        <v>42.81</v>
      </c>
      <c r="C750">
        <v>4.1500000000000004</v>
      </c>
      <c r="E750" t="s">
        <v>4685</v>
      </c>
      <c r="F750" t="s">
        <v>4685</v>
      </c>
      <c r="G750" t="s">
        <v>4685</v>
      </c>
      <c r="H750" s="2">
        <v>1</v>
      </c>
      <c r="I750" t="s">
        <v>4685</v>
      </c>
      <c r="J750" t="str">
        <f t="shared" si="3"/>
        <v>normalweight</v>
      </c>
    </row>
    <row r="751" spans="1:10" ht="15.75" customHeight="1">
      <c r="A751" t="s">
        <v>3181</v>
      </c>
      <c r="B751">
        <v>35.909999999999997</v>
      </c>
      <c r="C751">
        <v>6.72</v>
      </c>
      <c r="D751" s="6" t="s">
        <v>4684</v>
      </c>
      <c r="E751" t="s">
        <v>4686</v>
      </c>
      <c r="F751" t="s">
        <v>4685</v>
      </c>
      <c r="G751" t="s">
        <v>4685</v>
      </c>
      <c r="H751" s="2">
        <v>2</v>
      </c>
      <c r="I751" t="s">
        <v>4685</v>
      </c>
      <c r="J751" t="str">
        <f t="shared" si="3"/>
        <v>normalweight</v>
      </c>
    </row>
    <row r="752" spans="1:10" ht="15.75" customHeight="1">
      <c r="A752" t="s">
        <v>3179</v>
      </c>
      <c r="B752">
        <v>36.65</v>
      </c>
      <c r="C752">
        <v>5.01</v>
      </c>
      <c r="E752" t="s">
        <v>4686</v>
      </c>
      <c r="F752" t="s">
        <v>4685</v>
      </c>
      <c r="G752" t="s">
        <v>4688</v>
      </c>
      <c r="H752" s="2">
        <v>1</v>
      </c>
      <c r="I752" t="s">
        <v>4685</v>
      </c>
      <c r="J752" t="str">
        <f t="shared" si="3"/>
        <v>normalweight</v>
      </c>
    </row>
    <row r="753" spans="1:10" ht="15.75" customHeight="1">
      <c r="A753" t="s">
        <v>3177</v>
      </c>
      <c r="B753">
        <v>22.04</v>
      </c>
      <c r="C753">
        <v>10.9</v>
      </c>
      <c r="D753" s="6" t="s">
        <v>4684</v>
      </c>
      <c r="E753" t="s">
        <v>4686</v>
      </c>
      <c r="F753" t="s">
        <v>4685</v>
      </c>
      <c r="G753" t="s">
        <v>4685</v>
      </c>
      <c r="H753" s="2">
        <v>2</v>
      </c>
      <c r="I753" t="s">
        <v>4685</v>
      </c>
      <c r="J753" t="str">
        <f t="shared" si="3"/>
        <v>normalweight</v>
      </c>
    </row>
    <row r="754" spans="1:10" ht="15.75" customHeight="1">
      <c r="A754" t="s">
        <v>3175</v>
      </c>
      <c r="B754">
        <v>31.824999999999999</v>
      </c>
      <c r="C754">
        <v>5.52</v>
      </c>
      <c r="E754" t="s">
        <v>4686</v>
      </c>
      <c r="F754" t="s">
        <v>4685</v>
      </c>
      <c r="G754" t="s">
        <v>4685</v>
      </c>
      <c r="H754" s="2">
        <v>1</v>
      </c>
      <c r="I754" t="s">
        <v>4685</v>
      </c>
      <c r="J754" t="str">
        <f t="shared" si="3"/>
        <v>normalweight</v>
      </c>
    </row>
    <row r="755" spans="1:10" ht="15.75" customHeight="1">
      <c r="A755" t="s">
        <v>3173</v>
      </c>
      <c r="B755">
        <v>53.58</v>
      </c>
      <c r="C755">
        <v>4.55</v>
      </c>
      <c r="E755" t="s">
        <v>4685</v>
      </c>
      <c r="F755" t="s">
        <v>4685</v>
      </c>
      <c r="G755" t="s">
        <v>4685</v>
      </c>
      <c r="H755" s="2">
        <v>1</v>
      </c>
      <c r="I755" t="s">
        <v>4685</v>
      </c>
      <c r="J755" t="str">
        <f t="shared" si="3"/>
        <v>normalweight</v>
      </c>
    </row>
    <row r="756" spans="1:10" ht="15.75" customHeight="1">
      <c r="A756" t="s">
        <v>3171</v>
      </c>
      <c r="B756">
        <v>34.299999999999997</v>
      </c>
      <c r="C756">
        <v>11.76</v>
      </c>
      <c r="D756" s="6" t="s">
        <v>4684</v>
      </c>
      <c r="E756" t="s">
        <v>4685</v>
      </c>
      <c r="F756" t="s">
        <v>4685</v>
      </c>
      <c r="G756" t="s">
        <v>4685</v>
      </c>
      <c r="H756" s="2">
        <v>0</v>
      </c>
      <c r="I756" t="s">
        <v>4685</v>
      </c>
      <c r="J756" t="str">
        <f t="shared" si="3"/>
        <v>normalweight</v>
      </c>
    </row>
    <row r="757" spans="1:10" ht="15.75" customHeight="1">
      <c r="A757" t="s">
        <v>3169</v>
      </c>
      <c r="B757">
        <v>32.11</v>
      </c>
      <c r="C757">
        <v>7.06</v>
      </c>
      <c r="D757" s="6" t="s">
        <v>4684</v>
      </c>
      <c r="E757" t="s">
        <v>4685</v>
      </c>
      <c r="F757" t="s">
        <v>4685</v>
      </c>
      <c r="G757" t="s">
        <v>4685</v>
      </c>
      <c r="H757" s="2">
        <v>0</v>
      </c>
      <c r="I757" t="s">
        <v>4685</v>
      </c>
      <c r="J757" t="str">
        <f t="shared" si="3"/>
        <v>normalweight</v>
      </c>
    </row>
    <row r="758" spans="1:10" ht="15.75" customHeight="1">
      <c r="A758" t="s">
        <v>3167</v>
      </c>
      <c r="B758">
        <v>31.78</v>
      </c>
      <c r="C758">
        <v>11.35</v>
      </c>
      <c r="D758" s="6" t="s">
        <v>4684</v>
      </c>
      <c r="E758" t="s">
        <v>4686</v>
      </c>
      <c r="F758" t="s">
        <v>4685</v>
      </c>
      <c r="G758" t="s">
        <v>4688</v>
      </c>
      <c r="H758" s="2">
        <v>1</v>
      </c>
      <c r="I758" t="s">
        <v>4685</v>
      </c>
      <c r="J758" t="str">
        <f t="shared" si="3"/>
        <v>normalweight</v>
      </c>
    </row>
    <row r="759" spans="1:10" ht="15.75" customHeight="1">
      <c r="A759" t="s">
        <v>3165</v>
      </c>
      <c r="B759">
        <v>46.89</v>
      </c>
      <c r="C759">
        <v>5.52</v>
      </c>
      <c r="E759" t="s">
        <v>4685</v>
      </c>
      <c r="F759" t="s">
        <v>4685</v>
      </c>
      <c r="G759" t="s">
        <v>4685</v>
      </c>
      <c r="H759" s="2">
        <v>0</v>
      </c>
      <c r="I759" t="s">
        <v>4685</v>
      </c>
      <c r="J759" t="str">
        <f t="shared" si="3"/>
        <v>normalweight</v>
      </c>
    </row>
    <row r="760" spans="1:10" ht="15.75" customHeight="1">
      <c r="A760" t="s">
        <v>3163</v>
      </c>
      <c r="B760">
        <v>39.35</v>
      </c>
      <c r="C760">
        <v>7.86</v>
      </c>
      <c r="D760" s="6" t="s">
        <v>4684</v>
      </c>
      <c r="E760" t="s">
        <v>4686</v>
      </c>
      <c r="F760" t="s">
        <v>4685</v>
      </c>
      <c r="G760" t="s">
        <v>4685</v>
      </c>
      <c r="H760" s="2">
        <v>1</v>
      </c>
      <c r="I760" t="s">
        <v>4685</v>
      </c>
      <c r="J760" t="str">
        <f t="shared" si="3"/>
        <v>normalweight</v>
      </c>
    </row>
    <row r="761" spans="1:10" ht="15.75" customHeight="1">
      <c r="A761" t="s">
        <v>3161</v>
      </c>
      <c r="B761">
        <v>39.200000000000003</v>
      </c>
      <c r="C761">
        <v>11.38</v>
      </c>
      <c r="D761" s="6" t="s">
        <v>4684</v>
      </c>
      <c r="E761" t="s">
        <v>4685</v>
      </c>
      <c r="F761" t="s">
        <v>4685</v>
      </c>
      <c r="G761" t="s">
        <v>4685</v>
      </c>
      <c r="H761" s="2">
        <v>0</v>
      </c>
      <c r="I761" t="s">
        <v>4685</v>
      </c>
      <c r="J761" t="str">
        <f t="shared" si="3"/>
        <v>normalweight</v>
      </c>
    </row>
    <row r="762" spans="1:10" ht="15.75" customHeight="1">
      <c r="A762" t="s">
        <v>3159</v>
      </c>
      <c r="B762">
        <v>39.159999999999997</v>
      </c>
      <c r="C762">
        <v>10.48</v>
      </c>
      <c r="D762" s="6" t="s">
        <v>4684</v>
      </c>
      <c r="E762" t="s">
        <v>4685</v>
      </c>
      <c r="F762" t="s">
        <v>4685</v>
      </c>
      <c r="G762" t="s">
        <v>4685</v>
      </c>
      <c r="H762" s="2">
        <v>0</v>
      </c>
      <c r="I762" t="s">
        <v>4685</v>
      </c>
      <c r="J762" t="str">
        <f t="shared" si="3"/>
        <v>normalweight</v>
      </c>
    </row>
    <row r="763" spans="1:10" ht="15.75" customHeight="1">
      <c r="A763" t="s">
        <v>3157</v>
      </c>
      <c r="B763">
        <v>44.1</v>
      </c>
      <c r="C763">
        <v>5.04</v>
      </c>
      <c r="E763" t="s">
        <v>4686</v>
      </c>
      <c r="F763" t="s">
        <v>4685</v>
      </c>
      <c r="G763" t="s">
        <v>4685</v>
      </c>
      <c r="H763" s="2">
        <v>0</v>
      </c>
      <c r="I763" t="s">
        <v>4685</v>
      </c>
      <c r="J763" t="str">
        <f t="shared" si="3"/>
        <v>normalweight</v>
      </c>
    </row>
    <row r="764" spans="1:10" ht="15.75" customHeight="1">
      <c r="A764" t="s">
        <v>3155</v>
      </c>
      <c r="B764">
        <v>33.200000000000003</v>
      </c>
      <c r="C764">
        <v>9.06</v>
      </c>
      <c r="D764" s="6" t="s">
        <v>4684</v>
      </c>
      <c r="E764" t="s">
        <v>4685</v>
      </c>
      <c r="F764" t="s">
        <v>4685</v>
      </c>
      <c r="G764" t="s">
        <v>4685</v>
      </c>
      <c r="H764" s="2">
        <v>0</v>
      </c>
      <c r="I764" t="s">
        <v>4685</v>
      </c>
      <c r="J764" t="str">
        <f t="shared" si="3"/>
        <v>normalweight</v>
      </c>
    </row>
    <row r="765" spans="1:10" ht="15.75" customHeight="1">
      <c r="A765" t="s">
        <v>3153</v>
      </c>
      <c r="B765">
        <v>29.92</v>
      </c>
      <c r="C765">
        <v>11.07</v>
      </c>
      <c r="D765" s="6" t="s">
        <v>4684</v>
      </c>
      <c r="E765" t="s">
        <v>4685</v>
      </c>
      <c r="F765" t="s">
        <v>4685</v>
      </c>
      <c r="G765" t="s">
        <v>4685</v>
      </c>
      <c r="H765" s="2">
        <v>0</v>
      </c>
      <c r="I765" t="s">
        <v>4685</v>
      </c>
      <c r="J765" t="str">
        <f t="shared" si="3"/>
        <v>normalweight</v>
      </c>
    </row>
    <row r="766" spans="1:10" ht="15.75" customHeight="1">
      <c r="A766" t="s">
        <v>3151</v>
      </c>
      <c r="B766">
        <v>25</v>
      </c>
      <c r="C766">
        <v>10.45</v>
      </c>
      <c r="D766" s="6" t="s">
        <v>4684</v>
      </c>
      <c r="E766" t="s">
        <v>4685</v>
      </c>
      <c r="F766" t="s">
        <v>4685</v>
      </c>
      <c r="G766" t="s">
        <v>4685</v>
      </c>
      <c r="H766" s="2">
        <v>0</v>
      </c>
      <c r="I766" t="s">
        <v>4685</v>
      </c>
      <c r="J766" t="str">
        <f t="shared" si="3"/>
        <v>normalweight</v>
      </c>
    </row>
    <row r="767" spans="1:10" ht="15.75" customHeight="1">
      <c r="A767" t="s">
        <v>3149</v>
      </c>
      <c r="B767">
        <v>38.869999999999997</v>
      </c>
      <c r="C767">
        <v>8.6300000000000008</v>
      </c>
      <c r="D767" s="6" t="s">
        <v>4684</v>
      </c>
      <c r="E767" t="s">
        <v>4686</v>
      </c>
      <c r="F767" t="s">
        <v>4685</v>
      </c>
      <c r="G767" t="s">
        <v>4685</v>
      </c>
      <c r="H767" s="2">
        <v>1</v>
      </c>
      <c r="I767" t="s">
        <v>4685</v>
      </c>
      <c r="J767" t="str">
        <f t="shared" si="3"/>
        <v>normalweight</v>
      </c>
    </row>
    <row r="768" spans="1:10" ht="15.75" customHeight="1">
      <c r="A768" t="s">
        <v>3147</v>
      </c>
      <c r="B768">
        <v>32.299999999999997</v>
      </c>
      <c r="C768">
        <v>5.28</v>
      </c>
      <c r="E768" t="s">
        <v>4686</v>
      </c>
      <c r="F768" t="s">
        <v>4685</v>
      </c>
      <c r="G768" t="s">
        <v>4685</v>
      </c>
      <c r="H768" s="2">
        <v>2</v>
      </c>
      <c r="I768" t="s">
        <v>4685</v>
      </c>
      <c r="J768" t="str">
        <f t="shared" si="3"/>
        <v>normalweight</v>
      </c>
    </row>
    <row r="769" spans="1:10" ht="15.75" customHeight="1">
      <c r="A769" t="s">
        <v>3145</v>
      </c>
      <c r="B769">
        <v>31.16</v>
      </c>
      <c r="C769">
        <v>7.49</v>
      </c>
      <c r="D769" s="6" t="s">
        <v>4684</v>
      </c>
      <c r="E769" t="s">
        <v>4686</v>
      </c>
      <c r="F769" t="s">
        <v>4685</v>
      </c>
      <c r="G769" t="s">
        <v>4685</v>
      </c>
      <c r="H769" s="2">
        <v>2</v>
      </c>
      <c r="I769" t="s">
        <v>4685</v>
      </c>
      <c r="J769" t="str">
        <f t="shared" si="3"/>
        <v>normalweight</v>
      </c>
    </row>
    <row r="770" spans="1:10" ht="15.75" customHeight="1">
      <c r="A770" t="s">
        <v>3143</v>
      </c>
      <c r="B770">
        <v>54.59</v>
      </c>
      <c r="C770">
        <v>4.2699999999999996</v>
      </c>
      <c r="E770" t="s">
        <v>4685</v>
      </c>
      <c r="F770" t="s">
        <v>4685</v>
      </c>
      <c r="G770" t="s">
        <v>4685</v>
      </c>
      <c r="H770" s="2">
        <v>0</v>
      </c>
      <c r="I770" t="s">
        <v>4685</v>
      </c>
      <c r="J770" t="str">
        <f t="shared" si="3"/>
        <v>normalweight</v>
      </c>
    </row>
    <row r="771" spans="1:10" ht="15.75" customHeight="1">
      <c r="A771" t="s">
        <v>3141</v>
      </c>
      <c r="B771">
        <v>21.09</v>
      </c>
      <c r="C771">
        <v>9.2200000000000006</v>
      </c>
      <c r="D771" s="6" t="s">
        <v>4684</v>
      </c>
      <c r="E771" t="s">
        <v>4686</v>
      </c>
      <c r="F771" t="s">
        <v>4685</v>
      </c>
      <c r="G771" t="s">
        <v>4685</v>
      </c>
      <c r="H771" s="2">
        <v>2</v>
      </c>
      <c r="I771" t="s">
        <v>4685</v>
      </c>
      <c r="J771" t="str">
        <f t="shared" si="3"/>
        <v>normalweight</v>
      </c>
    </row>
    <row r="772" spans="1:10" ht="15.75" customHeight="1">
      <c r="A772" t="s">
        <v>3139</v>
      </c>
      <c r="B772">
        <v>52.41</v>
      </c>
      <c r="C772">
        <v>5.99</v>
      </c>
      <c r="E772" t="s">
        <v>4685</v>
      </c>
      <c r="F772" t="s">
        <v>4685</v>
      </c>
      <c r="G772" t="s">
        <v>4685</v>
      </c>
      <c r="H772" s="2">
        <v>1</v>
      </c>
      <c r="I772" t="s">
        <v>4685</v>
      </c>
      <c r="J772" t="str">
        <f t="shared" si="3"/>
        <v>normalweight</v>
      </c>
    </row>
    <row r="773" spans="1:10" ht="15.75" customHeight="1">
      <c r="A773" t="s">
        <v>3137</v>
      </c>
      <c r="B773">
        <v>41.47</v>
      </c>
      <c r="C773">
        <v>5.86</v>
      </c>
      <c r="E773" t="s">
        <v>4686</v>
      </c>
      <c r="F773" t="s">
        <v>4685</v>
      </c>
      <c r="G773" t="s">
        <v>4685</v>
      </c>
      <c r="H773" s="2">
        <v>2</v>
      </c>
      <c r="I773" t="s">
        <v>4685</v>
      </c>
      <c r="J773" t="str">
        <f t="shared" si="3"/>
        <v>normalweight</v>
      </c>
    </row>
    <row r="774" spans="1:10" ht="15.75" customHeight="1">
      <c r="A774" t="s">
        <v>3135</v>
      </c>
      <c r="B774">
        <v>33.1</v>
      </c>
      <c r="C774">
        <v>5.19</v>
      </c>
      <c r="E774" t="s">
        <v>4686</v>
      </c>
      <c r="F774" t="s">
        <v>4685</v>
      </c>
      <c r="G774" t="s">
        <v>4685</v>
      </c>
      <c r="H774" s="2">
        <v>2</v>
      </c>
      <c r="I774" t="s">
        <v>4685</v>
      </c>
      <c r="J774" t="str">
        <f t="shared" si="3"/>
        <v>normalweight</v>
      </c>
    </row>
    <row r="775" spans="1:10" ht="15.75" customHeight="1">
      <c r="A775" t="s">
        <v>3133</v>
      </c>
      <c r="B775">
        <v>30.8</v>
      </c>
      <c r="C775">
        <v>4.37</v>
      </c>
      <c r="E775" t="s">
        <v>4686</v>
      </c>
      <c r="F775" t="s">
        <v>4685</v>
      </c>
      <c r="G775" t="s">
        <v>4685</v>
      </c>
      <c r="H775" s="2">
        <v>2</v>
      </c>
      <c r="I775" t="s">
        <v>4685</v>
      </c>
      <c r="J775" t="str">
        <f t="shared" si="3"/>
        <v>normalweight</v>
      </c>
    </row>
    <row r="776" spans="1:10" ht="15.75" customHeight="1">
      <c r="A776" t="s">
        <v>3131</v>
      </c>
      <c r="B776">
        <v>42.06</v>
      </c>
      <c r="C776">
        <v>5.32</v>
      </c>
      <c r="E776" t="s">
        <v>4685</v>
      </c>
      <c r="F776" t="s">
        <v>4685</v>
      </c>
      <c r="G776" t="s">
        <v>4685</v>
      </c>
      <c r="H776" s="2">
        <v>1</v>
      </c>
      <c r="I776" t="s">
        <v>4685</v>
      </c>
      <c r="J776" t="str">
        <f t="shared" si="3"/>
        <v>normalweight</v>
      </c>
    </row>
    <row r="777" spans="1:10" ht="15.75" customHeight="1">
      <c r="A777" t="s">
        <v>3129</v>
      </c>
      <c r="B777">
        <v>39.270000000000003</v>
      </c>
      <c r="C777">
        <v>5.64</v>
      </c>
      <c r="E777" t="s">
        <v>4685</v>
      </c>
      <c r="F777" t="s">
        <v>4685</v>
      </c>
      <c r="G777" t="s">
        <v>4688</v>
      </c>
      <c r="H777" s="2">
        <v>1</v>
      </c>
      <c r="I777" t="s">
        <v>4685</v>
      </c>
      <c r="J777" t="str">
        <f t="shared" si="3"/>
        <v>normalweight</v>
      </c>
    </row>
    <row r="778" spans="1:10" ht="15.75" customHeight="1">
      <c r="A778" t="s">
        <v>3127</v>
      </c>
      <c r="B778">
        <v>30.71</v>
      </c>
      <c r="C778">
        <v>5.59</v>
      </c>
      <c r="E778" t="s">
        <v>4686</v>
      </c>
      <c r="F778" t="s">
        <v>4685</v>
      </c>
      <c r="G778" t="s">
        <v>4685</v>
      </c>
      <c r="H778" s="2">
        <v>1</v>
      </c>
      <c r="I778" t="s">
        <v>4685</v>
      </c>
      <c r="J778" t="str">
        <f t="shared" si="3"/>
        <v>normalweight</v>
      </c>
    </row>
    <row r="779" spans="1:10" ht="15.75" customHeight="1">
      <c r="A779" t="s">
        <v>3125</v>
      </c>
      <c r="B779">
        <v>47.19</v>
      </c>
      <c r="C779">
        <v>5.29</v>
      </c>
      <c r="E779" t="s">
        <v>4685</v>
      </c>
      <c r="F779" t="s">
        <v>4685</v>
      </c>
      <c r="G779" t="s">
        <v>4685</v>
      </c>
      <c r="H779" s="2">
        <v>0</v>
      </c>
      <c r="I779" t="s">
        <v>4685</v>
      </c>
      <c r="J779" t="str">
        <f t="shared" si="3"/>
        <v>normalweight</v>
      </c>
    </row>
    <row r="780" spans="1:10" ht="15.75" customHeight="1">
      <c r="A780" t="s">
        <v>3123</v>
      </c>
      <c r="B780">
        <v>30.02</v>
      </c>
      <c r="C780">
        <v>6.65</v>
      </c>
      <c r="E780" t="s">
        <v>4685</v>
      </c>
      <c r="F780" t="s">
        <v>4685</v>
      </c>
      <c r="G780" t="s">
        <v>4685</v>
      </c>
      <c r="H780" s="2">
        <v>0</v>
      </c>
      <c r="I780" t="s">
        <v>4685</v>
      </c>
      <c r="J780" t="str">
        <f t="shared" si="3"/>
        <v>normalweight</v>
      </c>
    </row>
    <row r="781" spans="1:10" ht="15.75" customHeight="1">
      <c r="A781" t="s">
        <v>3121</v>
      </c>
      <c r="B781">
        <v>37.909999999999997</v>
      </c>
      <c r="C781">
        <v>5.68</v>
      </c>
      <c r="E781" t="s">
        <v>4686</v>
      </c>
      <c r="F781" t="s">
        <v>4685</v>
      </c>
      <c r="G781" t="s">
        <v>4685</v>
      </c>
      <c r="H781" s="2">
        <v>0</v>
      </c>
      <c r="I781" t="s">
        <v>4685</v>
      </c>
      <c r="J781" t="str">
        <f t="shared" si="3"/>
        <v>normalweight</v>
      </c>
    </row>
    <row r="782" spans="1:10" ht="15.75" customHeight="1">
      <c r="A782" t="s">
        <v>3119</v>
      </c>
      <c r="B782">
        <v>54.61</v>
      </c>
      <c r="C782">
        <v>4.49</v>
      </c>
      <c r="E782" t="s">
        <v>4685</v>
      </c>
      <c r="F782" t="s">
        <v>4685</v>
      </c>
      <c r="G782" t="s">
        <v>4685</v>
      </c>
      <c r="H782" s="2">
        <v>0</v>
      </c>
      <c r="I782" t="s">
        <v>4685</v>
      </c>
      <c r="J782" t="str">
        <f t="shared" si="3"/>
        <v>normalweight</v>
      </c>
    </row>
    <row r="783" spans="1:10" ht="15.75" customHeight="1">
      <c r="A783" t="s">
        <v>3117</v>
      </c>
      <c r="B783">
        <v>36.005000000000003</v>
      </c>
      <c r="C783">
        <v>6.9</v>
      </c>
      <c r="E783" t="s">
        <v>4685</v>
      </c>
      <c r="F783" t="s">
        <v>4685</v>
      </c>
      <c r="G783" t="s">
        <v>4685</v>
      </c>
      <c r="H783" s="2">
        <v>0</v>
      </c>
      <c r="I783" t="s">
        <v>4685</v>
      </c>
      <c r="J783" t="str">
        <f t="shared" si="3"/>
        <v>normalweight</v>
      </c>
    </row>
    <row r="784" spans="1:10" ht="15.75" customHeight="1">
      <c r="A784" t="s">
        <v>3115</v>
      </c>
      <c r="B784">
        <v>28.7</v>
      </c>
      <c r="C784">
        <v>11.52</v>
      </c>
      <c r="D784" s="6" t="s">
        <v>4684</v>
      </c>
      <c r="E784" t="s">
        <v>4685</v>
      </c>
      <c r="F784" t="s">
        <v>4685</v>
      </c>
      <c r="G784" t="s">
        <v>4685</v>
      </c>
      <c r="H784" s="2">
        <v>0</v>
      </c>
      <c r="I784" t="s">
        <v>4685</v>
      </c>
      <c r="J784" t="str">
        <f t="shared" si="3"/>
        <v>normalweight</v>
      </c>
    </row>
    <row r="785" spans="1:10" ht="15.75" customHeight="1">
      <c r="A785" t="s">
        <v>3113</v>
      </c>
      <c r="B785">
        <v>34.295000000000002</v>
      </c>
      <c r="C785">
        <v>11.24</v>
      </c>
      <c r="D785" s="6" t="s">
        <v>4684</v>
      </c>
      <c r="E785" t="s">
        <v>4685</v>
      </c>
      <c r="F785" t="s">
        <v>4685</v>
      </c>
      <c r="G785" t="s">
        <v>4685</v>
      </c>
      <c r="H785" s="2">
        <v>0</v>
      </c>
      <c r="I785" t="s">
        <v>4685</v>
      </c>
      <c r="J785" t="str">
        <f t="shared" si="3"/>
        <v>normalweight</v>
      </c>
    </row>
    <row r="786" spans="1:10" ht="15.75" customHeight="1">
      <c r="A786" t="s">
        <v>3111</v>
      </c>
      <c r="B786">
        <v>27.55</v>
      </c>
      <c r="C786">
        <v>10.98</v>
      </c>
      <c r="D786" s="6" t="s">
        <v>4684</v>
      </c>
      <c r="E786" t="s">
        <v>4685</v>
      </c>
      <c r="F786" t="s">
        <v>4685</v>
      </c>
      <c r="G786" t="s">
        <v>4685</v>
      </c>
      <c r="H786" s="2">
        <v>0</v>
      </c>
      <c r="I786" t="s">
        <v>4685</v>
      </c>
      <c r="J786" t="str">
        <f t="shared" si="3"/>
        <v>normalweight</v>
      </c>
    </row>
    <row r="787" spans="1:10" ht="15.75" customHeight="1">
      <c r="A787" t="s">
        <v>3109</v>
      </c>
      <c r="B787">
        <v>40.700000000000003</v>
      </c>
      <c r="C787">
        <v>5.42</v>
      </c>
      <c r="E787" t="s">
        <v>4685</v>
      </c>
      <c r="F787" t="s">
        <v>4685</v>
      </c>
      <c r="G787" t="s">
        <v>4685</v>
      </c>
      <c r="H787" s="2">
        <v>0</v>
      </c>
      <c r="I787" t="s">
        <v>4685</v>
      </c>
      <c r="J787" t="str">
        <f t="shared" ref="J787:J1041" si="4">IF(B787&lt;=18.5,"underweight",IF(B787&gt;=18.5-24.9,"normalweight",IF(B787&gt;=25-29.9,"overweight","obesity")))</f>
        <v>normalweight</v>
      </c>
    </row>
    <row r="788" spans="1:10" ht="15.75" customHeight="1">
      <c r="A788" t="s">
        <v>3107</v>
      </c>
      <c r="B788">
        <v>18.335000000000001</v>
      </c>
      <c r="C788">
        <v>10.97</v>
      </c>
      <c r="D788" s="6" t="s">
        <v>4684</v>
      </c>
      <c r="E788" t="s">
        <v>4685</v>
      </c>
      <c r="F788" t="s">
        <v>4685</v>
      </c>
      <c r="G788" t="s">
        <v>4685</v>
      </c>
      <c r="H788" s="2">
        <v>0</v>
      </c>
      <c r="I788" t="s">
        <v>4685</v>
      </c>
      <c r="J788" t="str">
        <f t="shared" si="4"/>
        <v>underweight</v>
      </c>
    </row>
    <row r="789" spans="1:10" ht="15.75" customHeight="1">
      <c r="A789" t="s">
        <v>3105</v>
      </c>
      <c r="B789">
        <v>33.914999999999999</v>
      </c>
      <c r="C789">
        <v>9.56</v>
      </c>
      <c r="D789" s="6" t="s">
        <v>4684</v>
      </c>
      <c r="E789" t="s">
        <v>4686</v>
      </c>
      <c r="F789" t="s">
        <v>4685</v>
      </c>
      <c r="G789" t="s">
        <v>4685</v>
      </c>
      <c r="H789" s="2">
        <v>2</v>
      </c>
      <c r="I789" t="s">
        <v>4685</v>
      </c>
      <c r="J789" t="str">
        <f t="shared" si="4"/>
        <v>normalweight</v>
      </c>
    </row>
    <row r="790" spans="1:10" ht="15.75" customHeight="1">
      <c r="A790" t="s">
        <v>3103</v>
      </c>
      <c r="B790">
        <v>33.534999999999997</v>
      </c>
      <c r="C790">
        <v>9.4</v>
      </c>
      <c r="D790" s="6" t="s">
        <v>4684</v>
      </c>
      <c r="E790" t="s">
        <v>4686</v>
      </c>
      <c r="F790" t="s">
        <v>4685</v>
      </c>
      <c r="G790" t="s">
        <v>4685</v>
      </c>
      <c r="H790" s="2">
        <v>2</v>
      </c>
      <c r="I790" t="s">
        <v>4685</v>
      </c>
      <c r="J790" t="str">
        <f t="shared" si="4"/>
        <v>normalweight</v>
      </c>
    </row>
    <row r="791" spans="1:10" ht="15.75" customHeight="1">
      <c r="A791" t="s">
        <v>3101</v>
      </c>
      <c r="B791">
        <v>23.655000000000001</v>
      </c>
      <c r="C791">
        <v>8.48</v>
      </c>
      <c r="D791" s="6" t="s">
        <v>4684</v>
      </c>
      <c r="E791" t="s">
        <v>4686</v>
      </c>
      <c r="F791" t="s">
        <v>4685</v>
      </c>
      <c r="G791" t="s">
        <v>4685</v>
      </c>
      <c r="H791" s="2">
        <v>2</v>
      </c>
      <c r="I791" t="s">
        <v>4685</v>
      </c>
      <c r="J791" t="str">
        <f t="shared" si="4"/>
        <v>normalweight</v>
      </c>
    </row>
    <row r="792" spans="1:10" ht="15.75" customHeight="1">
      <c r="A792" t="s">
        <v>3099</v>
      </c>
      <c r="B792">
        <v>28</v>
      </c>
      <c r="C792">
        <v>5.57</v>
      </c>
      <c r="E792" t="s">
        <v>4685</v>
      </c>
      <c r="F792" t="s">
        <v>4685</v>
      </c>
      <c r="G792" t="s">
        <v>4685</v>
      </c>
      <c r="H792" s="2">
        <v>0</v>
      </c>
      <c r="I792" t="s">
        <v>4685</v>
      </c>
      <c r="J792" t="str">
        <f t="shared" si="4"/>
        <v>normalweight</v>
      </c>
    </row>
    <row r="793" spans="1:10" ht="15.75" customHeight="1">
      <c r="A793" t="s">
        <v>3097</v>
      </c>
      <c r="B793">
        <v>30.23</v>
      </c>
      <c r="C793">
        <v>6.94</v>
      </c>
      <c r="D793" s="6" t="s">
        <v>4684</v>
      </c>
      <c r="E793" t="s">
        <v>4686</v>
      </c>
      <c r="F793" t="s">
        <v>4685</v>
      </c>
      <c r="G793" t="s">
        <v>4688</v>
      </c>
      <c r="H793" s="2">
        <v>1</v>
      </c>
      <c r="I793" t="s">
        <v>4685</v>
      </c>
      <c r="J793" t="str">
        <f t="shared" si="4"/>
        <v>normalweight</v>
      </c>
    </row>
    <row r="794" spans="1:10" ht="15.75" customHeight="1">
      <c r="A794" t="s">
        <v>3095</v>
      </c>
      <c r="B794">
        <v>51.14</v>
      </c>
      <c r="C794">
        <v>4.05</v>
      </c>
      <c r="E794" t="s">
        <v>4685</v>
      </c>
      <c r="F794" t="s">
        <v>4685</v>
      </c>
      <c r="G794" t="s">
        <v>4685</v>
      </c>
      <c r="H794" s="2">
        <v>1</v>
      </c>
      <c r="I794" t="s">
        <v>4685</v>
      </c>
      <c r="J794" t="str">
        <f t="shared" si="4"/>
        <v>normalweight</v>
      </c>
    </row>
    <row r="795" spans="1:10" ht="15.75" customHeight="1">
      <c r="A795" t="s">
        <v>3093</v>
      </c>
      <c r="B795">
        <v>24.32</v>
      </c>
      <c r="C795">
        <v>10.220000000000001</v>
      </c>
      <c r="D795" s="6" t="s">
        <v>4684</v>
      </c>
      <c r="E795" t="s">
        <v>4685</v>
      </c>
      <c r="F795" t="s">
        <v>4685</v>
      </c>
      <c r="G795" t="s">
        <v>4685</v>
      </c>
      <c r="H795" s="2">
        <v>0</v>
      </c>
      <c r="I795" t="s">
        <v>4685</v>
      </c>
      <c r="J795" t="str">
        <f t="shared" si="4"/>
        <v>normalweight</v>
      </c>
    </row>
    <row r="796" spans="1:10" ht="15.75" customHeight="1">
      <c r="A796" t="s">
        <v>3091</v>
      </c>
      <c r="B796">
        <v>38.06</v>
      </c>
      <c r="C796">
        <v>9.24</v>
      </c>
      <c r="D796" s="6" t="s">
        <v>4684</v>
      </c>
      <c r="E796" t="s">
        <v>4685</v>
      </c>
      <c r="F796" t="s">
        <v>4685</v>
      </c>
      <c r="G796" t="s">
        <v>4685</v>
      </c>
      <c r="H796" s="2">
        <v>0</v>
      </c>
      <c r="I796" t="s">
        <v>4685</v>
      </c>
      <c r="J796" t="str">
        <f t="shared" si="4"/>
        <v>normalweight</v>
      </c>
    </row>
    <row r="797" spans="1:10" ht="15.75" customHeight="1">
      <c r="A797" t="s">
        <v>3089</v>
      </c>
      <c r="B797">
        <v>37.700000000000003</v>
      </c>
      <c r="C797">
        <v>8.6</v>
      </c>
      <c r="D797" s="6" t="s">
        <v>4684</v>
      </c>
      <c r="E797" t="s">
        <v>4685</v>
      </c>
      <c r="F797" t="s">
        <v>4685</v>
      </c>
      <c r="G797" t="s">
        <v>4685</v>
      </c>
      <c r="H797" s="2">
        <v>0</v>
      </c>
      <c r="I797" t="s">
        <v>4685</v>
      </c>
      <c r="J797" t="str">
        <f t="shared" si="4"/>
        <v>normalweight</v>
      </c>
    </row>
    <row r="798" spans="1:10" ht="15.75" customHeight="1">
      <c r="A798" t="s">
        <v>3087</v>
      </c>
      <c r="B798">
        <v>44</v>
      </c>
      <c r="C798">
        <v>9.32</v>
      </c>
      <c r="D798" s="6" t="s">
        <v>4684</v>
      </c>
      <c r="E798" t="s">
        <v>4686</v>
      </c>
      <c r="F798" t="s">
        <v>4685</v>
      </c>
      <c r="G798" t="s">
        <v>4685</v>
      </c>
      <c r="H798" s="2">
        <v>2</v>
      </c>
      <c r="I798" t="s">
        <v>4685</v>
      </c>
      <c r="J798" t="str">
        <f t="shared" si="4"/>
        <v>normalweight</v>
      </c>
    </row>
    <row r="799" spans="1:10" ht="15.75" customHeight="1">
      <c r="A799" t="s">
        <v>3085</v>
      </c>
      <c r="B799">
        <v>41.45</v>
      </c>
      <c r="C799">
        <v>6.12</v>
      </c>
      <c r="E799" t="s">
        <v>4686</v>
      </c>
      <c r="F799" t="s">
        <v>4685</v>
      </c>
      <c r="G799" t="s">
        <v>4685</v>
      </c>
      <c r="H799" s="2">
        <v>0</v>
      </c>
      <c r="I799" t="s">
        <v>4685</v>
      </c>
      <c r="J799" t="str">
        <f t="shared" si="4"/>
        <v>normalweight</v>
      </c>
    </row>
    <row r="800" spans="1:10" ht="15.75" customHeight="1">
      <c r="A800" t="s">
        <v>3083</v>
      </c>
      <c r="B800">
        <v>25.364999999999998</v>
      </c>
      <c r="C800">
        <v>9.19</v>
      </c>
      <c r="D800" s="6" t="s">
        <v>4684</v>
      </c>
      <c r="E800" t="s">
        <v>4686</v>
      </c>
      <c r="F800" t="s">
        <v>4685</v>
      </c>
      <c r="G800" t="s">
        <v>4685</v>
      </c>
      <c r="H800" s="2">
        <v>0</v>
      </c>
      <c r="I800" t="s">
        <v>4685</v>
      </c>
      <c r="J800" t="str">
        <f t="shared" si="4"/>
        <v>normalweight</v>
      </c>
    </row>
    <row r="801" spans="1:10" ht="15.75" customHeight="1">
      <c r="A801" t="s">
        <v>3081</v>
      </c>
      <c r="B801">
        <v>34.56</v>
      </c>
      <c r="C801">
        <v>5.84</v>
      </c>
      <c r="E801" t="s">
        <v>4686</v>
      </c>
      <c r="F801" t="s">
        <v>4685</v>
      </c>
      <c r="G801" t="s">
        <v>4688</v>
      </c>
      <c r="H801" s="2">
        <v>1</v>
      </c>
      <c r="I801" t="s">
        <v>4685</v>
      </c>
      <c r="J801" t="str">
        <f t="shared" si="4"/>
        <v>normalweight</v>
      </c>
    </row>
    <row r="802" spans="1:10" ht="15.75" customHeight="1">
      <c r="A802" t="s">
        <v>3079</v>
      </c>
      <c r="B802">
        <v>28.2</v>
      </c>
      <c r="C802">
        <v>7.19</v>
      </c>
      <c r="D802" s="6" t="s">
        <v>4684</v>
      </c>
      <c r="E802" t="s">
        <v>4686</v>
      </c>
      <c r="F802" t="s">
        <v>4685</v>
      </c>
      <c r="G802" t="s">
        <v>4685</v>
      </c>
      <c r="H802" s="2">
        <v>2</v>
      </c>
      <c r="I802" t="s">
        <v>4685</v>
      </c>
      <c r="J802" t="str">
        <f t="shared" si="4"/>
        <v>normalweight</v>
      </c>
    </row>
    <row r="803" spans="1:10" ht="15.75" customHeight="1">
      <c r="A803" t="s">
        <v>3077</v>
      </c>
      <c r="B803">
        <v>30.43</v>
      </c>
      <c r="C803">
        <v>9.39</v>
      </c>
      <c r="D803" s="6" t="s">
        <v>4684</v>
      </c>
      <c r="E803" t="s">
        <v>4685</v>
      </c>
      <c r="F803" t="s">
        <v>4685</v>
      </c>
      <c r="G803" t="s">
        <v>4685</v>
      </c>
      <c r="H803" s="2">
        <v>0</v>
      </c>
      <c r="I803" t="s">
        <v>4685</v>
      </c>
      <c r="J803" t="str">
        <f t="shared" si="4"/>
        <v>normalweight</v>
      </c>
    </row>
    <row r="804" spans="1:10" ht="15.75" customHeight="1">
      <c r="A804" t="s">
        <v>3075</v>
      </c>
      <c r="B804">
        <v>32.395000000000003</v>
      </c>
      <c r="C804">
        <v>4.2699999999999996</v>
      </c>
      <c r="E804" t="s">
        <v>4686</v>
      </c>
      <c r="F804" t="s">
        <v>4685</v>
      </c>
      <c r="G804" t="s">
        <v>4685</v>
      </c>
      <c r="H804" s="2">
        <v>1</v>
      </c>
      <c r="I804" t="s">
        <v>4685</v>
      </c>
      <c r="J804" t="str">
        <f t="shared" si="4"/>
        <v>normalweight</v>
      </c>
    </row>
    <row r="805" spans="1:10" ht="15.75" customHeight="1">
      <c r="A805" t="s">
        <v>3073</v>
      </c>
      <c r="B805">
        <v>24.035</v>
      </c>
      <c r="C805">
        <v>11.71</v>
      </c>
      <c r="D805" s="6" t="s">
        <v>4684</v>
      </c>
      <c r="E805" t="s">
        <v>4685</v>
      </c>
      <c r="F805" t="s">
        <v>4685</v>
      </c>
      <c r="G805" t="s">
        <v>4685</v>
      </c>
      <c r="H805" s="2">
        <v>0</v>
      </c>
      <c r="I805" t="s">
        <v>4685</v>
      </c>
      <c r="J805" t="str">
        <f t="shared" si="4"/>
        <v>normalweight</v>
      </c>
    </row>
    <row r="806" spans="1:10" ht="15.75" customHeight="1">
      <c r="A806" t="s">
        <v>3071</v>
      </c>
      <c r="B806">
        <v>37.119999999999997</v>
      </c>
      <c r="C806">
        <v>5.29</v>
      </c>
      <c r="E806" t="s">
        <v>4685</v>
      </c>
      <c r="F806" t="s">
        <v>4685</v>
      </c>
      <c r="G806" t="s">
        <v>4685</v>
      </c>
      <c r="H806" s="2">
        <v>2</v>
      </c>
      <c r="I806" t="s">
        <v>4685</v>
      </c>
      <c r="J806" t="str">
        <f t="shared" si="4"/>
        <v>normalweight</v>
      </c>
    </row>
    <row r="807" spans="1:10" ht="15.75" customHeight="1">
      <c r="A807" t="s">
        <v>3069</v>
      </c>
      <c r="B807">
        <v>34.840000000000003</v>
      </c>
      <c r="C807">
        <v>6</v>
      </c>
      <c r="E807" t="s">
        <v>4686</v>
      </c>
      <c r="F807" t="s">
        <v>4685</v>
      </c>
      <c r="G807" t="s">
        <v>4688</v>
      </c>
      <c r="H807" s="2">
        <v>1</v>
      </c>
      <c r="I807" t="s">
        <v>4685</v>
      </c>
      <c r="J807" t="str">
        <f t="shared" si="4"/>
        <v>normalweight</v>
      </c>
    </row>
    <row r="808" spans="1:10" ht="15.75" customHeight="1">
      <c r="A808" t="s">
        <v>3067</v>
      </c>
      <c r="B808">
        <v>29.53</v>
      </c>
      <c r="C808">
        <v>10.64</v>
      </c>
      <c r="D808" s="6" t="s">
        <v>4684</v>
      </c>
      <c r="E808" t="s">
        <v>4685</v>
      </c>
      <c r="F808" t="s">
        <v>4685</v>
      </c>
      <c r="G808" t="s">
        <v>4685</v>
      </c>
      <c r="H808" s="2">
        <v>0</v>
      </c>
      <c r="I808" t="s">
        <v>4685</v>
      </c>
      <c r="J808" t="str">
        <f t="shared" si="4"/>
        <v>normalweight</v>
      </c>
    </row>
    <row r="809" spans="1:10" ht="15.75" customHeight="1">
      <c r="A809" t="s">
        <v>3065</v>
      </c>
      <c r="B809">
        <v>42.51</v>
      </c>
      <c r="C809">
        <v>8.2100000000000009</v>
      </c>
      <c r="D809" s="6" t="s">
        <v>4684</v>
      </c>
      <c r="E809" t="s">
        <v>4686</v>
      </c>
      <c r="F809" t="s">
        <v>4685</v>
      </c>
      <c r="G809" t="s">
        <v>4685</v>
      </c>
      <c r="H809" s="2">
        <v>0</v>
      </c>
      <c r="I809" t="s">
        <v>4685</v>
      </c>
      <c r="J809" t="str">
        <f t="shared" si="4"/>
        <v>normalweight</v>
      </c>
    </row>
    <row r="810" spans="1:10" ht="15.75" customHeight="1">
      <c r="A810" t="s">
        <v>3063</v>
      </c>
      <c r="B810">
        <v>38.14</v>
      </c>
      <c r="C810">
        <v>5.58</v>
      </c>
      <c r="E810" t="s">
        <v>4685</v>
      </c>
      <c r="F810" t="s">
        <v>4685</v>
      </c>
      <c r="G810" t="s">
        <v>4688</v>
      </c>
      <c r="H810" s="2">
        <v>1</v>
      </c>
      <c r="I810" t="s">
        <v>4685</v>
      </c>
      <c r="J810" t="str">
        <f t="shared" si="4"/>
        <v>normalweight</v>
      </c>
    </row>
    <row r="811" spans="1:10" ht="15.75" customHeight="1">
      <c r="A811" t="s">
        <v>3061</v>
      </c>
      <c r="B811">
        <v>39.93</v>
      </c>
      <c r="C811">
        <v>8.75</v>
      </c>
      <c r="D811" s="6" t="s">
        <v>4684</v>
      </c>
      <c r="E811" t="s">
        <v>4685</v>
      </c>
      <c r="F811" t="s">
        <v>4685</v>
      </c>
      <c r="G811" t="s">
        <v>4685</v>
      </c>
      <c r="H811" s="2">
        <v>0</v>
      </c>
      <c r="I811" t="s">
        <v>4685</v>
      </c>
      <c r="J811" t="str">
        <f t="shared" si="4"/>
        <v>normalweight</v>
      </c>
    </row>
    <row r="812" spans="1:10" ht="15.75" customHeight="1">
      <c r="A812" t="s">
        <v>3059</v>
      </c>
      <c r="B812">
        <v>38.83</v>
      </c>
      <c r="C812">
        <v>11.86</v>
      </c>
      <c r="D812" s="6" t="s">
        <v>4684</v>
      </c>
      <c r="E812" t="s">
        <v>4685</v>
      </c>
      <c r="F812" t="s">
        <v>4685</v>
      </c>
      <c r="G812" t="s">
        <v>4685</v>
      </c>
      <c r="H812" s="2">
        <v>0</v>
      </c>
      <c r="I812" t="s">
        <v>4685</v>
      </c>
      <c r="J812" t="str">
        <f t="shared" si="4"/>
        <v>normalweight</v>
      </c>
    </row>
    <row r="813" spans="1:10" ht="15.75" customHeight="1">
      <c r="A813" t="s">
        <v>3057</v>
      </c>
      <c r="B813">
        <v>37.4</v>
      </c>
      <c r="C813">
        <v>11.46</v>
      </c>
      <c r="D813" s="6" t="s">
        <v>4684</v>
      </c>
      <c r="E813" t="s">
        <v>4685</v>
      </c>
      <c r="F813" t="s">
        <v>4685</v>
      </c>
      <c r="G813" t="s">
        <v>4685</v>
      </c>
      <c r="H813" s="2">
        <v>0</v>
      </c>
      <c r="I813" t="s">
        <v>4685</v>
      </c>
      <c r="J813" t="str">
        <f t="shared" si="4"/>
        <v>normalweight</v>
      </c>
    </row>
    <row r="814" spans="1:10" ht="15.75" customHeight="1">
      <c r="A814" t="s">
        <v>3055</v>
      </c>
      <c r="B814">
        <v>21.4</v>
      </c>
      <c r="C814">
        <v>9.0299999999999994</v>
      </c>
      <c r="D814" s="6" t="s">
        <v>4684</v>
      </c>
      <c r="E814" t="s">
        <v>4685</v>
      </c>
      <c r="F814" t="s">
        <v>4685</v>
      </c>
      <c r="G814" t="s">
        <v>4685</v>
      </c>
      <c r="H814" s="2">
        <v>0</v>
      </c>
      <c r="I814" t="s">
        <v>4685</v>
      </c>
      <c r="J814" t="str">
        <f t="shared" si="4"/>
        <v>normalweight</v>
      </c>
    </row>
    <row r="815" spans="1:10" ht="15.75" customHeight="1">
      <c r="A815" t="s">
        <v>3053</v>
      </c>
      <c r="B815">
        <v>38.380000000000003</v>
      </c>
      <c r="C815">
        <v>8.26</v>
      </c>
      <c r="D815" s="6" t="s">
        <v>4684</v>
      </c>
      <c r="E815" t="s">
        <v>4686</v>
      </c>
      <c r="F815" t="s">
        <v>4685</v>
      </c>
      <c r="G815" t="s">
        <v>4685</v>
      </c>
      <c r="H815" s="2">
        <v>2</v>
      </c>
      <c r="I815" t="s">
        <v>4685</v>
      </c>
      <c r="J815" t="str">
        <f t="shared" si="4"/>
        <v>normalweight</v>
      </c>
    </row>
    <row r="816" spans="1:10" ht="15.75" customHeight="1">
      <c r="A816" t="s">
        <v>3051</v>
      </c>
      <c r="B816">
        <v>33.659999999999997</v>
      </c>
      <c r="C816">
        <v>5.42</v>
      </c>
      <c r="E816" t="s">
        <v>4686</v>
      </c>
      <c r="F816" t="s">
        <v>4685</v>
      </c>
      <c r="G816" t="s">
        <v>4685</v>
      </c>
      <c r="H816" s="2">
        <v>2</v>
      </c>
      <c r="I816" t="s">
        <v>4685</v>
      </c>
      <c r="J816" t="str">
        <f t="shared" si="4"/>
        <v>normalweight</v>
      </c>
    </row>
    <row r="817" spans="1:10" ht="15.75" customHeight="1">
      <c r="A817" t="s">
        <v>3049</v>
      </c>
      <c r="B817">
        <v>31.79</v>
      </c>
      <c r="C817">
        <v>11.33</v>
      </c>
      <c r="D817" s="6" t="s">
        <v>4684</v>
      </c>
      <c r="E817" t="s">
        <v>4686</v>
      </c>
      <c r="F817" t="s">
        <v>4685</v>
      </c>
      <c r="G817" t="s">
        <v>4688</v>
      </c>
      <c r="H817" s="2">
        <v>1</v>
      </c>
      <c r="I817" t="s">
        <v>4685</v>
      </c>
      <c r="J817" t="str">
        <f t="shared" si="4"/>
        <v>normalweight</v>
      </c>
    </row>
    <row r="818" spans="1:10" ht="15.75" customHeight="1">
      <c r="A818" t="s">
        <v>3047</v>
      </c>
      <c r="B818">
        <v>29.7</v>
      </c>
      <c r="C818">
        <v>7.69</v>
      </c>
      <c r="D818" s="6" t="s">
        <v>4684</v>
      </c>
      <c r="E818" t="s">
        <v>4686</v>
      </c>
      <c r="F818" t="s">
        <v>4685</v>
      </c>
      <c r="G818" t="s">
        <v>4688</v>
      </c>
      <c r="H818" s="2">
        <v>1</v>
      </c>
      <c r="I818" t="s">
        <v>4685</v>
      </c>
      <c r="J818" t="str">
        <f t="shared" si="4"/>
        <v>normalweight</v>
      </c>
    </row>
    <row r="819" spans="1:10" ht="15.75" customHeight="1">
      <c r="A819" t="s">
        <v>3045</v>
      </c>
      <c r="B819">
        <v>25.46</v>
      </c>
      <c r="C819">
        <v>8.77</v>
      </c>
      <c r="D819" s="6" t="s">
        <v>4684</v>
      </c>
      <c r="E819" t="s">
        <v>4686</v>
      </c>
      <c r="F819" t="s">
        <v>4685</v>
      </c>
      <c r="G819" t="s">
        <v>4688</v>
      </c>
      <c r="H819" s="2">
        <v>1</v>
      </c>
      <c r="I819" t="s">
        <v>4685</v>
      </c>
      <c r="J819" t="str">
        <f t="shared" si="4"/>
        <v>normalweight</v>
      </c>
    </row>
    <row r="820" spans="1:10" ht="15.75" customHeight="1">
      <c r="A820" t="s">
        <v>3043</v>
      </c>
      <c r="B820">
        <v>39.14</v>
      </c>
      <c r="C820">
        <v>4.91</v>
      </c>
      <c r="E820" t="s">
        <v>4685</v>
      </c>
      <c r="F820" t="s">
        <v>4686</v>
      </c>
      <c r="G820" t="s">
        <v>4685</v>
      </c>
      <c r="H820" s="2">
        <v>1</v>
      </c>
      <c r="I820" t="s">
        <v>4685</v>
      </c>
      <c r="J820" t="str">
        <f t="shared" si="4"/>
        <v>normalweight</v>
      </c>
    </row>
    <row r="821" spans="1:10" ht="15.75" customHeight="1">
      <c r="A821" t="s">
        <v>3041</v>
      </c>
      <c r="B821">
        <v>41.2</v>
      </c>
      <c r="C821">
        <v>4.95</v>
      </c>
      <c r="E821" t="s">
        <v>4685</v>
      </c>
      <c r="F821" t="s">
        <v>4685</v>
      </c>
      <c r="G821" t="s">
        <v>4685</v>
      </c>
      <c r="H821" s="2">
        <v>1</v>
      </c>
      <c r="I821" t="s">
        <v>4685</v>
      </c>
      <c r="J821" t="str">
        <f t="shared" si="4"/>
        <v>normalweight</v>
      </c>
    </row>
    <row r="822" spans="1:10" ht="15.75" customHeight="1">
      <c r="A822" t="s">
        <v>3039</v>
      </c>
      <c r="B822">
        <v>28.81</v>
      </c>
      <c r="C822">
        <v>10.8</v>
      </c>
      <c r="D822" s="6" t="s">
        <v>4684</v>
      </c>
      <c r="E822" t="s">
        <v>4686</v>
      </c>
      <c r="F822" t="s">
        <v>4685</v>
      </c>
      <c r="G822" t="s">
        <v>4688</v>
      </c>
      <c r="H822" s="2">
        <v>1</v>
      </c>
      <c r="I822" t="s">
        <v>4685</v>
      </c>
      <c r="J822" t="str">
        <f t="shared" si="4"/>
        <v>normalweight</v>
      </c>
    </row>
    <row r="823" spans="1:10" ht="15.75" customHeight="1">
      <c r="A823" t="s">
        <v>3037</v>
      </c>
      <c r="B823">
        <v>37.409999999999997</v>
      </c>
      <c r="C823">
        <v>7.21</v>
      </c>
      <c r="D823" s="6" t="s">
        <v>4684</v>
      </c>
      <c r="E823" t="s">
        <v>4685</v>
      </c>
      <c r="F823" t="s">
        <v>4685</v>
      </c>
      <c r="G823" t="s">
        <v>4685</v>
      </c>
      <c r="H823" s="2">
        <v>2</v>
      </c>
      <c r="I823" t="s">
        <v>4685</v>
      </c>
      <c r="J823" t="str">
        <f t="shared" si="4"/>
        <v>normalweight</v>
      </c>
    </row>
    <row r="824" spans="1:10" ht="15.75" customHeight="1">
      <c r="A824" t="s">
        <v>3035</v>
      </c>
      <c r="B824">
        <v>52.54</v>
      </c>
      <c r="C824">
        <v>5.12</v>
      </c>
      <c r="E824" t="s">
        <v>4685</v>
      </c>
      <c r="F824" t="s">
        <v>4685</v>
      </c>
      <c r="G824" t="s">
        <v>4688</v>
      </c>
      <c r="H824" s="2">
        <v>1</v>
      </c>
      <c r="I824" t="s">
        <v>4685</v>
      </c>
      <c r="J824" t="str">
        <f t="shared" si="4"/>
        <v>normalweight</v>
      </c>
    </row>
    <row r="825" spans="1:10" ht="15.75" customHeight="1">
      <c r="A825" t="s">
        <v>3033</v>
      </c>
      <c r="B825">
        <v>17.29</v>
      </c>
      <c r="C825">
        <v>4.62</v>
      </c>
      <c r="E825" t="s">
        <v>4685</v>
      </c>
      <c r="F825" t="s">
        <v>4686</v>
      </c>
      <c r="G825" t="s">
        <v>4685</v>
      </c>
      <c r="H825" s="2">
        <v>1</v>
      </c>
      <c r="I825" t="s">
        <v>4686</v>
      </c>
      <c r="J825" t="str">
        <f t="shared" si="4"/>
        <v>underweight</v>
      </c>
    </row>
    <row r="826" spans="1:10" ht="15.75" customHeight="1">
      <c r="A826" t="s">
        <v>3031</v>
      </c>
      <c r="B826">
        <v>31.74</v>
      </c>
      <c r="C826">
        <v>7.68</v>
      </c>
      <c r="D826" s="6" t="s">
        <v>4684</v>
      </c>
      <c r="E826" t="s">
        <v>4686</v>
      </c>
      <c r="F826" t="s">
        <v>4685</v>
      </c>
      <c r="G826" t="s">
        <v>4685</v>
      </c>
      <c r="H826" s="2">
        <v>0</v>
      </c>
      <c r="I826" t="s">
        <v>4685</v>
      </c>
      <c r="J826" t="str">
        <f t="shared" si="4"/>
        <v>normalweight</v>
      </c>
    </row>
    <row r="827" spans="1:10" ht="15.75" customHeight="1">
      <c r="A827" t="s">
        <v>3029</v>
      </c>
      <c r="B827">
        <v>26.504999999999999</v>
      </c>
      <c r="C827">
        <v>6.79</v>
      </c>
      <c r="D827" s="6" t="s">
        <v>4684</v>
      </c>
      <c r="E827" t="s">
        <v>4686</v>
      </c>
      <c r="F827" t="s">
        <v>4685</v>
      </c>
      <c r="G827" t="s">
        <v>4688</v>
      </c>
      <c r="H827" s="2">
        <v>1</v>
      </c>
      <c r="I827" t="s">
        <v>4685</v>
      </c>
      <c r="J827" t="str">
        <f t="shared" si="4"/>
        <v>normalweight</v>
      </c>
    </row>
    <row r="828" spans="1:10" ht="15.75" customHeight="1">
      <c r="A828" t="s">
        <v>3027</v>
      </c>
      <c r="B828">
        <v>36.479999999999997</v>
      </c>
      <c r="C828">
        <v>11.09</v>
      </c>
      <c r="D828" s="6" t="s">
        <v>4684</v>
      </c>
      <c r="E828" t="s">
        <v>4685</v>
      </c>
      <c r="F828" t="s">
        <v>4685</v>
      </c>
      <c r="G828" t="s">
        <v>4685</v>
      </c>
      <c r="H828" s="2">
        <v>0</v>
      </c>
      <c r="I828" t="s">
        <v>4685</v>
      </c>
      <c r="J828" t="str">
        <f t="shared" si="4"/>
        <v>normalweight</v>
      </c>
    </row>
    <row r="829" spans="1:10" ht="15.75" customHeight="1">
      <c r="A829" t="s">
        <v>3025</v>
      </c>
      <c r="B829">
        <v>39.159999999999997</v>
      </c>
      <c r="C829">
        <v>5.24</v>
      </c>
      <c r="E829" t="s">
        <v>4686</v>
      </c>
      <c r="F829" t="s">
        <v>4685</v>
      </c>
      <c r="G829" t="s">
        <v>4688</v>
      </c>
      <c r="H829" s="2">
        <v>1</v>
      </c>
      <c r="I829" t="s">
        <v>4685</v>
      </c>
      <c r="J829" t="str">
        <f t="shared" si="4"/>
        <v>normalweight</v>
      </c>
    </row>
    <row r="830" spans="1:10" ht="15.75" customHeight="1">
      <c r="A830" t="s">
        <v>3023</v>
      </c>
      <c r="B830">
        <v>28.22</v>
      </c>
      <c r="C830">
        <v>7.51</v>
      </c>
      <c r="D830" s="6" t="s">
        <v>4684</v>
      </c>
      <c r="E830" t="s">
        <v>4686</v>
      </c>
      <c r="F830" t="s">
        <v>4685</v>
      </c>
      <c r="G830" t="s">
        <v>4688</v>
      </c>
      <c r="H830" s="2">
        <v>1</v>
      </c>
      <c r="I830" t="s">
        <v>4685</v>
      </c>
      <c r="J830" t="str">
        <f t="shared" si="4"/>
        <v>normalweight</v>
      </c>
    </row>
    <row r="831" spans="1:10" ht="15.75" customHeight="1">
      <c r="A831" t="s">
        <v>3021</v>
      </c>
      <c r="B831">
        <v>35</v>
      </c>
      <c r="C831">
        <v>4.13</v>
      </c>
      <c r="E831" t="s">
        <v>4685</v>
      </c>
      <c r="F831" t="s">
        <v>4685</v>
      </c>
      <c r="G831" t="s">
        <v>4685</v>
      </c>
      <c r="H831" s="2">
        <v>2</v>
      </c>
      <c r="I831" t="s">
        <v>4685</v>
      </c>
      <c r="J831" t="str">
        <f t="shared" si="4"/>
        <v>normalweight</v>
      </c>
    </row>
    <row r="832" spans="1:10" ht="15.75" customHeight="1">
      <c r="A832" t="s">
        <v>3019</v>
      </c>
      <c r="B832">
        <v>36.24</v>
      </c>
      <c r="C832">
        <v>8.3800000000000008</v>
      </c>
      <c r="D832" s="6" t="s">
        <v>4684</v>
      </c>
      <c r="E832" t="s">
        <v>4686</v>
      </c>
      <c r="F832" t="s">
        <v>4685</v>
      </c>
      <c r="G832" t="s">
        <v>4685</v>
      </c>
      <c r="H832" s="2">
        <v>1</v>
      </c>
      <c r="I832" t="s">
        <v>4685</v>
      </c>
      <c r="J832" t="str">
        <f t="shared" si="4"/>
        <v>normalweight</v>
      </c>
    </row>
    <row r="833" spans="1:10" ht="15.75" customHeight="1">
      <c r="A833" t="s">
        <v>3017</v>
      </c>
      <c r="B833">
        <v>36.954999999999998</v>
      </c>
      <c r="C833">
        <v>8.07</v>
      </c>
      <c r="D833" s="6" t="s">
        <v>4684</v>
      </c>
      <c r="E833" t="s">
        <v>4685</v>
      </c>
      <c r="F833" t="s">
        <v>4685</v>
      </c>
      <c r="G833" t="s">
        <v>4685</v>
      </c>
      <c r="H833" s="2">
        <v>0</v>
      </c>
      <c r="I833" t="s">
        <v>4685</v>
      </c>
      <c r="J833" t="str">
        <f t="shared" si="4"/>
        <v>normalweight</v>
      </c>
    </row>
    <row r="834" spans="1:10" ht="15.75" customHeight="1">
      <c r="A834" t="s">
        <v>3015</v>
      </c>
      <c r="B834">
        <v>29.64</v>
      </c>
      <c r="C834">
        <v>8.9499999999999993</v>
      </c>
      <c r="D834" s="6" t="s">
        <v>4684</v>
      </c>
      <c r="E834" t="s">
        <v>4685</v>
      </c>
      <c r="F834" t="s">
        <v>4685</v>
      </c>
      <c r="G834" t="s">
        <v>4685</v>
      </c>
      <c r="H834" s="2">
        <v>0</v>
      </c>
      <c r="I834" t="s">
        <v>4685</v>
      </c>
      <c r="J834" t="str">
        <f t="shared" si="4"/>
        <v>normalweight</v>
      </c>
    </row>
    <row r="835" spans="1:10" ht="15.75" customHeight="1">
      <c r="A835" t="s">
        <v>3013</v>
      </c>
      <c r="B835">
        <v>42.74</v>
      </c>
      <c r="C835">
        <v>6.31</v>
      </c>
      <c r="E835" t="s">
        <v>4686</v>
      </c>
      <c r="F835" t="s">
        <v>4685</v>
      </c>
      <c r="G835" t="s">
        <v>4685</v>
      </c>
      <c r="H835" s="2">
        <v>1</v>
      </c>
      <c r="I835" t="s">
        <v>4685</v>
      </c>
      <c r="J835" t="str">
        <f t="shared" si="4"/>
        <v>normalweight</v>
      </c>
    </row>
    <row r="836" spans="1:10" ht="15.75" customHeight="1">
      <c r="A836" t="s">
        <v>3011</v>
      </c>
      <c r="B836">
        <v>36.130000000000003</v>
      </c>
      <c r="C836">
        <v>7.19</v>
      </c>
      <c r="D836" s="6" t="s">
        <v>4684</v>
      </c>
      <c r="E836" t="s">
        <v>4686</v>
      </c>
      <c r="F836" t="s">
        <v>4685</v>
      </c>
      <c r="G836" t="s">
        <v>4685</v>
      </c>
      <c r="H836" s="2">
        <v>2</v>
      </c>
      <c r="I836" t="s">
        <v>4685</v>
      </c>
      <c r="J836" t="str">
        <f t="shared" si="4"/>
        <v>normalweight</v>
      </c>
    </row>
    <row r="837" spans="1:10" ht="15.75" customHeight="1">
      <c r="A837" t="s">
        <v>3009</v>
      </c>
      <c r="B837">
        <v>31.55</v>
      </c>
      <c r="C837">
        <v>6.11</v>
      </c>
      <c r="E837" t="s">
        <v>4686</v>
      </c>
      <c r="F837" t="s">
        <v>4685</v>
      </c>
      <c r="G837" t="s">
        <v>4685</v>
      </c>
      <c r="H837" s="2">
        <v>1</v>
      </c>
      <c r="I837" t="s">
        <v>4685</v>
      </c>
      <c r="J837" t="str">
        <f t="shared" si="4"/>
        <v>normalweight</v>
      </c>
    </row>
    <row r="838" spans="1:10" ht="15.75" customHeight="1">
      <c r="A838" t="s">
        <v>3007</v>
      </c>
      <c r="B838">
        <v>52.75</v>
      </c>
      <c r="C838">
        <v>6.02</v>
      </c>
      <c r="E838" t="s">
        <v>4685</v>
      </c>
      <c r="F838" t="s">
        <v>4685</v>
      </c>
      <c r="G838" t="s">
        <v>4685</v>
      </c>
      <c r="H838" s="2">
        <v>1</v>
      </c>
      <c r="I838" t="s">
        <v>4685</v>
      </c>
      <c r="J838" t="str">
        <f t="shared" si="4"/>
        <v>normalweight</v>
      </c>
    </row>
    <row r="839" spans="1:10" ht="15.75" customHeight="1">
      <c r="A839" t="s">
        <v>3005</v>
      </c>
      <c r="B839">
        <v>36.67</v>
      </c>
      <c r="C839">
        <v>11.86</v>
      </c>
      <c r="D839" s="6" t="s">
        <v>4684</v>
      </c>
      <c r="E839" t="s">
        <v>4685</v>
      </c>
      <c r="F839" t="s">
        <v>4685</v>
      </c>
      <c r="G839" t="s">
        <v>4685</v>
      </c>
      <c r="H839" s="2">
        <v>0</v>
      </c>
      <c r="I839" t="s">
        <v>4685</v>
      </c>
      <c r="J839" t="str">
        <f t="shared" si="4"/>
        <v>normalweight</v>
      </c>
    </row>
    <row r="840" spans="1:10" ht="15.75" customHeight="1">
      <c r="A840" t="s">
        <v>3003</v>
      </c>
      <c r="B840">
        <v>38.06</v>
      </c>
      <c r="C840">
        <v>8.25</v>
      </c>
      <c r="D840" s="6" t="s">
        <v>4684</v>
      </c>
      <c r="E840" t="s">
        <v>4685</v>
      </c>
      <c r="F840" t="s">
        <v>4685</v>
      </c>
      <c r="G840" t="s">
        <v>4685</v>
      </c>
      <c r="H840" s="2">
        <v>0</v>
      </c>
      <c r="I840" t="s">
        <v>4685</v>
      </c>
      <c r="J840" t="str">
        <f t="shared" si="4"/>
        <v>normalweight</v>
      </c>
    </row>
    <row r="841" spans="1:10" ht="15.75" customHeight="1">
      <c r="A841" t="s">
        <v>3001</v>
      </c>
      <c r="B841">
        <v>38</v>
      </c>
      <c r="C841">
        <v>8.1300000000000008</v>
      </c>
      <c r="D841" s="6" t="s">
        <v>4684</v>
      </c>
      <c r="E841" t="s">
        <v>4685</v>
      </c>
      <c r="F841" t="s">
        <v>4685</v>
      </c>
      <c r="G841" t="s">
        <v>4685</v>
      </c>
      <c r="H841" s="2">
        <v>0</v>
      </c>
      <c r="I841" t="s">
        <v>4685</v>
      </c>
      <c r="J841" t="str">
        <f t="shared" si="4"/>
        <v>normalweight</v>
      </c>
    </row>
    <row r="842" spans="1:10" ht="15.75" customHeight="1">
      <c r="A842" t="s">
        <v>2999</v>
      </c>
      <c r="B842">
        <v>35.1</v>
      </c>
      <c r="C842">
        <v>10.1</v>
      </c>
      <c r="D842" s="6" t="s">
        <v>4684</v>
      </c>
      <c r="E842" t="s">
        <v>4685</v>
      </c>
      <c r="F842" t="s">
        <v>4685</v>
      </c>
      <c r="G842" t="s">
        <v>4685</v>
      </c>
      <c r="H842" s="2">
        <v>0</v>
      </c>
      <c r="I842" t="s">
        <v>4685</v>
      </c>
      <c r="J842" t="str">
        <f t="shared" si="4"/>
        <v>normalweight</v>
      </c>
    </row>
    <row r="843" spans="1:10" ht="15.75" customHeight="1">
      <c r="A843" t="s">
        <v>2997</v>
      </c>
      <c r="B843">
        <v>33.82</v>
      </c>
      <c r="C843">
        <v>5.89</v>
      </c>
      <c r="E843" t="s">
        <v>4686</v>
      </c>
      <c r="F843" t="s">
        <v>4685</v>
      </c>
      <c r="G843" t="s">
        <v>4685</v>
      </c>
      <c r="H843" s="2">
        <v>2</v>
      </c>
      <c r="I843" t="s">
        <v>4685</v>
      </c>
      <c r="J843" t="str">
        <f t="shared" si="4"/>
        <v>normalweight</v>
      </c>
    </row>
    <row r="844" spans="1:10" ht="15.75" customHeight="1">
      <c r="A844" t="s">
        <v>2995</v>
      </c>
      <c r="B844">
        <v>37.43</v>
      </c>
      <c r="C844">
        <v>4.97</v>
      </c>
      <c r="E844" t="s">
        <v>4685</v>
      </c>
      <c r="F844" t="s">
        <v>4685</v>
      </c>
      <c r="G844" t="s">
        <v>4685</v>
      </c>
      <c r="H844" s="2">
        <v>2</v>
      </c>
      <c r="I844" t="s">
        <v>4685</v>
      </c>
      <c r="J844" t="str">
        <f t="shared" si="4"/>
        <v>normalweight</v>
      </c>
    </row>
    <row r="845" spans="1:10" ht="15.75" customHeight="1">
      <c r="A845" t="s">
        <v>2993</v>
      </c>
      <c r="B845">
        <v>30.5</v>
      </c>
      <c r="C845">
        <v>9.9</v>
      </c>
      <c r="D845" s="6" t="s">
        <v>4684</v>
      </c>
      <c r="E845" t="s">
        <v>4685</v>
      </c>
      <c r="F845" t="s">
        <v>4685</v>
      </c>
      <c r="G845" t="s">
        <v>4685</v>
      </c>
      <c r="H845" s="2">
        <v>0</v>
      </c>
      <c r="I845" t="s">
        <v>4685</v>
      </c>
      <c r="J845" t="str">
        <f t="shared" si="4"/>
        <v>normalweight</v>
      </c>
    </row>
    <row r="846" spans="1:10" ht="15.75" customHeight="1">
      <c r="A846" t="s">
        <v>2991</v>
      </c>
      <c r="B846">
        <v>24.53</v>
      </c>
      <c r="C846">
        <v>9.0500000000000007</v>
      </c>
      <c r="D846" s="6" t="s">
        <v>4684</v>
      </c>
      <c r="E846" t="s">
        <v>4685</v>
      </c>
      <c r="F846" t="s">
        <v>4685</v>
      </c>
      <c r="G846" t="s">
        <v>4685</v>
      </c>
      <c r="H846" s="2">
        <v>0</v>
      </c>
      <c r="I846" t="s">
        <v>4685</v>
      </c>
      <c r="J846" t="str">
        <f t="shared" si="4"/>
        <v>normalweight</v>
      </c>
    </row>
    <row r="847" spans="1:10" ht="15.75" customHeight="1">
      <c r="A847" t="s">
        <v>2989</v>
      </c>
      <c r="B847">
        <v>25.74</v>
      </c>
      <c r="C847">
        <v>10.93</v>
      </c>
      <c r="D847" s="6" t="s">
        <v>4684</v>
      </c>
      <c r="E847" t="s">
        <v>4685</v>
      </c>
      <c r="F847" t="s">
        <v>4685</v>
      </c>
      <c r="G847" t="s">
        <v>4685</v>
      </c>
      <c r="H847" s="2">
        <v>0</v>
      </c>
      <c r="I847" t="s">
        <v>4685</v>
      </c>
      <c r="J847" t="str">
        <f t="shared" si="4"/>
        <v>normalweight</v>
      </c>
    </row>
    <row r="848" spans="1:10" ht="15.75" customHeight="1">
      <c r="A848" t="s">
        <v>2987</v>
      </c>
      <c r="B848">
        <v>34.08</v>
      </c>
      <c r="C848">
        <v>7.58</v>
      </c>
      <c r="D848" s="6" t="s">
        <v>4684</v>
      </c>
      <c r="E848" t="s">
        <v>4686</v>
      </c>
      <c r="F848" t="s">
        <v>4685</v>
      </c>
      <c r="G848" t="s">
        <v>4685</v>
      </c>
      <c r="H848" s="2">
        <v>2</v>
      </c>
      <c r="I848" t="s">
        <v>4685</v>
      </c>
      <c r="J848" t="str">
        <f t="shared" si="4"/>
        <v>normalweight</v>
      </c>
    </row>
    <row r="849" spans="1:10" ht="15.75" customHeight="1">
      <c r="A849" t="s">
        <v>2985</v>
      </c>
      <c r="B849">
        <v>31.35</v>
      </c>
      <c r="C849">
        <v>11</v>
      </c>
      <c r="D849" s="6" t="s">
        <v>4684</v>
      </c>
      <c r="E849" t="s">
        <v>4686</v>
      </c>
      <c r="F849" t="s">
        <v>4685</v>
      </c>
      <c r="G849" t="s">
        <v>4688</v>
      </c>
      <c r="H849" s="2">
        <v>1</v>
      </c>
      <c r="I849" t="s">
        <v>4685</v>
      </c>
      <c r="J849" t="str">
        <f t="shared" si="4"/>
        <v>normalweight</v>
      </c>
    </row>
    <row r="850" spans="1:10" ht="15.75" customHeight="1">
      <c r="A850" t="s">
        <v>2983</v>
      </c>
      <c r="B850">
        <v>26.79</v>
      </c>
      <c r="C850">
        <v>5.0599999999999996</v>
      </c>
      <c r="E850" t="s">
        <v>4685</v>
      </c>
      <c r="F850" t="s">
        <v>4685</v>
      </c>
      <c r="G850" t="s">
        <v>4685</v>
      </c>
      <c r="H850" s="2">
        <v>1</v>
      </c>
      <c r="I850" t="s">
        <v>4685</v>
      </c>
      <c r="J850" t="str">
        <f t="shared" si="4"/>
        <v>normalweight</v>
      </c>
    </row>
    <row r="851" spans="1:10" ht="15.75" customHeight="1">
      <c r="A851" t="s">
        <v>2981</v>
      </c>
      <c r="B851">
        <v>42.78</v>
      </c>
      <c r="C851">
        <v>6.11</v>
      </c>
      <c r="E851" t="s">
        <v>4686</v>
      </c>
      <c r="F851" t="s">
        <v>4685</v>
      </c>
      <c r="G851" t="s">
        <v>4685</v>
      </c>
      <c r="H851" s="2">
        <v>1</v>
      </c>
      <c r="I851" t="s">
        <v>4685</v>
      </c>
      <c r="J851" t="str">
        <f t="shared" si="4"/>
        <v>normalweight</v>
      </c>
    </row>
    <row r="852" spans="1:10" ht="15.75" customHeight="1">
      <c r="A852" t="s">
        <v>2979</v>
      </c>
      <c r="B852">
        <v>46.75</v>
      </c>
      <c r="C852">
        <v>6.66</v>
      </c>
      <c r="D852" s="6" t="s">
        <v>4684</v>
      </c>
      <c r="E852" t="s">
        <v>4686</v>
      </c>
      <c r="F852" t="s">
        <v>4685</v>
      </c>
      <c r="G852" t="s">
        <v>4685</v>
      </c>
      <c r="H852" s="2">
        <v>2</v>
      </c>
      <c r="I852" t="s">
        <v>4685</v>
      </c>
      <c r="J852" t="str">
        <f t="shared" si="4"/>
        <v>normalweight</v>
      </c>
    </row>
    <row r="853" spans="1:10" ht="15.75" customHeight="1">
      <c r="A853" t="s">
        <v>2977</v>
      </c>
      <c r="B853">
        <v>32.15</v>
      </c>
      <c r="C853">
        <v>4.0199999999999996</v>
      </c>
      <c r="E853" t="s">
        <v>4686</v>
      </c>
      <c r="F853" t="s">
        <v>4685</v>
      </c>
      <c r="G853" t="s">
        <v>4688</v>
      </c>
      <c r="H853" s="2">
        <v>1</v>
      </c>
      <c r="I853" t="s">
        <v>4685</v>
      </c>
      <c r="J853" t="str">
        <f t="shared" si="4"/>
        <v>normalweight</v>
      </c>
    </row>
    <row r="854" spans="1:10" ht="15.75" customHeight="1">
      <c r="A854" t="s">
        <v>2975</v>
      </c>
      <c r="B854">
        <v>43.4</v>
      </c>
      <c r="C854">
        <v>8.81</v>
      </c>
      <c r="D854" s="6" t="s">
        <v>4684</v>
      </c>
      <c r="E854" t="s">
        <v>4686</v>
      </c>
      <c r="F854" t="s">
        <v>4685</v>
      </c>
      <c r="G854" t="s">
        <v>4685</v>
      </c>
      <c r="H854" s="2">
        <v>2</v>
      </c>
      <c r="I854" t="s">
        <v>4685</v>
      </c>
      <c r="J854" t="str">
        <f t="shared" si="4"/>
        <v>normalweight</v>
      </c>
    </row>
    <row r="855" spans="1:10" ht="15.75" customHeight="1">
      <c r="A855" t="s">
        <v>2973</v>
      </c>
      <c r="B855">
        <v>31.57</v>
      </c>
      <c r="C855">
        <v>7.92</v>
      </c>
      <c r="D855" s="6" t="s">
        <v>4684</v>
      </c>
      <c r="E855" t="s">
        <v>4686</v>
      </c>
      <c r="F855" t="s">
        <v>4685</v>
      </c>
      <c r="G855" t="s">
        <v>4685</v>
      </c>
      <c r="H855" s="2">
        <v>2</v>
      </c>
      <c r="I855" t="s">
        <v>4685</v>
      </c>
      <c r="J855" t="str">
        <f t="shared" si="4"/>
        <v>normalweight</v>
      </c>
    </row>
    <row r="856" spans="1:10" ht="15.75" customHeight="1">
      <c r="A856" t="s">
        <v>2971</v>
      </c>
      <c r="B856">
        <v>24.32</v>
      </c>
      <c r="C856">
        <v>7.48</v>
      </c>
      <c r="D856" s="6" t="s">
        <v>4684</v>
      </c>
      <c r="E856" t="s">
        <v>4685</v>
      </c>
      <c r="F856" t="s">
        <v>4685</v>
      </c>
      <c r="G856" t="s">
        <v>4685</v>
      </c>
      <c r="H856" s="2">
        <v>0</v>
      </c>
      <c r="I856" t="s">
        <v>4685</v>
      </c>
      <c r="J856" t="str">
        <f t="shared" si="4"/>
        <v>normalweight</v>
      </c>
    </row>
    <row r="857" spans="1:10" ht="15.75" customHeight="1">
      <c r="A857" t="s">
        <v>2969</v>
      </c>
      <c r="B857">
        <v>31.07</v>
      </c>
      <c r="C857">
        <v>4.62</v>
      </c>
      <c r="E857" t="s">
        <v>4686</v>
      </c>
      <c r="F857" t="s">
        <v>4685</v>
      </c>
      <c r="G857" t="s">
        <v>4685</v>
      </c>
      <c r="H857" s="2">
        <v>2</v>
      </c>
      <c r="I857" t="s">
        <v>4685</v>
      </c>
      <c r="J857" t="str">
        <f t="shared" si="4"/>
        <v>normalweight</v>
      </c>
    </row>
    <row r="858" spans="1:10" ht="15.75" customHeight="1">
      <c r="A858" t="s">
        <v>2967</v>
      </c>
      <c r="B858">
        <v>35.814999999999998</v>
      </c>
      <c r="C858">
        <v>8.4700000000000006</v>
      </c>
      <c r="D858" s="6" t="s">
        <v>4684</v>
      </c>
      <c r="E858" t="s">
        <v>4685</v>
      </c>
      <c r="F858" t="s">
        <v>4685</v>
      </c>
      <c r="G858" t="s">
        <v>4685</v>
      </c>
      <c r="H858" s="2">
        <v>0</v>
      </c>
      <c r="I858" t="s">
        <v>4685</v>
      </c>
      <c r="J858" t="str">
        <f t="shared" si="4"/>
        <v>normalweight</v>
      </c>
    </row>
    <row r="859" spans="1:10" ht="15.75" customHeight="1">
      <c r="A859" t="s">
        <v>2965</v>
      </c>
      <c r="B859">
        <v>40.81</v>
      </c>
      <c r="C859">
        <v>10.58</v>
      </c>
      <c r="D859" s="6" t="s">
        <v>4684</v>
      </c>
      <c r="E859" t="s">
        <v>4686</v>
      </c>
      <c r="F859" t="s">
        <v>4685</v>
      </c>
      <c r="G859" t="s">
        <v>4685</v>
      </c>
      <c r="H859" s="2">
        <v>0</v>
      </c>
      <c r="I859" t="s">
        <v>4685</v>
      </c>
      <c r="J859" t="str">
        <f t="shared" si="4"/>
        <v>normalweight</v>
      </c>
    </row>
    <row r="860" spans="1:10" ht="15.75" customHeight="1">
      <c r="A860" t="s">
        <v>2963</v>
      </c>
      <c r="B860">
        <v>24.605</v>
      </c>
      <c r="C860">
        <v>7.48</v>
      </c>
      <c r="D860" s="6" t="s">
        <v>4684</v>
      </c>
      <c r="E860" t="s">
        <v>4685</v>
      </c>
      <c r="F860" t="s">
        <v>4685</v>
      </c>
      <c r="G860" t="s">
        <v>4685</v>
      </c>
      <c r="H860" s="2">
        <v>0</v>
      </c>
      <c r="I860" t="s">
        <v>4685</v>
      </c>
      <c r="J860" t="str">
        <f t="shared" si="4"/>
        <v>normalweight</v>
      </c>
    </row>
    <row r="861" spans="1:10" ht="15.75" customHeight="1">
      <c r="A861" t="s">
        <v>2961</v>
      </c>
      <c r="B861">
        <v>21.47</v>
      </c>
      <c r="C861">
        <v>7.82</v>
      </c>
      <c r="D861" s="6" t="s">
        <v>4684</v>
      </c>
      <c r="E861" t="s">
        <v>4685</v>
      </c>
      <c r="F861" t="s">
        <v>4685</v>
      </c>
      <c r="G861" t="s">
        <v>4685</v>
      </c>
      <c r="H861" s="2">
        <v>0</v>
      </c>
      <c r="I861" t="s">
        <v>4685</v>
      </c>
      <c r="J861" t="str">
        <f t="shared" si="4"/>
        <v>normalweight</v>
      </c>
    </row>
    <row r="862" spans="1:10" ht="15.75" customHeight="1">
      <c r="A862" t="s">
        <v>2959</v>
      </c>
      <c r="B862">
        <v>52.89</v>
      </c>
      <c r="C862">
        <v>4.96</v>
      </c>
      <c r="E862" t="s">
        <v>4686</v>
      </c>
      <c r="F862" t="s">
        <v>4685</v>
      </c>
      <c r="G862" t="s">
        <v>4685</v>
      </c>
      <c r="H862" s="2">
        <v>1</v>
      </c>
      <c r="I862" t="s">
        <v>4685</v>
      </c>
      <c r="J862" t="str">
        <f t="shared" si="4"/>
        <v>normalweight</v>
      </c>
    </row>
    <row r="863" spans="1:10" ht="15.75" customHeight="1">
      <c r="A863" t="s">
        <v>2957</v>
      </c>
      <c r="B863">
        <v>32.965000000000003</v>
      </c>
      <c r="C863">
        <v>6.15</v>
      </c>
      <c r="E863" t="s">
        <v>4686</v>
      </c>
      <c r="F863" t="s">
        <v>4685</v>
      </c>
      <c r="G863" t="s">
        <v>4685</v>
      </c>
      <c r="H863" s="2">
        <v>1</v>
      </c>
      <c r="I863" t="s">
        <v>4685</v>
      </c>
      <c r="J863" t="str">
        <f t="shared" si="4"/>
        <v>normalweight</v>
      </c>
    </row>
    <row r="864" spans="1:10" ht="15.75" customHeight="1">
      <c r="A864" t="s">
        <v>2955</v>
      </c>
      <c r="B864">
        <v>36.799999999999997</v>
      </c>
      <c r="C864">
        <v>4.62</v>
      </c>
      <c r="E864" t="s">
        <v>4685</v>
      </c>
      <c r="F864" t="s">
        <v>4685</v>
      </c>
      <c r="G864" t="s">
        <v>4688</v>
      </c>
      <c r="H864" s="2">
        <v>1</v>
      </c>
      <c r="I864" t="s">
        <v>4685</v>
      </c>
      <c r="J864" t="str">
        <f t="shared" si="4"/>
        <v>normalweight</v>
      </c>
    </row>
    <row r="865" spans="1:10" ht="15.75" customHeight="1">
      <c r="A865" t="s">
        <v>2953</v>
      </c>
      <c r="B865">
        <v>34.299999999999997</v>
      </c>
      <c r="C865">
        <v>4.87</v>
      </c>
      <c r="E865" t="s">
        <v>4685</v>
      </c>
      <c r="F865" t="s">
        <v>4685</v>
      </c>
      <c r="G865" t="s">
        <v>4685</v>
      </c>
      <c r="H865" s="2">
        <v>2</v>
      </c>
      <c r="I865" t="s">
        <v>4685</v>
      </c>
      <c r="J865" t="str">
        <f t="shared" si="4"/>
        <v>normalweight</v>
      </c>
    </row>
    <row r="866" spans="1:10" ht="15.75" customHeight="1">
      <c r="A866" t="s">
        <v>2951</v>
      </c>
      <c r="B866">
        <v>35.244999999999997</v>
      </c>
      <c r="C866">
        <v>4.63</v>
      </c>
      <c r="E866" t="s">
        <v>4685</v>
      </c>
      <c r="F866" t="s">
        <v>4685</v>
      </c>
      <c r="G866" t="s">
        <v>4685</v>
      </c>
      <c r="H866" s="2">
        <v>0</v>
      </c>
      <c r="I866" t="s">
        <v>4685</v>
      </c>
      <c r="J866" t="str">
        <f t="shared" si="4"/>
        <v>normalweight</v>
      </c>
    </row>
    <row r="867" spans="1:10" ht="15.75" customHeight="1">
      <c r="A867" t="s">
        <v>2949</v>
      </c>
      <c r="B867">
        <v>26.23</v>
      </c>
      <c r="C867">
        <v>11.93</v>
      </c>
      <c r="D867" s="6" t="s">
        <v>4684</v>
      </c>
      <c r="E867" t="s">
        <v>4685</v>
      </c>
      <c r="F867" t="s">
        <v>4685</v>
      </c>
      <c r="G867" t="s">
        <v>4685</v>
      </c>
      <c r="H867" s="2">
        <v>0</v>
      </c>
      <c r="I867" t="s">
        <v>4685</v>
      </c>
      <c r="J867" t="str">
        <f t="shared" si="4"/>
        <v>normalweight</v>
      </c>
    </row>
    <row r="868" spans="1:10" ht="15.75" customHeight="1">
      <c r="A868" t="s">
        <v>2947</v>
      </c>
      <c r="B868">
        <v>36.1</v>
      </c>
      <c r="C868">
        <v>5.65</v>
      </c>
      <c r="E868" t="s">
        <v>4686</v>
      </c>
      <c r="F868" t="s">
        <v>4685</v>
      </c>
      <c r="G868" t="s">
        <v>4685</v>
      </c>
      <c r="H868" s="2">
        <v>2</v>
      </c>
      <c r="I868" t="s">
        <v>4685</v>
      </c>
      <c r="J868" t="str">
        <f t="shared" si="4"/>
        <v>normalweight</v>
      </c>
    </row>
    <row r="869" spans="1:10" ht="15.75" customHeight="1">
      <c r="A869" t="s">
        <v>2945</v>
      </c>
      <c r="B869">
        <v>37.1</v>
      </c>
      <c r="C869">
        <v>11.21</v>
      </c>
      <c r="D869" s="6" t="s">
        <v>4684</v>
      </c>
      <c r="E869" t="s">
        <v>4686</v>
      </c>
      <c r="F869" t="s">
        <v>4685</v>
      </c>
      <c r="G869" t="s">
        <v>4688</v>
      </c>
      <c r="H869" s="2">
        <v>1</v>
      </c>
      <c r="I869" t="s">
        <v>4685</v>
      </c>
      <c r="J869" t="str">
        <f t="shared" si="4"/>
        <v>normalweight</v>
      </c>
    </row>
    <row r="870" spans="1:10" ht="15.75" customHeight="1">
      <c r="A870" t="s">
        <v>2943</v>
      </c>
      <c r="B870">
        <v>27.5</v>
      </c>
      <c r="C870">
        <v>10.62</v>
      </c>
      <c r="D870" s="6" t="s">
        <v>4684</v>
      </c>
      <c r="E870" t="s">
        <v>4686</v>
      </c>
      <c r="F870" t="s">
        <v>4685</v>
      </c>
      <c r="G870" t="s">
        <v>4688</v>
      </c>
      <c r="H870" s="2">
        <v>1</v>
      </c>
      <c r="I870" t="s">
        <v>4685</v>
      </c>
      <c r="J870" t="str">
        <f t="shared" si="4"/>
        <v>normalweight</v>
      </c>
    </row>
    <row r="871" spans="1:10" ht="15.75" customHeight="1">
      <c r="A871" t="s">
        <v>2941</v>
      </c>
      <c r="B871">
        <v>24.7</v>
      </c>
      <c r="C871">
        <v>10.7</v>
      </c>
      <c r="D871" s="6" t="s">
        <v>4684</v>
      </c>
      <c r="E871" t="s">
        <v>4686</v>
      </c>
      <c r="F871" t="s">
        <v>4685</v>
      </c>
      <c r="G871" t="s">
        <v>4688</v>
      </c>
      <c r="H871" s="2">
        <v>1</v>
      </c>
      <c r="I871" t="s">
        <v>4685</v>
      </c>
      <c r="J871" t="str">
        <f t="shared" si="4"/>
        <v>normalweight</v>
      </c>
    </row>
    <row r="872" spans="1:10" ht="15.75" customHeight="1">
      <c r="A872" t="s">
        <v>2939</v>
      </c>
      <c r="B872">
        <v>26.78</v>
      </c>
      <c r="C872">
        <v>10.02</v>
      </c>
      <c r="D872" s="6" t="s">
        <v>4684</v>
      </c>
      <c r="E872" t="s">
        <v>4686</v>
      </c>
      <c r="F872" t="s">
        <v>4685</v>
      </c>
      <c r="G872" t="s">
        <v>4688</v>
      </c>
      <c r="H872" s="2">
        <v>1</v>
      </c>
      <c r="I872" t="s">
        <v>4685</v>
      </c>
      <c r="J872" t="str">
        <f t="shared" si="4"/>
        <v>normalweight</v>
      </c>
    </row>
    <row r="873" spans="1:10" ht="15.75" customHeight="1">
      <c r="A873" t="s">
        <v>2937</v>
      </c>
      <c r="B873">
        <v>45.8</v>
      </c>
      <c r="C873">
        <v>4.8499999999999996</v>
      </c>
      <c r="E873" t="s">
        <v>4685</v>
      </c>
      <c r="F873" t="s">
        <v>4685</v>
      </c>
      <c r="G873" t="s">
        <v>4685</v>
      </c>
      <c r="H873" s="2">
        <v>0</v>
      </c>
      <c r="I873" t="s">
        <v>4685</v>
      </c>
      <c r="J873" t="str">
        <f t="shared" si="4"/>
        <v>normalweight</v>
      </c>
    </row>
    <row r="874" spans="1:10" ht="15.75" customHeight="1">
      <c r="A874" t="s">
        <v>2935</v>
      </c>
      <c r="B874">
        <v>29</v>
      </c>
      <c r="C874">
        <v>4.3899999999999997</v>
      </c>
      <c r="E874" t="s">
        <v>4686</v>
      </c>
      <c r="F874" t="s">
        <v>4685</v>
      </c>
      <c r="G874" t="s">
        <v>4685</v>
      </c>
      <c r="H874" s="2">
        <v>2</v>
      </c>
      <c r="I874" t="s">
        <v>4685</v>
      </c>
      <c r="J874" t="str">
        <f t="shared" si="4"/>
        <v>normalweight</v>
      </c>
    </row>
    <row r="875" spans="1:10" ht="15.75" customHeight="1">
      <c r="A875" t="s">
        <v>2933</v>
      </c>
      <c r="B875">
        <v>33.534999999999997</v>
      </c>
      <c r="C875">
        <v>8.24</v>
      </c>
      <c r="D875" s="6" t="s">
        <v>4684</v>
      </c>
      <c r="E875" t="s">
        <v>4686</v>
      </c>
      <c r="F875" t="s">
        <v>4685</v>
      </c>
      <c r="G875" t="s">
        <v>4685</v>
      </c>
      <c r="H875" s="2">
        <v>0</v>
      </c>
      <c r="I875" t="s">
        <v>4685</v>
      </c>
      <c r="J875" t="str">
        <f t="shared" si="4"/>
        <v>normalweight</v>
      </c>
    </row>
    <row r="876" spans="1:10" ht="15.75" customHeight="1">
      <c r="A876" t="s">
        <v>2931</v>
      </c>
      <c r="B876">
        <v>32.774999999999999</v>
      </c>
      <c r="C876">
        <v>9.77</v>
      </c>
      <c r="D876" s="6" t="s">
        <v>4684</v>
      </c>
      <c r="E876" t="s">
        <v>4686</v>
      </c>
      <c r="F876" t="s">
        <v>4685</v>
      </c>
      <c r="G876" t="s">
        <v>4685</v>
      </c>
      <c r="H876" s="2">
        <v>0</v>
      </c>
      <c r="I876" t="s">
        <v>4685</v>
      </c>
      <c r="J876" t="str">
        <f t="shared" si="4"/>
        <v>normalweight</v>
      </c>
    </row>
    <row r="877" spans="1:10" ht="15.75" customHeight="1">
      <c r="A877" t="s">
        <v>2929</v>
      </c>
      <c r="B877">
        <v>37.51</v>
      </c>
      <c r="C877">
        <v>5.5</v>
      </c>
      <c r="E877" t="s">
        <v>4686</v>
      </c>
      <c r="F877" t="s">
        <v>4685</v>
      </c>
      <c r="G877" t="s">
        <v>4685</v>
      </c>
      <c r="H877" s="2">
        <v>2</v>
      </c>
      <c r="I877" t="s">
        <v>4685</v>
      </c>
      <c r="J877" t="str">
        <f t="shared" si="4"/>
        <v>normalweight</v>
      </c>
    </row>
    <row r="878" spans="1:10" ht="15.75" customHeight="1">
      <c r="A878" t="s">
        <v>2927</v>
      </c>
      <c r="B878">
        <v>39.86</v>
      </c>
      <c r="C878">
        <v>11.84</v>
      </c>
      <c r="D878" s="6" t="s">
        <v>4684</v>
      </c>
      <c r="E878" t="s">
        <v>4686</v>
      </c>
      <c r="F878" t="s">
        <v>4685</v>
      </c>
      <c r="G878" t="s">
        <v>4685</v>
      </c>
      <c r="H878" s="2">
        <v>1</v>
      </c>
      <c r="I878" t="s">
        <v>4685</v>
      </c>
      <c r="J878" t="str">
        <f t="shared" si="4"/>
        <v>normalweight</v>
      </c>
    </row>
    <row r="879" spans="1:10" ht="15.75" customHeight="1">
      <c r="A879" t="s">
        <v>2925</v>
      </c>
      <c r="B879">
        <v>42.13</v>
      </c>
      <c r="C879">
        <v>4.66</v>
      </c>
      <c r="E879" t="s">
        <v>4685</v>
      </c>
      <c r="F879" t="s">
        <v>4685</v>
      </c>
      <c r="G879" t="s">
        <v>4685</v>
      </c>
      <c r="H879" s="2">
        <v>0</v>
      </c>
      <c r="I879" t="s">
        <v>4685</v>
      </c>
      <c r="J879" t="str">
        <f t="shared" si="4"/>
        <v>normalweight</v>
      </c>
    </row>
    <row r="880" spans="1:10" ht="15.75" customHeight="1">
      <c r="A880" t="s">
        <v>2923</v>
      </c>
      <c r="B880">
        <v>35.99</v>
      </c>
      <c r="C880">
        <v>11.11</v>
      </c>
      <c r="D880" s="6" t="s">
        <v>4684</v>
      </c>
      <c r="E880" t="s">
        <v>4685</v>
      </c>
      <c r="F880" t="s">
        <v>4685</v>
      </c>
      <c r="G880" t="s">
        <v>4685</v>
      </c>
      <c r="H880" s="2">
        <v>0</v>
      </c>
      <c r="I880" t="s">
        <v>4685</v>
      </c>
      <c r="J880" t="str">
        <f t="shared" si="4"/>
        <v>normalweight</v>
      </c>
    </row>
    <row r="881" spans="1:10" ht="15.75" customHeight="1">
      <c r="A881" t="s">
        <v>2921</v>
      </c>
      <c r="B881">
        <v>35.200000000000003</v>
      </c>
      <c r="C881">
        <v>7.72</v>
      </c>
      <c r="D881" s="6" t="s">
        <v>4684</v>
      </c>
      <c r="E881" t="s">
        <v>4686</v>
      </c>
      <c r="F881" t="s">
        <v>4685</v>
      </c>
      <c r="G881" t="s">
        <v>4688</v>
      </c>
      <c r="H881" s="2">
        <v>1</v>
      </c>
      <c r="I881" t="s">
        <v>4685</v>
      </c>
      <c r="J881" t="str">
        <f t="shared" si="4"/>
        <v>normalweight</v>
      </c>
    </row>
    <row r="882" spans="1:10" ht="15.75" customHeight="1">
      <c r="A882" t="s">
        <v>2919</v>
      </c>
      <c r="B882">
        <v>29.91</v>
      </c>
      <c r="C882">
        <v>5.55</v>
      </c>
      <c r="E882" t="s">
        <v>4686</v>
      </c>
      <c r="F882" t="s">
        <v>4685</v>
      </c>
      <c r="G882" t="s">
        <v>4685</v>
      </c>
      <c r="H882" s="2">
        <v>2</v>
      </c>
      <c r="I882" t="s">
        <v>4685</v>
      </c>
      <c r="J882" t="str">
        <f t="shared" si="4"/>
        <v>normalweight</v>
      </c>
    </row>
    <row r="883" spans="1:10" ht="15.75" customHeight="1">
      <c r="A883" t="s">
        <v>2917</v>
      </c>
      <c r="B883">
        <v>36.479999999999997</v>
      </c>
      <c r="C883">
        <v>5.05</v>
      </c>
      <c r="E883" t="s">
        <v>4686</v>
      </c>
      <c r="F883" t="s">
        <v>4685</v>
      </c>
      <c r="G883" t="s">
        <v>4685</v>
      </c>
      <c r="H883" s="2">
        <v>1</v>
      </c>
      <c r="I883" t="s">
        <v>4685</v>
      </c>
      <c r="J883" t="str">
        <f t="shared" si="4"/>
        <v>normalweight</v>
      </c>
    </row>
    <row r="884" spans="1:10" ht="15.75" customHeight="1">
      <c r="A884" t="s">
        <v>2915</v>
      </c>
      <c r="B884">
        <v>27.5</v>
      </c>
      <c r="C884">
        <v>8.69</v>
      </c>
      <c r="D884" s="6" t="s">
        <v>4684</v>
      </c>
      <c r="E884" t="s">
        <v>4686</v>
      </c>
      <c r="F884" t="s">
        <v>4685</v>
      </c>
      <c r="G884" t="s">
        <v>4688</v>
      </c>
      <c r="H884" s="2">
        <v>1</v>
      </c>
      <c r="I884" t="s">
        <v>4685</v>
      </c>
      <c r="J884" t="str">
        <f t="shared" si="4"/>
        <v>normalweight</v>
      </c>
    </row>
    <row r="885" spans="1:10" ht="15.75" customHeight="1">
      <c r="A885" t="s">
        <v>2913</v>
      </c>
      <c r="B885">
        <v>33.44</v>
      </c>
      <c r="C885">
        <v>5.9</v>
      </c>
      <c r="E885" t="s">
        <v>4686</v>
      </c>
      <c r="F885" t="s">
        <v>4685</v>
      </c>
      <c r="G885" t="s">
        <v>4685</v>
      </c>
      <c r="H885" s="2">
        <v>1</v>
      </c>
      <c r="I885" t="s">
        <v>4685</v>
      </c>
      <c r="J885" t="str">
        <f t="shared" si="4"/>
        <v>normalweight</v>
      </c>
    </row>
    <row r="886" spans="1:10" ht="15.75" customHeight="1">
      <c r="A886" t="s">
        <v>2911</v>
      </c>
      <c r="B886">
        <v>28.215</v>
      </c>
      <c r="C886">
        <v>6.29</v>
      </c>
      <c r="E886" t="s">
        <v>4686</v>
      </c>
      <c r="F886" t="s">
        <v>4685</v>
      </c>
      <c r="G886" t="s">
        <v>4685</v>
      </c>
      <c r="H886" s="2">
        <v>1</v>
      </c>
      <c r="I886" t="s">
        <v>4685</v>
      </c>
      <c r="J886" t="str">
        <f t="shared" si="4"/>
        <v>normalweight</v>
      </c>
    </row>
    <row r="887" spans="1:10" ht="15.75" customHeight="1">
      <c r="A887" t="s">
        <v>2909</v>
      </c>
      <c r="B887">
        <v>27.17</v>
      </c>
      <c r="C887">
        <v>5.84</v>
      </c>
      <c r="E887" t="s">
        <v>4686</v>
      </c>
      <c r="F887" t="s">
        <v>4685</v>
      </c>
      <c r="G887" t="s">
        <v>4685</v>
      </c>
      <c r="H887" s="2">
        <v>1</v>
      </c>
      <c r="I887" t="s">
        <v>4685</v>
      </c>
      <c r="J887" t="str">
        <f t="shared" si="4"/>
        <v>normalweight</v>
      </c>
    </row>
    <row r="888" spans="1:10" ht="15.75" customHeight="1">
      <c r="A888" t="s">
        <v>2907</v>
      </c>
      <c r="B888">
        <v>35.380000000000003</v>
      </c>
      <c r="C888">
        <v>6.12</v>
      </c>
      <c r="E888" t="s">
        <v>4685</v>
      </c>
      <c r="F888" t="s">
        <v>4685</v>
      </c>
      <c r="G888" t="s">
        <v>4685</v>
      </c>
      <c r="H888" s="2">
        <v>0</v>
      </c>
      <c r="I888" t="s">
        <v>4685</v>
      </c>
      <c r="J888" t="str">
        <f t="shared" si="4"/>
        <v>normalweight</v>
      </c>
    </row>
    <row r="889" spans="1:10" ht="15.75" customHeight="1">
      <c r="A889" t="s">
        <v>2905</v>
      </c>
      <c r="B889">
        <v>43.48</v>
      </c>
      <c r="C889">
        <v>6.24</v>
      </c>
      <c r="E889" t="s">
        <v>4685</v>
      </c>
      <c r="F889" t="s">
        <v>4685</v>
      </c>
      <c r="G889" t="s">
        <v>4685</v>
      </c>
      <c r="H889" s="2">
        <v>0</v>
      </c>
      <c r="I889" t="s">
        <v>4685</v>
      </c>
      <c r="J889" t="str">
        <f t="shared" si="4"/>
        <v>normalweight</v>
      </c>
    </row>
    <row r="890" spans="1:10" ht="15.75" customHeight="1">
      <c r="A890" t="s">
        <v>2903</v>
      </c>
      <c r="B890">
        <v>41.73</v>
      </c>
      <c r="C890">
        <v>6.25</v>
      </c>
      <c r="E890" t="s">
        <v>4685</v>
      </c>
      <c r="F890" t="s">
        <v>4685</v>
      </c>
      <c r="G890" t="s">
        <v>4685</v>
      </c>
      <c r="H890" s="2">
        <v>1</v>
      </c>
      <c r="I890" t="s">
        <v>4685</v>
      </c>
      <c r="J890" t="str">
        <f t="shared" si="4"/>
        <v>normalweight</v>
      </c>
    </row>
    <row r="891" spans="1:10" ht="15.75" customHeight="1">
      <c r="A891" t="s">
        <v>2901</v>
      </c>
      <c r="B891">
        <v>28.9</v>
      </c>
      <c r="C891">
        <v>11.96</v>
      </c>
      <c r="D891" s="6" t="s">
        <v>4684</v>
      </c>
      <c r="E891" t="s">
        <v>4685</v>
      </c>
      <c r="F891" t="s">
        <v>4685</v>
      </c>
      <c r="G891" t="s">
        <v>4685</v>
      </c>
      <c r="H891" s="2">
        <v>0</v>
      </c>
      <c r="I891" t="s">
        <v>4685</v>
      </c>
      <c r="J891" t="str">
        <f t="shared" si="4"/>
        <v>normalweight</v>
      </c>
    </row>
    <row r="892" spans="1:10" ht="15.75" customHeight="1">
      <c r="A892" t="s">
        <v>2899</v>
      </c>
      <c r="B892">
        <v>25.74</v>
      </c>
      <c r="C892">
        <v>7.69</v>
      </c>
      <c r="D892" s="6" t="s">
        <v>4684</v>
      </c>
      <c r="E892" t="s">
        <v>4685</v>
      </c>
      <c r="F892" t="s">
        <v>4685</v>
      </c>
      <c r="G892" t="s">
        <v>4685</v>
      </c>
      <c r="H892" s="2">
        <v>0</v>
      </c>
      <c r="I892" t="s">
        <v>4685</v>
      </c>
      <c r="J892" t="str">
        <f t="shared" si="4"/>
        <v>normalweight</v>
      </c>
    </row>
    <row r="893" spans="1:10" ht="15.75" customHeight="1">
      <c r="A893" t="s">
        <v>2897</v>
      </c>
      <c r="B893">
        <v>36.06</v>
      </c>
      <c r="C893">
        <v>8.83</v>
      </c>
      <c r="D893" s="6" t="s">
        <v>4684</v>
      </c>
      <c r="E893" t="s">
        <v>4685</v>
      </c>
      <c r="F893" t="s">
        <v>4685</v>
      </c>
      <c r="G893" t="s">
        <v>4685</v>
      </c>
      <c r="H893" s="2">
        <v>0</v>
      </c>
      <c r="I893" t="s">
        <v>4685</v>
      </c>
      <c r="J893" t="str">
        <f t="shared" si="4"/>
        <v>normalweight</v>
      </c>
    </row>
    <row r="894" spans="1:10" ht="15.75" customHeight="1">
      <c r="A894" t="s">
        <v>2895</v>
      </c>
      <c r="B894">
        <v>43.28</v>
      </c>
      <c r="C894">
        <v>4.41</v>
      </c>
      <c r="E894" t="s">
        <v>4685</v>
      </c>
      <c r="F894" t="s">
        <v>4685</v>
      </c>
      <c r="G894" t="s">
        <v>4685</v>
      </c>
      <c r="H894" s="2">
        <v>0</v>
      </c>
      <c r="I894" t="s">
        <v>4685</v>
      </c>
      <c r="J894" t="str">
        <f t="shared" si="4"/>
        <v>normalweight</v>
      </c>
    </row>
    <row r="895" spans="1:10" ht="15.75" customHeight="1">
      <c r="A895" t="s">
        <v>2893</v>
      </c>
      <c r="B895">
        <v>28.785</v>
      </c>
      <c r="C895">
        <v>9.1</v>
      </c>
      <c r="D895" s="6" t="s">
        <v>4684</v>
      </c>
      <c r="E895" t="s">
        <v>4686</v>
      </c>
      <c r="F895" t="s">
        <v>4685</v>
      </c>
      <c r="G895" t="s">
        <v>4688</v>
      </c>
      <c r="H895" s="2">
        <v>1</v>
      </c>
      <c r="I895" t="s">
        <v>4685</v>
      </c>
      <c r="J895" t="str">
        <f t="shared" si="4"/>
        <v>normalweight</v>
      </c>
    </row>
    <row r="896" spans="1:10" ht="15.75" customHeight="1">
      <c r="A896" t="s">
        <v>2891</v>
      </c>
      <c r="B896">
        <v>25.46</v>
      </c>
      <c r="C896">
        <v>11.52</v>
      </c>
      <c r="D896" s="6" t="s">
        <v>4684</v>
      </c>
      <c r="E896" t="s">
        <v>4686</v>
      </c>
      <c r="F896" t="s">
        <v>4685</v>
      </c>
      <c r="G896" t="s">
        <v>4688</v>
      </c>
      <c r="H896" s="2">
        <v>1</v>
      </c>
      <c r="I896" t="s">
        <v>4685</v>
      </c>
      <c r="J896" t="str">
        <f t="shared" si="4"/>
        <v>normalweight</v>
      </c>
    </row>
    <row r="897" spans="1:10" ht="15.75" customHeight="1">
      <c r="A897" t="s">
        <v>2889</v>
      </c>
      <c r="B897">
        <v>30.8</v>
      </c>
      <c r="C897">
        <v>10.95</v>
      </c>
      <c r="D897" s="6" t="s">
        <v>4684</v>
      </c>
      <c r="E897" t="s">
        <v>4685</v>
      </c>
      <c r="F897" t="s">
        <v>4685</v>
      </c>
      <c r="G897" t="s">
        <v>4685</v>
      </c>
      <c r="H897" s="2">
        <v>0</v>
      </c>
      <c r="I897" t="s">
        <v>4685</v>
      </c>
      <c r="J897" t="str">
        <f t="shared" si="4"/>
        <v>normalweight</v>
      </c>
    </row>
    <row r="898" spans="1:10" ht="15.75" customHeight="1">
      <c r="A898" t="s">
        <v>2887</v>
      </c>
      <c r="B898">
        <v>28.88</v>
      </c>
      <c r="C898">
        <v>11.5</v>
      </c>
      <c r="D898" s="6" t="s">
        <v>4684</v>
      </c>
      <c r="E898" t="s">
        <v>4685</v>
      </c>
      <c r="F898" t="s">
        <v>4685</v>
      </c>
      <c r="G898" t="s">
        <v>4685</v>
      </c>
      <c r="H898" s="2">
        <v>0</v>
      </c>
      <c r="I898" t="s">
        <v>4685</v>
      </c>
      <c r="J898" t="str">
        <f t="shared" si="4"/>
        <v>normalweight</v>
      </c>
    </row>
    <row r="899" spans="1:10" ht="15.75" customHeight="1">
      <c r="A899" t="s">
        <v>2885</v>
      </c>
      <c r="B899">
        <v>23</v>
      </c>
      <c r="C899">
        <v>9.8800000000000008</v>
      </c>
      <c r="D899" s="6" t="s">
        <v>4684</v>
      </c>
      <c r="E899" t="s">
        <v>4685</v>
      </c>
      <c r="F899" t="s">
        <v>4685</v>
      </c>
      <c r="G899" t="s">
        <v>4685</v>
      </c>
      <c r="H899" s="2">
        <v>0</v>
      </c>
      <c r="I899" t="s">
        <v>4685</v>
      </c>
      <c r="J899" t="str">
        <f t="shared" si="4"/>
        <v>normalweight</v>
      </c>
    </row>
    <row r="900" spans="1:10" ht="15.75" customHeight="1">
      <c r="A900" t="s">
        <v>2883</v>
      </c>
      <c r="B900">
        <v>38.25</v>
      </c>
      <c r="C900">
        <v>6.2</v>
      </c>
      <c r="E900" t="s">
        <v>4685</v>
      </c>
      <c r="F900" t="s">
        <v>4685</v>
      </c>
      <c r="G900" t="s">
        <v>4685</v>
      </c>
      <c r="H900" s="2">
        <v>1</v>
      </c>
      <c r="I900" t="s">
        <v>4685</v>
      </c>
      <c r="J900" t="str">
        <f t="shared" si="4"/>
        <v>normalweight</v>
      </c>
    </row>
    <row r="901" spans="1:10" ht="15.75" customHeight="1">
      <c r="A901" t="s">
        <v>2881</v>
      </c>
      <c r="B901">
        <v>39.25</v>
      </c>
      <c r="C901">
        <v>8.41</v>
      </c>
      <c r="D901" s="6" t="s">
        <v>4684</v>
      </c>
      <c r="E901" t="s">
        <v>4686</v>
      </c>
      <c r="F901" t="s">
        <v>4685</v>
      </c>
      <c r="G901" t="s">
        <v>4685</v>
      </c>
      <c r="H901" s="2">
        <v>1</v>
      </c>
      <c r="I901" t="s">
        <v>4685</v>
      </c>
      <c r="J901" t="str">
        <f t="shared" si="4"/>
        <v>normalweight</v>
      </c>
    </row>
    <row r="902" spans="1:10" ht="15.75" customHeight="1">
      <c r="A902" t="s">
        <v>2879</v>
      </c>
      <c r="B902">
        <v>26.6</v>
      </c>
      <c r="C902">
        <v>5.07</v>
      </c>
      <c r="E902" t="s">
        <v>4686</v>
      </c>
      <c r="F902" t="s">
        <v>4685</v>
      </c>
      <c r="G902" t="s">
        <v>4685</v>
      </c>
      <c r="H902" s="2">
        <v>2</v>
      </c>
      <c r="I902" t="s">
        <v>4685</v>
      </c>
      <c r="J902" t="str">
        <f t="shared" si="4"/>
        <v>normalweight</v>
      </c>
    </row>
    <row r="903" spans="1:10" ht="15.75" customHeight="1">
      <c r="A903" t="s">
        <v>2877</v>
      </c>
      <c r="B903">
        <v>35.700000000000003</v>
      </c>
      <c r="C903">
        <v>4.0599999999999996</v>
      </c>
      <c r="E903" t="s">
        <v>4685</v>
      </c>
      <c r="F903" t="s">
        <v>4685</v>
      </c>
      <c r="G903" t="s">
        <v>4688</v>
      </c>
      <c r="H903" s="2">
        <v>1</v>
      </c>
      <c r="I903" t="s">
        <v>4685</v>
      </c>
      <c r="J903" t="str">
        <f t="shared" si="4"/>
        <v>normalweight</v>
      </c>
    </row>
    <row r="904" spans="1:10" ht="15.75" customHeight="1">
      <c r="A904" t="s">
        <v>2875</v>
      </c>
      <c r="B904">
        <v>20.100000000000001</v>
      </c>
      <c r="C904">
        <v>10.52</v>
      </c>
      <c r="D904" s="6" t="s">
        <v>4684</v>
      </c>
      <c r="E904" t="s">
        <v>4685</v>
      </c>
      <c r="F904" t="s">
        <v>4685</v>
      </c>
      <c r="G904" t="s">
        <v>4685</v>
      </c>
      <c r="H904" s="2">
        <v>0</v>
      </c>
      <c r="I904" t="s">
        <v>4685</v>
      </c>
      <c r="J904" t="str">
        <f t="shared" si="4"/>
        <v>normalweight</v>
      </c>
    </row>
    <row r="905" spans="1:10" ht="15.75" customHeight="1">
      <c r="A905" t="s">
        <v>2873</v>
      </c>
      <c r="B905">
        <v>22.23</v>
      </c>
      <c r="C905">
        <v>9.65</v>
      </c>
      <c r="D905" s="6" t="s">
        <v>4684</v>
      </c>
      <c r="E905" t="s">
        <v>4685</v>
      </c>
      <c r="F905" t="s">
        <v>4685</v>
      </c>
      <c r="G905" t="s">
        <v>4685</v>
      </c>
      <c r="H905" s="2">
        <v>0</v>
      </c>
      <c r="I905" t="s">
        <v>4685</v>
      </c>
      <c r="J905" t="str">
        <f t="shared" si="4"/>
        <v>normalweight</v>
      </c>
    </row>
    <row r="906" spans="1:10" ht="15.75" customHeight="1">
      <c r="A906" t="s">
        <v>2871</v>
      </c>
      <c r="B906">
        <v>36.47</v>
      </c>
      <c r="C906">
        <v>6.21</v>
      </c>
      <c r="E906" t="s">
        <v>4685</v>
      </c>
      <c r="F906" t="s">
        <v>4685</v>
      </c>
      <c r="G906" t="s">
        <v>4685</v>
      </c>
      <c r="H906" s="2">
        <v>0</v>
      </c>
      <c r="I906" t="s">
        <v>4685</v>
      </c>
      <c r="J906" t="str">
        <f t="shared" si="4"/>
        <v>normalweight</v>
      </c>
    </row>
    <row r="907" spans="1:10" ht="15.75" customHeight="1">
      <c r="A907" t="s">
        <v>2869</v>
      </c>
      <c r="B907">
        <v>49.64</v>
      </c>
      <c r="C907">
        <v>4.76</v>
      </c>
      <c r="E907" t="s">
        <v>4685</v>
      </c>
      <c r="F907" t="s">
        <v>4685</v>
      </c>
      <c r="G907" t="s">
        <v>4688</v>
      </c>
      <c r="H907" s="2">
        <v>1</v>
      </c>
      <c r="I907" t="s">
        <v>4685</v>
      </c>
      <c r="J907" t="str">
        <f t="shared" si="4"/>
        <v>normalweight</v>
      </c>
    </row>
    <row r="908" spans="1:10" ht="15.75" customHeight="1">
      <c r="A908" t="s">
        <v>2867</v>
      </c>
      <c r="B908">
        <v>36.799999999999997</v>
      </c>
      <c r="C908">
        <v>5.73</v>
      </c>
      <c r="E908" t="s">
        <v>4686</v>
      </c>
      <c r="F908" t="s">
        <v>4685</v>
      </c>
      <c r="G908" t="s">
        <v>4688</v>
      </c>
      <c r="H908" s="2">
        <v>1</v>
      </c>
      <c r="I908" t="s">
        <v>4685</v>
      </c>
      <c r="J908" t="str">
        <f t="shared" si="4"/>
        <v>normalweight</v>
      </c>
    </row>
    <row r="909" spans="1:10" ht="15.75" customHeight="1">
      <c r="A909" t="s">
        <v>2865</v>
      </c>
      <c r="B909">
        <v>33.880000000000003</v>
      </c>
      <c r="C909">
        <v>10.78</v>
      </c>
      <c r="D909" s="6" t="s">
        <v>4684</v>
      </c>
      <c r="E909" t="s">
        <v>4686</v>
      </c>
      <c r="F909" t="s">
        <v>4685</v>
      </c>
      <c r="G909" t="s">
        <v>4685</v>
      </c>
      <c r="H909" s="2">
        <v>0</v>
      </c>
      <c r="I909" t="s">
        <v>4685</v>
      </c>
      <c r="J909" t="str">
        <f t="shared" si="4"/>
        <v>normalweight</v>
      </c>
    </row>
    <row r="910" spans="1:10" ht="15.75" customHeight="1">
      <c r="A910" t="s">
        <v>2863</v>
      </c>
      <c r="B910">
        <v>32.01</v>
      </c>
      <c r="C910">
        <v>5.08</v>
      </c>
      <c r="E910" t="s">
        <v>4686</v>
      </c>
      <c r="F910" t="s">
        <v>4685</v>
      </c>
      <c r="G910" t="s">
        <v>4685</v>
      </c>
      <c r="H910" s="2">
        <v>1</v>
      </c>
      <c r="I910" t="s">
        <v>4685</v>
      </c>
      <c r="J910" t="str">
        <f t="shared" si="4"/>
        <v>normalweight</v>
      </c>
    </row>
    <row r="911" spans="1:10" ht="15.75" customHeight="1">
      <c r="A911" t="s">
        <v>2861</v>
      </c>
      <c r="B911">
        <v>33.630000000000003</v>
      </c>
      <c r="C911">
        <v>11.39</v>
      </c>
      <c r="D911" s="6" t="s">
        <v>4684</v>
      </c>
      <c r="E911" t="s">
        <v>4685</v>
      </c>
      <c r="F911" t="s">
        <v>4685</v>
      </c>
      <c r="G911" t="s">
        <v>4685</v>
      </c>
      <c r="H911" s="2">
        <v>0</v>
      </c>
      <c r="I911" t="s">
        <v>4685</v>
      </c>
      <c r="J911" t="str">
        <f t="shared" si="4"/>
        <v>normalweight</v>
      </c>
    </row>
    <row r="912" spans="1:10" ht="15.75" customHeight="1">
      <c r="A912" t="s">
        <v>2859</v>
      </c>
      <c r="B912">
        <v>34.865000000000002</v>
      </c>
      <c r="C912">
        <v>5.35</v>
      </c>
      <c r="E912" t="s">
        <v>4686</v>
      </c>
      <c r="F912" t="s">
        <v>4685</v>
      </c>
      <c r="G912" t="s">
        <v>4685</v>
      </c>
      <c r="H912" s="2">
        <v>1</v>
      </c>
      <c r="I912" t="s">
        <v>4685</v>
      </c>
      <c r="J912" t="str">
        <f t="shared" si="4"/>
        <v>normalweight</v>
      </c>
    </row>
    <row r="913" spans="1:10" ht="15.75" customHeight="1">
      <c r="A913" t="s">
        <v>2857</v>
      </c>
      <c r="B913">
        <v>43.11</v>
      </c>
      <c r="C913">
        <v>5.6</v>
      </c>
      <c r="E913" t="s">
        <v>4685</v>
      </c>
      <c r="F913" t="s">
        <v>4685</v>
      </c>
      <c r="G913" t="s">
        <v>4685</v>
      </c>
      <c r="H913" s="2">
        <v>0</v>
      </c>
      <c r="I913" t="s">
        <v>4685</v>
      </c>
      <c r="J913" t="str">
        <f t="shared" si="4"/>
        <v>normalweight</v>
      </c>
    </row>
    <row r="914" spans="1:10" ht="15.75" customHeight="1">
      <c r="A914" t="s">
        <v>2855</v>
      </c>
      <c r="B914">
        <v>30.305</v>
      </c>
      <c r="C914">
        <v>4.2699999999999996</v>
      </c>
      <c r="E914" t="s">
        <v>4686</v>
      </c>
      <c r="F914" t="s">
        <v>4685</v>
      </c>
      <c r="G914" t="s">
        <v>4685</v>
      </c>
      <c r="H914" s="2">
        <v>1</v>
      </c>
      <c r="I914" t="s">
        <v>4685</v>
      </c>
      <c r="J914" t="str">
        <f t="shared" si="4"/>
        <v>normalweight</v>
      </c>
    </row>
    <row r="915" spans="1:10" ht="15.75" customHeight="1">
      <c r="A915" t="s">
        <v>2853</v>
      </c>
      <c r="B915">
        <v>25.175000000000001</v>
      </c>
      <c r="C915">
        <v>5.57</v>
      </c>
      <c r="E915" t="s">
        <v>4686</v>
      </c>
      <c r="F915" t="s">
        <v>4685</v>
      </c>
      <c r="G915" t="s">
        <v>4685</v>
      </c>
      <c r="H915" s="2">
        <v>1</v>
      </c>
      <c r="I915" t="s">
        <v>4685</v>
      </c>
      <c r="J915" t="str">
        <f t="shared" si="4"/>
        <v>normalweight</v>
      </c>
    </row>
    <row r="916" spans="1:10" ht="15.75" customHeight="1">
      <c r="A916" t="s">
        <v>2851</v>
      </c>
      <c r="B916">
        <v>26.8</v>
      </c>
      <c r="C916">
        <v>5.68</v>
      </c>
      <c r="E916" t="s">
        <v>4686</v>
      </c>
      <c r="F916" t="s">
        <v>4685</v>
      </c>
      <c r="G916" t="s">
        <v>4685</v>
      </c>
      <c r="H916" s="2">
        <v>1</v>
      </c>
      <c r="I916" t="s">
        <v>4685</v>
      </c>
      <c r="J916" t="str">
        <f t="shared" si="4"/>
        <v>normalweight</v>
      </c>
    </row>
    <row r="917" spans="1:10" ht="15.75" customHeight="1">
      <c r="A917" t="s">
        <v>2849</v>
      </c>
      <c r="B917">
        <v>21.78</v>
      </c>
      <c r="C917">
        <v>5.3</v>
      </c>
      <c r="E917" t="s">
        <v>4685</v>
      </c>
      <c r="F917" t="s">
        <v>4686</v>
      </c>
      <c r="G917" t="s">
        <v>4685</v>
      </c>
      <c r="H917" s="2">
        <v>1</v>
      </c>
      <c r="I917" t="s">
        <v>4685</v>
      </c>
      <c r="J917" t="str">
        <f t="shared" si="4"/>
        <v>normalweight</v>
      </c>
    </row>
    <row r="918" spans="1:10" ht="15.75" customHeight="1">
      <c r="A918" t="s">
        <v>2847</v>
      </c>
      <c r="B918">
        <v>30.14</v>
      </c>
      <c r="C918">
        <v>9.4499999999999993</v>
      </c>
      <c r="D918" s="6" t="s">
        <v>4684</v>
      </c>
      <c r="E918" t="s">
        <v>4686</v>
      </c>
      <c r="F918" t="s">
        <v>4685</v>
      </c>
      <c r="G918" t="s">
        <v>4685</v>
      </c>
      <c r="H918" s="2">
        <v>0</v>
      </c>
      <c r="I918" t="s">
        <v>4685</v>
      </c>
      <c r="J918" t="str">
        <f t="shared" si="4"/>
        <v>normalweight</v>
      </c>
    </row>
    <row r="919" spans="1:10" ht="15.75" customHeight="1">
      <c r="A919" t="s">
        <v>2845</v>
      </c>
      <c r="B919">
        <v>29.7</v>
      </c>
      <c r="C919">
        <v>6.79</v>
      </c>
      <c r="D919" s="6" t="s">
        <v>4684</v>
      </c>
      <c r="E919" t="s">
        <v>4686</v>
      </c>
      <c r="F919" t="s">
        <v>4685</v>
      </c>
      <c r="G919" t="s">
        <v>4685</v>
      </c>
      <c r="H919" s="2">
        <v>0</v>
      </c>
      <c r="I919" t="s">
        <v>4685</v>
      </c>
      <c r="J919" t="str">
        <f t="shared" si="4"/>
        <v>normalweight</v>
      </c>
    </row>
    <row r="920" spans="1:10" ht="15.75" customHeight="1">
      <c r="A920" t="s">
        <v>2843</v>
      </c>
      <c r="B920">
        <v>32.395000000000003</v>
      </c>
      <c r="C920">
        <v>11.1</v>
      </c>
      <c r="D920" s="6" t="s">
        <v>4684</v>
      </c>
      <c r="E920" t="s">
        <v>4686</v>
      </c>
      <c r="F920" t="s">
        <v>4685</v>
      </c>
      <c r="G920" t="s">
        <v>4685</v>
      </c>
      <c r="H920" s="2">
        <v>0</v>
      </c>
      <c r="I920" t="s">
        <v>4685</v>
      </c>
      <c r="J920" t="str">
        <f t="shared" si="4"/>
        <v>normalweight</v>
      </c>
    </row>
    <row r="921" spans="1:10" ht="15.75" customHeight="1">
      <c r="A921" t="s">
        <v>2841</v>
      </c>
      <c r="B921">
        <v>36.64</v>
      </c>
      <c r="C921">
        <v>7.26</v>
      </c>
      <c r="D921" s="6" t="s">
        <v>4684</v>
      </c>
      <c r="E921" t="s">
        <v>4685</v>
      </c>
      <c r="F921" t="s">
        <v>4685</v>
      </c>
      <c r="G921" t="s">
        <v>4685</v>
      </c>
      <c r="H921" s="2">
        <v>0</v>
      </c>
      <c r="I921" t="s">
        <v>4685</v>
      </c>
      <c r="J921" t="str">
        <f t="shared" si="4"/>
        <v>normalweight</v>
      </c>
    </row>
    <row r="922" spans="1:10" ht="15.75" customHeight="1">
      <c r="A922" t="s">
        <v>2839</v>
      </c>
      <c r="B922">
        <v>39.049999999999997</v>
      </c>
      <c r="C922">
        <v>5.27</v>
      </c>
      <c r="E922" t="s">
        <v>4686</v>
      </c>
      <c r="F922" t="s">
        <v>4685</v>
      </c>
      <c r="G922" t="s">
        <v>4685</v>
      </c>
      <c r="H922" s="2">
        <v>1</v>
      </c>
      <c r="I922" t="s">
        <v>4685</v>
      </c>
      <c r="J922" t="str">
        <f t="shared" si="4"/>
        <v>normalweight</v>
      </c>
    </row>
    <row r="923" spans="1:10" ht="15.75" customHeight="1">
      <c r="A923" t="s">
        <v>2837</v>
      </c>
      <c r="B923">
        <v>33.1</v>
      </c>
      <c r="C923">
        <v>5.46</v>
      </c>
      <c r="E923" t="s">
        <v>4686</v>
      </c>
      <c r="F923" t="s">
        <v>4685</v>
      </c>
      <c r="G923" t="s">
        <v>4685</v>
      </c>
      <c r="H923" s="2">
        <v>1</v>
      </c>
      <c r="I923" t="s">
        <v>4685</v>
      </c>
      <c r="J923" t="str">
        <f t="shared" si="4"/>
        <v>normalweight</v>
      </c>
    </row>
    <row r="924" spans="1:10" ht="15.75" customHeight="1">
      <c r="A924" t="s">
        <v>2835</v>
      </c>
      <c r="B924">
        <v>31.824999999999999</v>
      </c>
      <c r="C924">
        <v>8.1300000000000008</v>
      </c>
      <c r="D924" s="6" t="s">
        <v>4684</v>
      </c>
      <c r="E924" t="s">
        <v>4685</v>
      </c>
      <c r="F924" t="s">
        <v>4685</v>
      </c>
      <c r="G924" t="s">
        <v>4685</v>
      </c>
      <c r="H924" s="2">
        <v>0</v>
      </c>
      <c r="I924" t="s">
        <v>4685</v>
      </c>
      <c r="J924" t="str">
        <f t="shared" si="4"/>
        <v>normalweight</v>
      </c>
    </row>
    <row r="925" spans="1:10" ht="15.75" customHeight="1">
      <c r="A925" t="s">
        <v>2833</v>
      </c>
      <c r="B925">
        <v>29</v>
      </c>
      <c r="C925">
        <v>4.25</v>
      </c>
      <c r="E925" t="s">
        <v>4686</v>
      </c>
      <c r="F925" t="s">
        <v>4685</v>
      </c>
      <c r="G925" t="s">
        <v>4685</v>
      </c>
      <c r="H925" s="2">
        <v>1</v>
      </c>
      <c r="I925" t="s">
        <v>4685</v>
      </c>
      <c r="J925" t="str">
        <f t="shared" si="4"/>
        <v>normalweight</v>
      </c>
    </row>
    <row r="926" spans="1:10" ht="15.75" customHeight="1">
      <c r="A926" t="s">
        <v>2831</v>
      </c>
      <c r="B926">
        <v>30.495000000000001</v>
      </c>
      <c r="C926">
        <v>8.68</v>
      </c>
      <c r="D926" s="6" t="s">
        <v>4684</v>
      </c>
      <c r="E926" t="s">
        <v>4685</v>
      </c>
      <c r="F926" t="s">
        <v>4685</v>
      </c>
      <c r="G926" t="s">
        <v>4685</v>
      </c>
      <c r="H926" s="2">
        <v>0</v>
      </c>
      <c r="I926" t="s">
        <v>4685</v>
      </c>
      <c r="J926" t="str">
        <f t="shared" si="4"/>
        <v>normalweight</v>
      </c>
    </row>
    <row r="927" spans="1:10" ht="15.75" customHeight="1">
      <c r="A927" t="s">
        <v>2829</v>
      </c>
      <c r="B927">
        <v>25.2</v>
      </c>
      <c r="C927">
        <v>6.25</v>
      </c>
      <c r="E927" t="s">
        <v>4686</v>
      </c>
      <c r="F927" t="s">
        <v>4685</v>
      </c>
      <c r="G927" t="s">
        <v>4685</v>
      </c>
      <c r="H927" s="2">
        <v>1</v>
      </c>
      <c r="I927" t="s">
        <v>4685</v>
      </c>
      <c r="J927" t="str">
        <f t="shared" si="4"/>
        <v>normalweight</v>
      </c>
    </row>
    <row r="928" spans="1:10" ht="15.75" customHeight="1">
      <c r="A928" t="s">
        <v>2827</v>
      </c>
      <c r="B928">
        <v>22.77</v>
      </c>
      <c r="C928">
        <v>4.47</v>
      </c>
      <c r="E928" t="s">
        <v>4686</v>
      </c>
      <c r="F928" t="s">
        <v>4685</v>
      </c>
      <c r="G928" t="s">
        <v>4685</v>
      </c>
      <c r="H928" s="2">
        <v>1</v>
      </c>
      <c r="I928" t="s">
        <v>4685</v>
      </c>
      <c r="J928" t="str">
        <f t="shared" si="4"/>
        <v>normalweight</v>
      </c>
    </row>
    <row r="929" spans="1:10" ht="15.75" customHeight="1">
      <c r="A929" t="s">
        <v>2825</v>
      </c>
      <c r="B929">
        <v>23.18</v>
      </c>
      <c r="C929">
        <v>8.31</v>
      </c>
      <c r="D929" s="6" t="s">
        <v>4684</v>
      </c>
      <c r="E929" t="s">
        <v>4685</v>
      </c>
      <c r="F929" t="s">
        <v>4685</v>
      </c>
      <c r="G929" t="s">
        <v>4685</v>
      </c>
      <c r="H929" s="2">
        <v>0</v>
      </c>
      <c r="I929" t="s">
        <v>4685</v>
      </c>
      <c r="J929" t="str">
        <f t="shared" si="4"/>
        <v>normalweight</v>
      </c>
    </row>
    <row r="930" spans="1:10" ht="15.75" customHeight="1">
      <c r="A930" t="s">
        <v>2823</v>
      </c>
      <c r="B930">
        <v>35.409999999999997</v>
      </c>
      <c r="C930">
        <v>5.68</v>
      </c>
      <c r="E930" t="s">
        <v>4685</v>
      </c>
      <c r="F930" t="s">
        <v>4685</v>
      </c>
      <c r="G930" t="s">
        <v>4685</v>
      </c>
      <c r="H930" s="2">
        <v>0</v>
      </c>
      <c r="I930" t="s">
        <v>4685</v>
      </c>
      <c r="J930" t="str">
        <f t="shared" si="4"/>
        <v>normalweight</v>
      </c>
    </row>
    <row r="931" spans="1:10" ht="15.75" customHeight="1">
      <c r="A931" t="s">
        <v>2821</v>
      </c>
      <c r="B931">
        <v>32.11</v>
      </c>
      <c r="C931">
        <v>4.75</v>
      </c>
      <c r="E931" t="s">
        <v>4686</v>
      </c>
      <c r="F931" t="s">
        <v>4685</v>
      </c>
      <c r="G931" t="s">
        <v>4685</v>
      </c>
      <c r="H931" s="2">
        <v>2</v>
      </c>
      <c r="I931" t="s">
        <v>4685</v>
      </c>
      <c r="J931" t="str">
        <f t="shared" si="4"/>
        <v>normalweight</v>
      </c>
    </row>
    <row r="932" spans="1:10" ht="15.75" customHeight="1">
      <c r="A932" t="s">
        <v>2819</v>
      </c>
      <c r="B932">
        <v>34.479999999999997</v>
      </c>
      <c r="C932">
        <v>6.31</v>
      </c>
      <c r="E932" t="s">
        <v>4685</v>
      </c>
      <c r="F932" t="s">
        <v>4685</v>
      </c>
      <c r="G932" t="s">
        <v>4688</v>
      </c>
      <c r="H932" s="2">
        <v>1</v>
      </c>
      <c r="I932" t="s">
        <v>4685</v>
      </c>
      <c r="J932" t="str">
        <f t="shared" si="4"/>
        <v>normalweight</v>
      </c>
    </row>
    <row r="933" spans="1:10" ht="15.75" customHeight="1">
      <c r="A933" t="s">
        <v>2817</v>
      </c>
      <c r="B933">
        <v>34.39</v>
      </c>
      <c r="C933">
        <v>6.28</v>
      </c>
      <c r="E933" t="s">
        <v>4686</v>
      </c>
      <c r="F933" t="s">
        <v>4685</v>
      </c>
      <c r="G933" t="s">
        <v>4685</v>
      </c>
      <c r="H933" s="2">
        <v>1</v>
      </c>
      <c r="I933" t="s">
        <v>4685</v>
      </c>
      <c r="J933" t="str">
        <f t="shared" si="4"/>
        <v>normalweight</v>
      </c>
    </row>
    <row r="934" spans="1:10" ht="15.75" customHeight="1">
      <c r="A934" t="s">
        <v>2815</v>
      </c>
      <c r="B934">
        <v>26.4</v>
      </c>
      <c r="C934">
        <v>9.2899999999999991</v>
      </c>
      <c r="D934" s="6" t="s">
        <v>4684</v>
      </c>
      <c r="E934" t="s">
        <v>4686</v>
      </c>
      <c r="F934" t="s">
        <v>4685</v>
      </c>
      <c r="G934" t="s">
        <v>4688</v>
      </c>
      <c r="H934" s="2">
        <v>1</v>
      </c>
      <c r="I934" t="s">
        <v>4685</v>
      </c>
      <c r="J934" t="str">
        <f t="shared" si="4"/>
        <v>normalweight</v>
      </c>
    </row>
    <row r="935" spans="1:10" ht="15.75" customHeight="1">
      <c r="A935" t="s">
        <v>2813</v>
      </c>
      <c r="B935">
        <v>28.1</v>
      </c>
      <c r="C935">
        <v>5.79</v>
      </c>
      <c r="E935" t="s">
        <v>4686</v>
      </c>
      <c r="F935" t="s">
        <v>4685</v>
      </c>
      <c r="G935" t="s">
        <v>4688</v>
      </c>
      <c r="H935" s="2">
        <v>1</v>
      </c>
      <c r="I935" t="s">
        <v>4685</v>
      </c>
      <c r="J935" t="str">
        <f t="shared" si="4"/>
        <v>normalweight</v>
      </c>
    </row>
    <row r="936" spans="1:10" ht="15.75" customHeight="1">
      <c r="A936" t="s">
        <v>2811</v>
      </c>
      <c r="B936">
        <v>27</v>
      </c>
      <c r="C936">
        <v>4.54</v>
      </c>
      <c r="E936" t="s">
        <v>4686</v>
      </c>
      <c r="F936" t="s">
        <v>4685</v>
      </c>
      <c r="G936" t="s">
        <v>4685</v>
      </c>
      <c r="H936" s="2">
        <v>1</v>
      </c>
      <c r="I936" t="s">
        <v>4685</v>
      </c>
      <c r="J936" t="str">
        <f t="shared" si="4"/>
        <v>normalweight</v>
      </c>
    </row>
    <row r="937" spans="1:10" ht="15.75" customHeight="1">
      <c r="A937" t="s">
        <v>2809</v>
      </c>
      <c r="B937">
        <v>28.594999999999999</v>
      </c>
      <c r="C937">
        <v>4.68</v>
      </c>
      <c r="E937" t="s">
        <v>4686</v>
      </c>
      <c r="F937" t="s">
        <v>4685</v>
      </c>
      <c r="G937" t="s">
        <v>4685</v>
      </c>
      <c r="H937" s="2">
        <v>1</v>
      </c>
      <c r="I937" t="s">
        <v>4685</v>
      </c>
      <c r="J937" t="str">
        <f t="shared" si="4"/>
        <v>normalweight</v>
      </c>
    </row>
    <row r="938" spans="1:10" ht="15.75" customHeight="1">
      <c r="A938" t="s">
        <v>2807</v>
      </c>
      <c r="B938">
        <v>36.799999999999997</v>
      </c>
      <c r="C938">
        <v>5.88</v>
      </c>
      <c r="E938" t="s">
        <v>4685</v>
      </c>
      <c r="F938" t="s">
        <v>4685</v>
      </c>
      <c r="G938" t="s">
        <v>4685</v>
      </c>
      <c r="H938" s="2">
        <v>1</v>
      </c>
      <c r="I938" t="s">
        <v>4685</v>
      </c>
      <c r="J938" t="str">
        <f t="shared" si="4"/>
        <v>normalweight</v>
      </c>
    </row>
    <row r="939" spans="1:10" ht="15.75" customHeight="1">
      <c r="A939" t="s">
        <v>2805</v>
      </c>
      <c r="B939">
        <v>23.75</v>
      </c>
      <c r="C939">
        <v>5.42</v>
      </c>
      <c r="E939" t="s">
        <v>4686</v>
      </c>
      <c r="F939" t="s">
        <v>4685</v>
      </c>
      <c r="G939" t="s">
        <v>4688</v>
      </c>
      <c r="H939" s="2">
        <v>1</v>
      </c>
      <c r="I939" t="s">
        <v>4685</v>
      </c>
      <c r="J939" t="str">
        <f t="shared" si="4"/>
        <v>normalweight</v>
      </c>
    </row>
    <row r="940" spans="1:10" ht="15.75" customHeight="1">
      <c r="A940" t="s">
        <v>2803</v>
      </c>
      <c r="B940">
        <v>35.619999999999997</v>
      </c>
      <c r="C940">
        <v>4.16</v>
      </c>
      <c r="E940" t="s">
        <v>4685</v>
      </c>
      <c r="F940" t="s">
        <v>4685</v>
      </c>
      <c r="G940" t="s">
        <v>4685</v>
      </c>
      <c r="H940" s="2">
        <v>0</v>
      </c>
      <c r="I940" t="s">
        <v>4685</v>
      </c>
      <c r="J940" t="str">
        <f t="shared" si="4"/>
        <v>normalweight</v>
      </c>
    </row>
    <row r="941" spans="1:10" ht="15.75" customHeight="1">
      <c r="A941" t="s">
        <v>2801</v>
      </c>
      <c r="B941">
        <v>30.69</v>
      </c>
      <c r="C941">
        <v>7.05</v>
      </c>
      <c r="D941" s="6" t="s">
        <v>4684</v>
      </c>
      <c r="E941" t="s">
        <v>4686</v>
      </c>
      <c r="F941" t="s">
        <v>4685</v>
      </c>
      <c r="G941" t="s">
        <v>4685</v>
      </c>
      <c r="H941" s="2">
        <v>2</v>
      </c>
      <c r="I941" t="s">
        <v>4685</v>
      </c>
      <c r="J941" t="str">
        <f t="shared" si="4"/>
        <v>normalweight</v>
      </c>
    </row>
    <row r="942" spans="1:10" ht="15.75" customHeight="1">
      <c r="A942" t="s">
        <v>2799</v>
      </c>
      <c r="B942">
        <v>35.799999999999997</v>
      </c>
      <c r="C942">
        <v>5.63</v>
      </c>
      <c r="E942" t="s">
        <v>4686</v>
      </c>
      <c r="F942" t="s">
        <v>4685</v>
      </c>
      <c r="G942" t="s">
        <v>4685</v>
      </c>
      <c r="H942" s="2">
        <v>2</v>
      </c>
      <c r="I942" t="s">
        <v>4685</v>
      </c>
      <c r="J942" t="str">
        <f t="shared" si="4"/>
        <v>normalweight</v>
      </c>
    </row>
    <row r="943" spans="1:10" ht="15.75" customHeight="1">
      <c r="A943" t="s">
        <v>2797</v>
      </c>
      <c r="B943">
        <v>28.785</v>
      </c>
      <c r="C943">
        <v>4.24</v>
      </c>
      <c r="E943" t="s">
        <v>4686</v>
      </c>
      <c r="F943" t="s">
        <v>4685</v>
      </c>
      <c r="G943" t="s">
        <v>4685</v>
      </c>
      <c r="H943" s="2">
        <v>2</v>
      </c>
      <c r="I943" t="s">
        <v>4685</v>
      </c>
      <c r="J943" t="str">
        <f t="shared" si="4"/>
        <v>normalweight</v>
      </c>
    </row>
    <row r="944" spans="1:10" ht="15.75" customHeight="1">
      <c r="A944" t="s">
        <v>2795</v>
      </c>
      <c r="B944">
        <v>28.594999999999999</v>
      </c>
      <c r="C944">
        <v>4.96</v>
      </c>
      <c r="E944" t="s">
        <v>4686</v>
      </c>
      <c r="F944" t="s">
        <v>4685</v>
      </c>
      <c r="G944" t="s">
        <v>4685</v>
      </c>
      <c r="H944" s="2">
        <v>2</v>
      </c>
      <c r="I944" t="s">
        <v>4685</v>
      </c>
      <c r="J944" t="str">
        <f t="shared" si="4"/>
        <v>normalweight</v>
      </c>
    </row>
    <row r="945" spans="1:10" ht="15.75" customHeight="1">
      <c r="A945" t="s">
        <v>2793</v>
      </c>
      <c r="B945">
        <v>48.75</v>
      </c>
      <c r="C945">
        <v>4.34</v>
      </c>
      <c r="E945" t="s">
        <v>4685</v>
      </c>
      <c r="F945" t="s">
        <v>4685</v>
      </c>
      <c r="G945" t="s">
        <v>4685</v>
      </c>
      <c r="H945" s="2">
        <v>0</v>
      </c>
      <c r="I945" t="s">
        <v>4685</v>
      </c>
      <c r="J945" t="str">
        <f t="shared" si="4"/>
        <v>normalweight</v>
      </c>
    </row>
    <row r="946" spans="1:10" ht="15.75" customHeight="1">
      <c r="A946" t="s">
        <v>2791</v>
      </c>
      <c r="B946">
        <v>28.31</v>
      </c>
      <c r="C946">
        <v>5.43</v>
      </c>
      <c r="E946" t="s">
        <v>4686</v>
      </c>
      <c r="F946" t="s">
        <v>4685</v>
      </c>
      <c r="G946" t="s">
        <v>4685</v>
      </c>
      <c r="H946" s="2">
        <v>2</v>
      </c>
      <c r="I946" t="s">
        <v>4685</v>
      </c>
      <c r="J946" t="str">
        <f t="shared" si="4"/>
        <v>normalweight</v>
      </c>
    </row>
    <row r="947" spans="1:10" ht="15.75" customHeight="1">
      <c r="A947" t="s">
        <v>2789</v>
      </c>
      <c r="B947">
        <v>38.39</v>
      </c>
      <c r="C947">
        <v>8.33</v>
      </c>
      <c r="D947" s="6" t="s">
        <v>4684</v>
      </c>
      <c r="E947" t="s">
        <v>4686</v>
      </c>
      <c r="F947" t="s">
        <v>4685</v>
      </c>
      <c r="G947" t="s">
        <v>4685</v>
      </c>
      <c r="H947" s="2">
        <v>1</v>
      </c>
      <c r="I947" t="s">
        <v>4685</v>
      </c>
      <c r="J947" t="str">
        <f t="shared" si="4"/>
        <v>normalweight</v>
      </c>
    </row>
    <row r="948" spans="1:10" ht="15.75" customHeight="1">
      <c r="A948" t="s">
        <v>2787</v>
      </c>
      <c r="B948">
        <v>25.87</v>
      </c>
      <c r="C948">
        <v>5.63</v>
      </c>
      <c r="E948" t="s">
        <v>4686</v>
      </c>
      <c r="F948" t="s">
        <v>4685</v>
      </c>
      <c r="G948" t="s">
        <v>4685</v>
      </c>
      <c r="H948" s="2">
        <v>1</v>
      </c>
      <c r="I948" t="s">
        <v>4685</v>
      </c>
      <c r="J948" t="str">
        <f t="shared" si="4"/>
        <v>normalweight</v>
      </c>
    </row>
    <row r="949" spans="1:10" ht="15.75" customHeight="1">
      <c r="A949" t="s">
        <v>2785</v>
      </c>
      <c r="B949">
        <v>43.7</v>
      </c>
      <c r="C949">
        <v>7.23</v>
      </c>
      <c r="D949" s="6" t="s">
        <v>4684</v>
      </c>
      <c r="E949" t="s">
        <v>4685</v>
      </c>
      <c r="F949" t="s">
        <v>4685</v>
      </c>
      <c r="G949" t="s">
        <v>4685</v>
      </c>
      <c r="H949" s="2">
        <v>0</v>
      </c>
      <c r="I949" t="s">
        <v>4685</v>
      </c>
      <c r="J949" t="str">
        <f t="shared" si="4"/>
        <v>normalweight</v>
      </c>
    </row>
    <row r="950" spans="1:10" ht="15.75" customHeight="1">
      <c r="A950" t="s">
        <v>2783</v>
      </c>
      <c r="B950">
        <v>40.945</v>
      </c>
      <c r="C950">
        <v>10.57</v>
      </c>
      <c r="D950" s="6" t="s">
        <v>4684</v>
      </c>
      <c r="E950" t="s">
        <v>4685</v>
      </c>
      <c r="F950" t="s">
        <v>4685</v>
      </c>
      <c r="G950" t="s">
        <v>4685</v>
      </c>
      <c r="H950" s="2">
        <v>0</v>
      </c>
      <c r="I950" t="s">
        <v>4685</v>
      </c>
      <c r="J950" t="str">
        <f t="shared" si="4"/>
        <v>normalweight</v>
      </c>
    </row>
    <row r="951" spans="1:10" ht="15.75" customHeight="1">
      <c r="A951" t="s">
        <v>2781</v>
      </c>
      <c r="B951">
        <v>27.94</v>
      </c>
      <c r="C951">
        <v>7.92</v>
      </c>
      <c r="D951" s="6" t="s">
        <v>4684</v>
      </c>
      <c r="E951" t="s">
        <v>4685</v>
      </c>
      <c r="F951" t="s">
        <v>4685</v>
      </c>
      <c r="G951" t="s">
        <v>4685</v>
      </c>
      <c r="H951" s="2">
        <v>0</v>
      </c>
      <c r="I951" t="s">
        <v>4685</v>
      </c>
      <c r="J951" t="str">
        <f t="shared" si="4"/>
        <v>normalweight</v>
      </c>
    </row>
    <row r="952" spans="1:10" ht="15.75" customHeight="1">
      <c r="A952" t="s">
        <v>2779</v>
      </c>
      <c r="B952">
        <v>31.9</v>
      </c>
      <c r="C952">
        <v>10.119999999999999</v>
      </c>
      <c r="D952" s="6" t="s">
        <v>4684</v>
      </c>
      <c r="E952" t="s">
        <v>4685</v>
      </c>
      <c r="F952" t="s">
        <v>4685</v>
      </c>
      <c r="G952" t="s">
        <v>4685</v>
      </c>
      <c r="H952" s="2">
        <v>2</v>
      </c>
      <c r="I952" t="s">
        <v>4685</v>
      </c>
      <c r="J952" t="str">
        <f t="shared" si="4"/>
        <v>normalweight</v>
      </c>
    </row>
    <row r="953" spans="1:10" ht="15.75" customHeight="1">
      <c r="A953" t="s">
        <v>2777</v>
      </c>
      <c r="B953">
        <v>31.64</v>
      </c>
      <c r="C953">
        <v>7.91</v>
      </c>
      <c r="D953" s="6" t="s">
        <v>4684</v>
      </c>
      <c r="E953" t="s">
        <v>4685</v>
      </c>
      <c r="F953" t="s">
        <v>4685</v>
      </c>
      <c r="G953" t="s">
        <v>4685</v>
      </c>
      <c r="H953" s="2">
        <v>0</v>
      </c>
      <c r="I953" t="s">
        <v>4685</v>
      </c>
      <c r="J953" t="str">
        <f t="shared" si="4"/>
        <v>normalweight</v>
      </c>
    </row>
    <row r="954" spans="1:10" ht="15.75" customHeight="1">
      <c r="A954" t="s">
        <v>2775</v>
      </c>
      <c r="B954">
        <v>46.7</v>
      </c>
      <c r="C954">
        <v>10.9</v>
      </c>
      <c r="D954" s="6" t="s">
        <v>4684</v>
      </c>
      <c r="E954" t="s">
        <v>4685</v>
      </c>
      <c r="F954" t="s">
        <v>4685</v>
      </c>
      <c r="G954" t="s">
        <v>4685</v>
      </c>
      <c r="H954" s="2">
        <v>0</v>
      </c>
      <c r="I954" t="s">
        <v>4685</v>
      </c>
      <c r="J954" t="str">
        <f t="shared" si="4"/>
        <v>normalweight</v>
      </c>
    </row>
    <row r="955" spans="1:10" ht="15.75" customHeight="1">
      <c r="A955" t="s">
        <v>2773</v>
      </c>
      <c r="B955">
        <v>18.335000000000001</v>
      </c>
      <c r="C955">
        <v>11.83</v>
      </c>
      <c r="D955" s="6" t="s">
        <v>4684</v>
      </c>
      <c r="E955" t="s">
        <v>4685</v>
      </c>
      <c r="F955" t="s">
        <v>4685</v>
      </c>
      <c r="G955" t="s">
        <v>4685</v>
      </c>
      <c r="H955" s="2">
        <v>0</v>
      </c>
      <c r="I955" t="s">
        <v>4685</v>
      </c>
      <c r="J955" t="str">
        <f t="shared" si="4"/>
        <v>underweight</v>
      </c>
    </row>
    <row r="956" spans="1:10" ht="15.75" customHeight="1">
      <c r="A956" t="s">
        <v>2771</v>
      </c>
      <c r="B956">
        <v>31.24</v>
      </c>
      <c r="C956">
        <v>7.42</v>
      </c>
      <c r="D956" s="6" t="s">
        <v>4684</v>
      </c>
      <c r="E956" t="s">
        <v>4686</v>
      </c>
      <c r="F956" t="s">
        <v>4685</v>
      </c>
      <c r="G956" t="s">
        <v>4685</v>
      </c>
      <c r="H956" s="2">
        <v>2</v>
      </c>
      <c r="I956" t="s">
        <v>4685</v>
      </c>
      <c r="J956" t="str">
        <f t="shared" si="4"/>
        <v>normalweight</v>
      </c>
    </row>
    <row r="957" spans="1:10" ht="15.75" customHeight="1">
      <c r="A957" t="s">
        <v>2769</v>
      </c>
      <c r="B957">
        <v>39.22</v>
      </c>
      <c r="C957">
        <v>5.62</v>
      </c>
      <c r="E957" t="s">
        <v>4686</v>
      </c>
      <c r="F957" t="s">
        <v>4685</v>
      </c>
      <c r="G957" t="s">
        <v>4685</v>
      </c>
      <c r="H957" s="2">
        <v>1</v>
      </c>
      <c r="I957" t="s">
        <v>4685</v>
      </c>
      <c r="J957" t="str">
        <f t="shared" si="4"/>
        <v>normalweight</v>
      </c>
    </row>
    <row r="958" spans="1:10" ht="15.75" customHeight="1">
      <c r="A958" t="s">
        <v>2767</v>
      </c>
      <c r="B958">
        <v>24.414999999999999</v>
      </c>
      <c r="C958">
        <v>7.16</v>
      </c>
      <c r="D958" s="6" t="s">
        <v>4684</v>
      </c>
      <c r="E958" t="s">
        <v>4685</v>
      </c>
      <c r="F958" t="s">
        <v>4685</v>
      </c>
      <c r="G958" t="s">
        <v>4685</v>
      </c>
      <c r="H958" s="2">
        <v>0</v>
      </c>
      <c r="I958" t="s">
        <v>4685</v>
      </c>
      <c r="J958" t="str">
        <f t="shared" si="4"/>
        <v>normalweight</v>
      </c>
    </row>
    <row r="959" spans="1:10" ht="15.75" customHeight="1">
      <c r="A959" t="s">
        <v>2765</v>
      </c>
      <c r="B959">
        <v>32.299999999999997</v>
      </c>
      <c r="C959">
        <v>9.89</v>
      </c>
      <c r="D959" s="6" t="s">
        <v>4684</v>
      </c>
      <c r="E959" t="s">
        <v>4685</v>
      </c>
      <c r="F959" t="s">
        <v>4685</v>
      </c>
      <c r="G959" t="s">
        <v>4685</v>
      </c>
      <c r="H959" s="2">
        <v>0</v>
      </c>
      <c r="I959" t="s">
        <v>4685</v>
      </c>
      <c r="J959" t="str">
        <f t="shared" si="4"/>
        <v>normalweight</v>
      </c>
    </row>
    <row r="960" spans="1:10" ht="15.75" customHeight="1">
      <c r="A960" t="s">
        <v>2763</v>
      </c>
      <c r="B960">
        <v>39.94</v>
      </c>
      <c r="C960">
        <v>5.14</v>
      </c>
      <c r="E960" t="s">
        <v>4685</v>
      </c>
      <c r="F960" t="s">
        <v>4685</v>
      </c>
      <c r="G960" t="s">
        <v>4685</v>
      </c>
      <c r="H960" s="2">
        <v>0</v>
      </c>
      <c r="I960" t="s">
        <v>4685</v>
      </c>
      <c r="J960" t="str">
        <f t="shared" si="4"/>
        <v>normalweight</v>
      </c>
    </row>
    <row r="961" spans="1:10" ht="15.75" customHeight="1">
      <c r="A961" t="s">
        <v>2761</v>
      </c>
      <c r="B961">
        <v>30</v>
      </c>
      <c r="C961">
        <v>5.61</v>
      </c>
      <c r="E961" t="s">
        <v>4686</v>
      </c>
      <c r="F961" t="s">
        <v>4685</v>
      </c>
      <c r="G961" t="s">
        <v>4688</v>
      </c>
      <c r="H961" s="2">
        <v>1</v>
      </c>
      <c r="I961" t="s">
        <v>4685</v>
      </c>
      <c r="J961" t="str">
        <f t="shared" si="4"/>
        <v>normalweight</v>
      </c>
    </row>
    <row r="962" spans="1:10" ht="15.75" customHeight="1">
      <c r="A962" t="s">
        <v>2759</v>
      </c>
      <c r="B962">
        <v>35.340000000000003</v>
      </c>
      <c r="C962">
        <v>5.51</v>
      </c>
      <c r="E962" t="s">
        <v>4686</v>
      </c>
      <c r="F962" t="s">
        <v>4685</v>
      </c>
      <c r="G962" t="s">
        <v>4688</v>
      </c>
      <c r="H962" s="2">
        <v>1</v>
      </c>
      <c r="I962" t="s">
        <v>4685</v>
      </c>
      <c r="J962" t="str">
        <f t="shared" si="4"/>
        <v>normalweight</v>
      </c>
    </row>
    <row r="963" spans="1:10" ht="15.75" customHeight="1">
      <c r="A963" t="s">
        <v>2757</v>
      </c>
      <c r="B963">
        <v>32.204999999999998</v>
      </c>
      <c r="C963">
        <v>8.3800000000000008</v>
      </c>
      <c r="D963" s="6" t="s">
        <v>4684</v>
      </c>
      <c r="E963" t="s">
        <v>4686</v>
      </c>
      <c r="F963" t="s">
        <v>4685</v>
      </c>
      <c r="G963" t="s">
        <v>4685</v>
      </c>
      <c r="H963" s="2">
        <v>2</v>
      </c>
      <c r="I963" t="s">
        <v>4685</v>
      </c>
      <c r="J963" t="str">
        <f t="shared" si="4"/>
        <v>normalweight</v>
      </c>
    </row>
    <row r="964" spans="1:10" ht="15.75" customHeight="1">
      <c r="A964" t="s">
        <v>2755</v>
      </c>
      <c r="B964">
        <v>33.880000000000003</v>
      </c>
      <c r="C964">
        <v>4.68</v>
      </c>
      <c r="E964" t="s">
        <v>4685</v>
      </c>
      <c r="F964" t="s">
        <v>4686</v>
      </c>
      <c r="G964" t="s">
        <v>4685</v>
      </c>
      <c r="H964" s="2">
        <v>1</v>
      </c>
      <c r="I964" t="s">
        <v>4685</v>
      </c>
      <c r="J964" t="str">
        <f t="shared" si="4"/>
        <v>normalweight</v>
      </c>
    </row>
    <row r="965" spans="1:10" ht="15.75" customHeight="1">
      <c r="A965" t="s">
        <v>2753</v>
      </c>
      <c r="B965">
        <v>26.63</v>
      </c>
      <c r="C965">
        <v>4.3600000000000003</v>
      </c>
      <c r="E965" t="s">
        <v>4686</v>
      </c>
      <c r="F965" t="s">
        <v>4685</v>
      </c>
      <c r="G965" t="s">
        <v>4685</v>
      </c>
      <c r="H965" s="2">
        <v>2</v>
      </c>
      <c r="I965" t="s">
        <v>4685</v>
      </c>
      <c r="J965" t="str">
        <f t="shared" si="4"/>
        <v>normalweight</v>
      </c>
    </row>
    <row r="966" spans="1:10" ht="15.75" customHeight="1">
      <c r="A966" t="s">
        <v>2751</v>
      </c>
      <c r="B966">
        <v>28.7</v>
      </c>
      <c r="C966">
        <v>7.74</v>
      </c>
      <c r="D966" s="6" t="s">
        <v>4684</v>
      </c>
      <c r="E966" t="s">
        <v>4685</v>
      </c>
      <c r="F966" t="s">
        <v>4685</v>
      </c>
      <c r="G966" t="s">
        <v>4685</v>
      </c>
      <c r="H966" s="2">
        <v>0</v>
      </c>
      <c r="I966" t="s">
        <v>4685</v>
      </c>
      <c r="J966" t="str">
        <f t="shared" si="4"/>
        <v>normalweight</v>
      </c>
    </row>
    <row r="967" spans="1:10" ht="15.75" customHeight="1">
      <c r="A967" t="s">
        <v>2749</v>
      </c>
      <c r="B967">
        <v>25.65</v>
      </c>
      <c r="C967">
        <v>4.05</v>
      </c>
      <c r="E967" t="s">
        <v>4686</v>
      </c>
      <c r="F967" t="s">
        <v>4685</v>
      </c>
      <c r="G967" t="s">
        <v>4685</v>
      </c>
      <c r="H967" s="2">
        <v>2</v>
      </c>
      <c r="I967" t="s">
        <v>4685</v>
      </c>
      <c r="J967" t="str">
        <f t="shared" si="4"/>
        <v>normalweight</v>
      </c>
    </row>
    <row r="968" spans="1:10" ht="15.75" customHeight="1">
      <c r="A968" t="s">
        <v>2747</v>
      </c>
      <c r="B968">
        <v>36.384999999999998</v>
      </c>
      <c r="C968">
        <v>11.49</v>
      </c>
      <c r="D968" s="6" t="s">
        <v>4684</v>
      </c>
      <c r="E968" t="s">
        <v>4685</v>
      </c>
      <c r="F968" t="s">
        <v>4685</v>
      </c>
      <c r="G968" t="s">
        <v>4685</v>
      </c>
      <c r="H968" s="2">
        <v>0</v>
      </c>
      <c r="I968" t="s">
        <v>4685</v>
      </c>
      <c r="J968" t="str">
        <f t="shared" si="4"/>
        <v>normalweight</v>
      </c>
    </row>
    <row r="969" spans="1:10" ht="15.75" customHeight="1">
      <c r="A969" t="s">
        <v>2745</v>
      </c>
      <c r="B969">
        <v>34.69</v>
      </c>
      <c r="C969">
        <v>5.65</v>
      </c>
      <c r="E969" t="s">
        <v>4685</v>
      </c>
      <c r="F969" t="s">
        <v>4685</v>
      </c>
      <c r="G969" t="s">
        <v>4685</v>
      </c>
      <c r="H969" s="2">
        <v>0</v>
      </c>
      <c r="I969" t="s">
        <v>4685</v>
      </c>
      <c r="J969" t="str">
        <f t="shared" si="4"/>
        <v>normalweight</v>
      </c>
    </row>
    <row r="970" spans="1:10" ht="15.75" customHeight="1">
      <c r="A970" t="s">
        <v>2743</v>
      </c>
      <c r="B970">
        <v>37.68</v>
      </c>
      <c r="C970">
        <v>4.29</v>
      </c>
      <c r="E970" t="s">
        <v>4686</v>
      </c>
      <c r="F970" t="s">
        <v>4685</v>
      </c>
      <c r="G970" t="s">
        <v>4685</v>
      </c>
      <c r="H970" s="2">
        <v>0</v>
      </c>
      <c r="I970" t="s">
        <v>4685</v>
      </c>
      <c r="J970" t="str">
        <f t="shared" si="4"/>
        <v>normalweight</v>
      </c>
    </row>
    <row r="971" spans="1:10" ht="15.75" customHeight="1">
      <c r="A971" t="s">
        <v>2741</v>
      </c>
      <c r="B971">
        <v>35.49</v>
      </c>
      <c r="C971">
        <v>4.74</v>
      </c>
      <c r="E971" t="s">
        <v>4686</v>
      </c>
      <c r="F971" t="s">
        <v>4685</v>
      </c>
      <c r="G971" t="s">
        <v>4688</v>
      </c>
      <c r="H971" s="2">
        <v>1</v>
      </c>
      <c r="I971" t="s">
        <v>4685</v>
      </c>
      <c r="J971" t="str">
        <f t="shared" si="4"/>
        <v>normalweight</v>
      </c>
    </row>
    <row r="972" spans="1:10" ht="15.75" customHeight="1">
      <c r="A972" t="s">
        <v>2739</v>
      </c>
      <c r="B972">
        <v>44.7</v>
      </c>
      <c r="C972">
        <v>7.6</v>
      </c>
      <c r="D972" s="6" t="s">
        <v>4684</v>
      </c>
      <c r="E972" t="s">
        <v>4686</v>
      </c>
      <c r="F972" t="s">
        <v>4685</v>
      </c>
      <c r="G972" t="s">
        <v>4685</v>
      </c>
      <c r="H972" s="2">
        <v>2</v>
      </c>
      <c r="I972" t="s">
        <v>4685</v>
      </c>
      <c r="J972" t="str">
        <f t="shared" si="4"/>
        <v>normalweight</v>
      </c>
    </row>
    <row r="973" spans="1:10" ht="15.75" customHeight="1">
      <c r="A973" t="s">
        <v>2737</v>
      </c>
      <c r="B973">
        <v>38.380000000000003</v>
      </c>
      <c r="C973">
        <v>8.5</v>
      </c>
      <c r="D973" s="6" t="s">
        <v>4684</v>
      </c>
      <c r="E973" t="s">
        <v>4686</v>
      </c>
      <c r="F973" t="s">
        <v>4685</v>
      </c>
      <c r="G973" t="s">
        <v>4685</v>
      </c>
      <c r="H973" s="2">
        <v>2</v>
      </c>
      <c r="I973" t="s">
        <v>4685</v>
      </c>
      <c r="J973" t="str">
        <f t="shared" si="4"/>
        <v>normalweight</v>
      </c>
    </row>
    <row r="974" spans="1:10" ht="15.75" customHeight="1">
      <c r="A974" t="s">
        <v>2735</v>
      </c>
      <c r="B974">
        <v>35.244999999999997</v>
      </c>
      <c r="C974">
        <v>11.22</v>
      </c>
      <c r="D974" s="6" t="s">
        <v>4684</v>
      </c>
      <c r="E974" t="s">
        <v>4686</v>
      </c>
      <c r="F974" t="s">
        <v>4685</v>
      </c>
      <c r="G974" t="s">
        <v>4685</v>
      </c>
      <c r="H974" s="2">
        <v>0</v>
      </c>
      <c r="I974" t="s">
        <v>4685</v>
      </c>
      <c r="J974" t="str">
        <f t="shared" si="4"/>
        <v>normalweight</v>
      </c>
    </row>
    <row r="975" spans="1:10" ht="15.75" customHeight="1">
      <c r="A975" t="s">
        <v>2733</v>
      </c>
      <c r="B975">
        <v>49.84</v>
      </c>
      <c r="C975">
        <v>5.0999999999999996</v>
      </c>
      <c r="E975" t="s">
        <v>4686</v>
      </c>
      <c r="F975" t="s">
        <v>4685</v>
      </c>
      <c r="G975" t="s">
        <v>4688</v>
      </c>
      <c r="H975" s="2">
        <v>1</v>
      </c>
      <c r="I975" t="s">
        <v>4685</v>
      </c>
      <c r="J975" t="str">
        <f t="shared" si="4"/>
        <v>normalweight</v>
      </c>
    </row>
    <row r="976" spans="1:10" ht="15.75" customHeight="1">
      <c r="A976" t="s">
        <v>2731</v>
      </c>
      <c r="B976">
        <v>49.06</v>
      </c>
      <c r="C976">
        <v>5.43</v>
      </c>
      <c r="E976" t="s">
        <v>4686</v>
      </c>
      <c r="F976" t="s">
        <v>4685</v>
      </c>
      <c r="G976" t="s">
        <v>4685</v>
      </c>
      <c r="H976" s="2">
        <v>1</v>
      </c>
      <c r="I976" t="s">
        <v>4685</v>
      </c>
      <c r="J976" t="str">
        <f t="shared" si="4"/>
        <v>normalweight</v>
      </c>
    </row>
    <row r="977" spans="1:10" ht="15.75" customHeight="1">
      <c r="A977" t="s">
        <v>2729</v>
      </c>
      <c r="B977">
        <v>30.88</v>
      </c>
      <c r="C977">
        <v>5.82</v>
      </c>
      <c r="E977" t="s">
        <v>4685</v>
      </c>
      <c r="F977" t="s">
        <v>4685</v>
      </c>
      <c r="G977" t="s">
        <v>4685</v>
      </c>
      <c r="H977" s="2">
        <v>2</v>
      </c>
      <c r="I977" t="s">
        <v>4685</v>
      </c>
      <c r="J977" t="str">
        <f t="shared" si="4"/>
        <v>normalweight</v>
      </c>
    </row>
    <row r="978" spans="1:10" ht="15.75" customHeight="1">
      <c r="A978" t="s">
        <v>2727</v>
      </c>
      <c r="B978">
        <v>33.35</v>
      </c>
      <c r="C978">
        <v>6.05</v>
      </c>
      <c r="E978" t="s">
        <v>4685</v>
      </c>
      <c r="F978" t="s">
        <v>4685</v>
      </c>
      <c r="G978" t="s">
        <v>4688</v>
      </c>
      <c r="H978" s="2">
        <v>1</v>
      </c>
      <c r="I978" t="s">
        <v>4685</v>
      </c>
      <c r="J978" t="str">
        <f t="shared" si="4"/>
        <v>normalweight</v>
      </c>
    </row>
    <row r="979" spans="1:10" ht="15.75" customHeight="1">
      <c r="A979" t="s">
        <v>2725</v>
      </c>
      <c r="B979">
        <v>38</v>
      </c>
      <c r="C979">
        <v>6.38</v>
      </c>
      <c r="E979" t="s">
        <v>4686</v>
      </c>
      <c r="F979" t="s">
        <v>4685</v>
      </c>
      <c r="G979" t="s">
        <v>4685</v>
      </c>
      <c r="H979" s="2">
        <v>1</v>
      </c>
      <c r="I979" t="s">
        <v>4685</v>
      </c>
      <c r="J979" t="str">
        <f t="shared" si="4"/>
        <v>normalweight</v>
      </c>
    </row>
    <row r="980" spans="1:10" ht="15.75" customHeight="1">
      <c r="A980" t="s">
        <v>2723</v>
      </c>
      <c r="B980">
        <v>36.08</v>
      </c>
      <c r="C980">
        <v>5.73</v>
      </c>
      <c r="E980" t="s">
        <v>4686</v>
      </c>
      <c r="F980" t="s">
        <v>4685</v>
      </c>
      <c r="G980" t="s">
        <v>4685</v>
      </c>
      <c r="H980" s="2">
        <v>1</v>
      </c>
      <c r="I980" t="s">
        <v>4685</v>
      </c>
      <c r="J980" t="str">
        <f t="shared" si="4"/>
        <v>normalweight</v>
      </c>
    </row>
    <row r="981" spans="1:10" ht="15.75" customHeight="1">
      <c r="A981" t="s">
        <v>2721</v>
      </c>
      <c r="B981">
        <v>35.700000000000003</v>
      </c>
      <c r="C981">
        <v>5.47</v>
      </c>
      <c r="E981" t="s">
        <v>4686</v>
      </c>
      <c r="F981" t="s">
        <v>4685</v>
      </c>
      <c r="G981" t="s">
        <v>4685</v>
      </c>
      <c r="H981" s="2">
        <v>1</v>
      </c>
      <c r="I981" t="s">
        <v>4685</v>
      </c>
      <c r="J981" t="str">
        <f t="shared" si="4"/>
        <v>normalweight</v>
      </c>
    </row>
    <row r="982" spans="1:10" ht="15.75" customHeight="1">
      <c r="A982" t="s">
        <v>2719</v>
      </c>
      <c r="B982">
        <v>34.01</v>
      </c>
      <c r="C982">
        <v>11.3</v>
      </c>
      <c r="D982" s="6" t="s">
        <v>4684</v>
      </c>
      <c r="E982" t="s">
        <v>4685</v>
      </c>
      <c r="F982" t="s">
        <v>4685</v>
      </c>
      <c r="G982" t="s">
        <v>4685</v>
      </c>
      <c r="H982" s="2">
        <v>0</v>
      </c>
      <c r="I982" t="s">
        <v>4685</v>
      </c>
      <c r="J982" t="str">
        <f t="shared" si="4"/>
        <v>normalweight</v>
      </c>
    </row>
    <row r="983" spans="1:10" ht="15.75" customHeight="1">
      <c r="A983" t="s">
        <v>2717</v>
      </c>
      <c r="B983">
        <v>31.54</v>
      </c>
      <c r="C983">
        <v>6.72</v>
      </c>
      <c r="D983" s="6" t="s">
        <v>4684</v>
      </c>
      <c r="E983" t="s">
        <v>4685</v>
      </c>
      <c r="F983" t="s">
        <v>4685</v>
      </c>
      <c r="G983" t="s">
        <v>4685</v>
      </c>
      <c r="H983" s="2">
        <v>0</v>
      </c>
      <c r="I983" t="s">
        <v>4685</v>
      </c>
      <c r="J983" t="str">
        <f t="shared" si="4"/>
        <v>normalweight</v>
      </c>
    </row>
    <row r="984" spans="1:10" ht="15.75" customHeight="1">
      <c r="A984" t="s">
        <v>2715</v>
      </c>
      <c r="B984">
        <v>23.3</v>
      </c>
      <c r="C984">
        <v>5.36</v>
      </c>
      <c r="E984" t="s">
        <v>4686</v>
      </c>
      <c r="F984" t="s">
        <v>4685</v>
      </c>
      <c r="G984" t="s">
        <v>4685</v>
      </c>
      <c r="H984" s="2">
        <v>1</v>
      </c>
      <c r="I984" t="s">
        <v>4685</v>
      </c>
      <c r="J984" t="str">
        <f t="shared" si="4"/>
        <v>normalweight</v>
      </c>
    </row>
    <row r="985" spans="1:10" ht="15.75" customHeight="1">
      <c r="A985" t="s">
        <v>2713</v>
      </c>
      <c r="B985">
        <v>27.75</v>
      </c>
      <c r="C985">
        <v>9.8800000000000008</v>
      </c>
      <c r="D985" s="6" t="s">
        <v>4684</v>
      </c>
      <c r="E985" t="s">
        <v>4685</v>
      </c>
      <c r="F985" t="s">
        <v>4685</v>
      </c>
      <c r="G985" t="s">
        <v>4685</v>
      </c>
      <c r="H985" s="2">
        <v>0</v>
      </c>
      <c r="I985" t="s">
        <v>4685</v>
      </c>
      <c r="J985" t="str">
        <f t="shared" si="4"/>
        <v>normalweight</v>
      </c>
    </row>
    <row r="986" spans="1:10" ht="15.75" customHeight="1">
      <c r="A986" t="s">
        <v>2711</v>
      </c>
      <c r="B986">
        <v>42.46</v>
      </c>
      <c r="C986">
        <v>4.1100000000000003</v>
      </c>
      <c r="E986" t="s">
        <v>4685</v>
      </c>
      <c r="F986" t="s">
        <v>4685</v>
      </c>
      <c r="G986" t="s">
        <v>4685</v>
      </c>
      <c r="H986" s="2">
        <v>0</v>
      </c>
      <c r="I986" t="s">
        <v>4685</v>
      </c>
      <c r="J986" t="str">
        <f t="shared" si="4"/>
        <v>normalweight</v>
      </c>
    </row>
    <row r="987" spans="1:10" ht="15.75" customHeight="1">
      <c r="A987" t="s">
        <v>2709</v>
      </c>
      <c r="B987">
        <v>54.47</v>
      </c>
      <c r="C987">
        <v>7.48</v>
      </c>
      <c r="D987" s="6" t="s">
        <v>4684</v>
      </c>
      <c r="E987" t="s">
        <v>4685</v>
      </c>
      <c r="F987" t="s">
        <v>4685</v>
      </c>
      <c r="G987" t="s">
        <v>4685</v>
      </c>
      <c r="H987" s="2">
        <v>0</v>
      </c>
      <c r="I987" t="s">
        <v>4685</v>
      </c>
      <c r="J987" t="str">
        <f t="shared" si="4"/>
        <v>normalweight</v>
      </c>
    </row>
    <row r="988" spans="1:10" ht="15.75" customHeight="1">
      <c r="A988" t="s">
        <v>2707</v>
      </c>
      <c r="B988">
        <v>24.93</v>
      </c>
      <c r="C988">
        <v>9.18</v>
      </c>
      <c r="D988" s="6" t="s">
        <v>4684</v>
      </c>
      <c r="E988" t="s">
        <v>4686</v>
      </c>
      <c r="F988" t="s">
        <v>4685</v>
      </c>
      <c r="G988" t="s">
        <v>4688</v>
      </c>
      <c r="H988" s="2">
        <v>1</v>
      </c>
      <c r="I988" t="s">
        <v>4685</v>
      </c>
      <c r="J988" t="str">
        <f t="shared" si="4"/>
        <v>normalweight</v>
      </c>
    </row>
    <row r="989" spans="1:10" ht="15.75" customHeight="1">
      <c r="A989" t="s">
        <v>2705</v>
      </c>
      <c r="B989">
        <v>48.12</v>
      </c>
      <c r="C989">
        <v>4.51</v>
      </c>
      <c r="E989" t="s">
        <v>4686</v>
      </c>
      <c r="F989" t="s">
        <v>4685</v>
      </c>
      <c r="G989" t="s">
        <v>4685</v>
      </c>
      <c r="H989" s="2">
        <v>1</v>
      </c>
      <c r="I989" t="s">
        <v>4685</v>
      </c>
      <c r="J989" t="str">
        <f t="shared" si="4"/>
        <v>normalweight</v>
      </c>
    </row>
    <row r="990" spans="1:10" ht="15.75" customHeight="1">
      <c r="A990" t="s">
        <v>2703</v>
      </c>
      <c r="B990">
        <v>24.91</v>
      </c>
      <c r="C990">
        <v>7.33</v>
      </c>
      <c r="D990" s="6" t="s">
        <v>4684</v>
      </c>
      <c r="E990" t="s">
        <v>4686</v>
      </c>
      <c r="F990" t="s">
        <v>4685</v>
      </c>
      <c r="G990" t="s">
        <v>4688</v>
      </c>
      <c r="H990" s="2">
        <v>1</v>
      </c>
      <c r="I990" t="s">
        <v>4685</v>
      </c>
      <c r="J990" t="str">
        <f t="shared" si="4"/>
        <v>normalweight</v>
      </c>
    </row>
    <row r="991" spans="1:10" ht="15.75" customHeight="1">
      <c r="A991" t="s">
        <v>2701</v>
      </c>
      <c r="B991">
        <v>27.645</v>
      </c>
      <c r="C991">
        <v>10.56</v>
      </c>
      <c r="D991" s="6" t="s">
        <v>4684</v>
      </c>
      <c r="E991" t="s">
        <v>4685</v>
      </c>
      <c r="F991" t="s">
        <v>4685</v>
      </c>
      <c r="G991" t="s">
        <v>4685</v>
      </c>
      <c r="H991" s="2">
        <v>0</v>
      </c>
      <c r="I991" t="s">
        <v>4685</v>
      </c>
      <c r="J991" t="str">
        <f t="shared" si="4"/>
        <v>normalweight</v>
      </c>
    </row>
    <row r="992" spans="1:10" ht="15.75" customHeight="1">
      <c r="A992" t="s">
        <v>2699</v>
      </c>
      <c r="B992">
        <v>33.700000000000003</v>
      </c>
      <c r="C992">
        <v>4.01</v>
      </c>
      <c r="E992" t="s">
        <v>4685</v>
      </c>
      <c r="F992" t="s">
        <v>4685</v>
      </c>
      <c r="G992" t="s">
        <v>4685</v>
      </c>
      <c r="H992" s="2">
        <v>2</v>
      </c>
      <c r="I992" t="s">
        <v>4685</v>
      </c>
      <c r="J992" t="str">
        <f t="shared" si="4"/>
        <v>normalweight</v>
      </c>
    </row>
    <row r="993" spans="1:10" ht="15.75" customHeight="1">
      <c r="A993" t="s">
        <v>2697</v>
      </c>
      <c r="B993">
        <v>38.93</v>
      </c>
      <c r="C993">
        <v>5.64</v>
      </c>
      <c r="E993" t="s">
        <v>4686</v>
      </c>
      <c r="F993" t="s">
        <v>4685</v>
      </c>
      <c r="G993" t="s">
        <v>4685</v>
      </c>
      <c r="H993" s="2">
        <v>1</v>
      </c>
      <c r="I993" t="s">
        <v>4685</v>
      </c>
      <c r="J993" t="str">
        <f t="shared" si="4"/>
        <v>normalweight</v>
      </c>
    </row>
    <row r="994" spans="1:10" ht="15.75" customHeight="1">
      <c r="A994" t="s">
        <v>2695</v>
      </c>
      <c r="B994">
        <v>32.774999999999999</v>
      </c>
      <c r="C994">
        <v>8.02</v>
      </c>
      <c r="D994" s="6" t="s">
        <v>4684</v>
      </c>
      <c r="E994" t="s">
        <v>4686</v>
      </c>
      <c r="F994" t="s">
        <v>4685</v>
      </c>
      <c r="G994" t="s">
        <v>4685</v>
      </c>
      <c r="H994" s="2">
        <v>2</v>
      </c>
      <c r="I994" t="s">
        <v>4685</v>
      </c>
      <c r="J994" t="str">
        <f t="shared" si="4"/>
        <v>normalweight</v>
      </c>
    </row>
    <row r="995" spans="1:10" ht="15.75" customHeight="1">
      <c r="A995" t="s">
        <v>2693</v>
      </c>
      <c r="B995">
        <v>29.83</v>
      </c>
      <c r="C995">
        <v>7.2</v>
      </c>
      <c r="D995" s="6" t="s">
        <v>4684</v>
      </c>
      <c r="E995" t="s">
        <v>4686</v>
      </c>
      <c r="F995" t="s">
        <v>4685</v>
      </c>
      <c r="G995" t="s">
        <v>4685</v>
      </c>
      <c r="H995" s="2">
        <v>0</v>
      </c>
      <c r="I995" t="s">
        <v>4685</v>
      </c>
      <c r="J995" t="str">
        <f t="shared" si="4"/>
        <v>normalweight</v>
      </c>
    </row>
    <row r="996" spans="1:10" ht="15.75" customHeight="1">
      <c r="A996" t="s">
        <v>2691</v>
      </c>
      <c r="B996">
        <v>28.31</v>
      </c>
      <c r="C996">
        <v>4.55</v>
      </c>
      <c r="E996" t="s">
        <v>4685</v>
      </c>
      <c r="F996" t="s">
        <v>4686</v>
      </c>
      <c r="G996" t="s">
        <v>4685</v>
      </c>
      <c r="H996" s="2">
        <v>1</v>
      </c>
      <c r="I996" t="s">
        <v>4685</v>
      </c>
      <c r="J996" t="str">
        <f t="shared" si="4"/>
        <v>normalweight</v>
      </c>
    </row>
    <row r="997" spans="1:10" ht="15.75" customHeight="1">
      <c r="A997" t="s">
        <v>2689</v>
      </c>
      <c r="B997">
        <v>29.79</v>
      </c>
      <c r="C997">
        <v>9.0299999999999994</v>
      </c>
      <c r="D997" s="6" t="s">
        <v>4684</v>
      </c>
      <c r="E997" t="s">
        <v>4685</v>
      </c>
      <c r="F997" t="s">
        <v>4685</v>
      </c>
      <c r="G997" t="s">
        <v>4685</v>
      </c>
      <c r="H997" s="2">
        <v>0</v>
      </c>
      <c r="I997" t="s">
        <v>4685</v>
      </c>
      <c r="J997" t="str">
        <f t="shared" si="4"/>
        <v>normalweight</v>
      </c>
    </row>
    <row r="998" spans="1:10" ht="15.75" customHeight="1">
      <c r="A998" t="s">
        <v>2687</v>
      </c>
      <c r="B998">
        <v>36.6</v>
      </c>
      <c r="C998">
        <v>5.2</v>
      </c>
      <c r="E998" t="s">
        <v>4686</v>
      </c>
      <c r="F998" t="s">
        <v>4685</v>
      </c>
      <c r="G998" t="s">
        <v>4688</v>
      </c>
      <c r="H998" s="2">
        <v>1</v>
      </c>
      <c r="I998" t="s">
        <v>4685</v>
      </c>
      <c r="J998" t="str">
        <f t="shared" si="4"/>
        <v>normalweight</v>
      </c>
    </row>
    <row r="999" spans="1:10" ht="15.75" customHeight="1">
      <c r="A999" t="s">
        <v>2685</v>
      </c>
      <c r="B999">
        <v>35.93</v>
      </c>
      <c r="C999">
        <v>8.3000000000000007</v>
      </c>
      <c r="E999" t="s">
        <v>4686</v>
      </c>
      <c r="F999" t="s">
        <v>4685</v>
      </c>
      <c r="G999" t="s">
        <v>4685</v>
      </c>
      <c r="H999" s="2">
        <v>0</v>
      </c>
      <c r="I999" t="s">
        <v>4685</v>
      </c>
      <c r="J999" t="str">
        <f t="shared" si="4"/>
        <v>normalweight</v>
      </c>
    </row>
    <row r="1000" spans="1:10" ht="15.75" customHeight="1">
      <c r="A1000" t="s">
        <v>2683</v>
      </c>
      <c r="B1000">
        <v>28.6</v>
      </c>
      <c r="C1000">
        <v>5.56</v>
      </c>
      <c r="E1000" t="s">
        <v>4686</v>
      </c>
      <c r="F1000" t="s">
        <v>4685</v>
      </c>
      <c r="G1000" t="s">
        <v>4688</v>
      </c>
      <c r="H1000" s="2">
        <v>1</v>
      </c>
      <c r="I1000" t="s">
        <v>4685</v>
      </c>
      <c r="J1000" t="str">
        <f t="shared" si="4"/>
        <v>normalweight</v>
      </c>
    </row>
    <row r="1001" spans="1:10" ht="15.75" customHeight="1">
      <c r="A1001" t="s">
        <v>2681</v>
      </c>
      <c r="B1001">
        <v>39.17</v>
      </c>
      <c r="C1001">
        <v>4.1500000000000004</v>
      </c>
      <c r="E1001" t="s">
        <v>4685</v>
      </c>
      <c r="F1001" t="s">
        <v>4685</v>
      </c>
      <c r="G1001" t="s">
        <v>4685</v>
      </c>
      <c r="H1001" s="2">
        <v>0</v>
      </c>
      <c r="I1001" t="s">
        <v>4685</v>
      </c>
      <c r="J1001" t="str">
        <f t="shared" si="4"/>
        <v>normalweight</v>
      </c>
    </row>
    <row r="1002" spans="1:10" ht="15.75" customHeight="1">
      <c r="A1002" t="s">
        <v>2679</v>
      </c>
      <c r="B1002">
        <v>26.41</v>
      </c>
      <c r="C1002">
        <v>5.99</v>
      </c>
      <c r="E1002" t="s">
        <v>4686</v>
      </c>
      <c r="F1002" t="s">
        <v>4685</v>
      </c>
      <c r="G1002" t="s">
        <v>4688</v>
      </c>
      <c r="H1002" s="2">
        <v>1</v>
      </c>
      <c r="I1002" t="s">
        <v>4685</v>
      </c>
      <c r="J1002" t="str">
        <f t="shared" si="4"/>
        <v>normalweight</v>
      </c>
    </row>
    <row r="1003" spans="1:10" ht="15.75" customHeight="1">
      <c r="A1003" t="s">
        <v>2677</v>
      </c>
      <c r="B1003">
        <v>30.63</v>
      </c>
      <c r="C1003">
        <v>5.8</v>
      </c>
      <c r="E1003" t="s">
        <v>4686</v>
      </c>
      <c r="F1003" t="s">
        <v>4685</v>
      </c>
      <c r="G1003" t="s">
        <v>4685</v>
      </c>
      <c r="H1003" s="2">
        <v>0</v>
      </c>
      <c r="I1003" t="s">
        <v>4685</v>
      </c>
      <c r="J1003" t="str">
        <f t="shared" si="4"/>
        <v>normalweight</v>
      </c>
    </row>
    <row r="1004" spans="1:10" ht="15.75" customHeight="1">
      <c r="A1004" t="s">
        <v>2675</v>
      </c>
      <c r="B1004">
        <v>31.73</v>
      </c>
      <c r="C1004">
        <v>7.32</v>
      </c>
      <c r="D1004" s="6" t="s">
        <v>4684</v>
      </c>
      <c r="E1004" t="s">
        <v>4686</v>
      </c>
      <c r="F1004" t="s">
        <v>4685</v>
      </c>
      <c r="G1004" t="s">
        <v>4685</v>
      </c>
      <c r="H1004" s="2">
        <v>2</v>
      </c>
      <c r="I1004" t="s">
        <v>4685</v>
      </c>
      <c r="J1004" t="str">
        <f t="shared" si="4"/>
        <v>normalweight</v>
      </c>
    </row>
    <row r="1005" spans="1:10" ht="15.75" customHeight="1">
      <c r="A1005" t="s">
        <v>2673</v>
      </c>
      <c r="B1005">
        <v>30.7</v>
      </c>
      <c r="C1005">
        <v>5.16</v>
      </c>
      <c r="E1005" t="s">
        <v>4685</v>
      </c>
      <c r="F1005" t="s">
        <v>4685</v>
      </c>
      <c r="G1005" t="s">
        <v>4685</v>
      </c>
      <c r="H1005" s="2">
        <v>2</v>
      </c>
      <c r="I1005" t="s">
        <v>4685</v>
      </c>
      <c r="J1005" t="str">
        <f t="shared" si="4"/>
        <v>normalweight</v>
      </c>
    </row>
    <row r="1006" spans="1:10" ht="15.75" customHeight="1">
      <c r="A1006" t="s">
        <v>2671</v>
      </c>
      <c r="B1006">
        <v>25.934999999999999</v>
      </c>
      <c r="C1006">
        <v>5.96</v>
      </c>
      <c r="E1006" t="s">
        <v>4686</v>
      </c>
      <c r="F1006" t="s">
        <v>4685</v>
      </c>
      <c r="G1006" t="s">
        <v>4685</v>
      </c>
      <c r="H1006" s="2">
        <v>2</v>
      </c>
      <c r="I1006" t="s">
        <v>4685</v>
      </c>
      <c r="J1006" t="str">
        <f t="shared" si="4"/>
        <v>normalweight</v>
      </c>
    </row>
    <row r="1007" spans="1:10" ht="15.75" customHeight="1">
      <c r="A1007" t="s">
        <v>2669</v>
      </c>
      <c r="B1007">
        <v>35.9</v>
      </c>
      <c r="C1007">
        <v>4.8499999999999996</v>
      </c>
      <c r="E1007" t="s">
        <v>4686</v>
      </c>
      <c r="F1007" t="s">
        <v>4685</v>
      </c>
      <c r="G1007" t="s">
        <v>4688</v>
      </c>
      <c r="H1007" s="2">
        <v>1</v>
      </c>
      <c r="I1007" t="s">
        <v>4685</v>
      </c>
      <c r="J1007" t="str">
        <f t="shared" si="4"/>
        <v>normalweight</v>
      </c>
    </row>
    <row r="1008" spans="1:10" ht="15.75" customHeight="1">
      <c r="A1008" t="s">
        <v>2667</v>
      </c>
      <c r="B1008">
        <v>26.7</v>
      </c>
      <c r="C1008">
        <v>5.09</v>
      </c>
      <c r="E1008" t="s">
        <v>4686</v>
      </c>
      <c r="F1008" t="s">
        <v>4685</v>
      </c>
      <c r="G1008" t="s">
        <v>4688</v>
      </c>
      <c r="H1008" s="2">
        <v>1</v>
      </c>
      <c r="I1008" t="s">
        <v>4685</v>
      </c>
      <c r="J1008" t="str">
        <f t="shared" si="4"/>
        <v>normalweight</v>
      </c>
    </row>
    <row r="1009" spans="1:10" ht="15.75" customHeight="1">
      <c r="A1009" t="s">
        <v>2665</v>
      </c>
      <c r="B1009">
        <v>33.71</v>
      </c>
      <c r="C1009">
        <v>4.9400000000000004</v>
      </c>
      <c r="E1009" t="s">
        <v>4685</v>
      </c>
      <c r="F1009" t="s">
        <v>4685</v>
      </c>
      <c r="G1009" t="s">
        <v>4685</v>
      </c>
      <c r="H1009" s="2">
        <v>0</v>
      </c>
      <c r="I1009" t="s">
        <v>4685</v>
      </c>
      <c r="J1009" t="str">
        <f t="shared" si="4"/>
        <v>normalweight</v>
      </c>
    </row>
    <row r="1010" spans="1:10" ht="15.75" customHeight="1">
      <c r="A1010" t="s">
        <v>2663</v>
      </c>
      <c r="B1010">
        <v>41.91</v>
      </c>
      <c r="C1010">
        <v>4.92</v>
      </c>
      <c r="E1010" t="s">
        <v>4686</v>
      </c>
      <c r="F1010" t="s">
        <v>4685</v>
      </c>
      <c r="G1010" t="s">
        <v>4685</v>
      </c>
      <c r="H1010" s="2">
        <v>2</v>
      </c>
      <c r="I1010" t="s">
        <v>4685</v>
      </c>
      <c r="J1010" t="str">
        <f t="shared" si="4"/>
        <v>normalweight</v>
      </c>
    </row>
    <row r="1011" spans="1:10" ht="15.75" customHeight="1">
      <c r="A1011" t="s">
        <v>2661</v>
      </c>
      <c r="B1011">
        <v>39.82</v>
      </c>
      <c r="C1011">
        <v>6.05</v>
      </c>
      <c r="E1011" t="s">
        <v>4686</v>
      </c>
      <c r="F1011" t="s">
        <v>4685</v>
      </c>
      <c r="G1011" t="s">
        <v>4685</v>
      </c>
      <c r="H1011" s="2">
        <v>2</v>
      </c>
      <c r="I1011" t="s">
        <v>4685</v>
      </c>
      <c r="J1011" t="str">
        <f t="shared" si="4"/>
        <v>normalweight</v>
      </c>
    </row>
    <row r="1012" spans="1:10" ht="15.75" customHeight="1">
      <c r="A1012" t="s">
        <v>2659</v>
      </c>
      <c r="B1012">
        <v>28.12</v>
      </c>
      <c r="C1012">
        <v>4.67</v>
      </c>
      <c r="E1012" t="s">
        <v>4685</v>
      </c>
      <c r="F1012" t="s">
        <v>4685</v>
      </c>
      <c r="G1012" t="s">
        <v>4685</v>
      </c>
      <c r="H1012" s="2">
        <v>2</v>
      </c>
      <c r="I1012" t="s">
        <v>4685</v>
      </c>
      <c r="J1012" t="str">
        <f t="shared" si="4"/>
        <v>normalweight</v>
      </c>
    </row>
    <row r="1013" spans="1:10" ht="15.75" customHeight="1">
      <c r="A1013" t="s">
        <v>2657</v>
      </c>
      <c r="B1013">
        <v>26.98</v>
      </c>
      <c r="C1013">
        <v>9.81</v>
      </c>
      <c r="D1013" s="6" t="s">
        <v>4684</v>
      </c>
      <c r="E1013" t="s">
        <v>4686</v>
      </c>
      <c r="F1013" t="s">
        <v>4685</v>
      </c>
      <c r="G1013" t="s">
        <v>4685</v>
      </c>
      <c r="H1013" s="2">
        <v>0</v>
      </c>
      <c r="I1013" t="s">
        <v>4685</v>
      </c>
      <c r="J1013" t="str">
        <f t="shared" si="4"/>
        <v>normalweight</v>
      </c>
    </row>
    <row r="1014" spans="1:10" ht="15.75" customHeight="1">
      <c r="A1014" t="s">
        <v>2655</v>
      </c>
      <c r="B1014">
        <v>27.2</v>
      </c>
      <c r="C1014">
        <v>6.06</v>
      </c>
      <c r="E1014" t="s">
        <v>4686</v>
      </c>
      <c r="F1014" t="s">
        <v>4685</v>
      </c>
      <c r="G1014" t="s">
        <v>4685</v>
      </c>
      <c r="H1014" s="2">
        <v>2</v>
      </c>
      <c r="I1014" t="s">
        <v>4685</v>
      </c>
      <c r="J1014" t="str">
        <f t="shared" si="4"/>
        <v>normalweight</v>
      </c>
    </row>
    <row r="1015" spans="1:10" ht="15.75" customHeight="1">
      <c r="A1015" t="s">
        <v>2653</v>
      </c>
      <c r="B1015">
        <v>25.3</v>
      </c>
      <c r="C1015">
        <v>5.19</v>
      </c>
      <c r="E1015" t="s">
        <v>4686</v>
      </c>
      <c r="F1015" t="s">
        <v>4685</v>
      </c>
      <c r="G1015" t="s">
        <v>4685</v>
      </c>
      <c r="H1015" s="2">
        <v>2</v>
      </c>
      <c r="I1015" t="s">
        <v>4685</v>
      </c>
      <c r="J1015" t="str">
        <f t="shared" si="4"/>
        <v>normalweight</v>
      </c>
    </row>
    <row r="1016" spans="1:10" ht="15.75" customHeight="1">
      <c r="A1016" t="s">
        <v>2651</v>
      </c>
      <c r="B1016">
        <v>30.25</v>
      </c>
      <c r="C1016">
        <v>10.16</v>
      </c>
      <c r="D1016" s="6" t="s">
        <v>4684</v>
      </c>
      <c r="E1016" t="s">
        <v>4685</v>
      </c>
      <c r="F1016" t="s">
        <v>4685</v>
      </c>
      <c r="G1016" t="s">
        <v>4685</v>
      </c>
      <c r="H1016" s="2">
        <v>0</v>
      </c>
      <c r="I1016" t="s">
        <v>4685</v>
      </c>
      <c r="J1016" t="str">
        <f t="shared" si="4"/>
        <v>normalweight</v>
      </c>
    </row>
    <row r="1017" spans="1:10" ht="15.75" customHeight="1">
      <c r="A1017" t="s">
        <v>2649</v>
      </c>
      <c r="B1017">
        <v>54</v>
      </c>
      <c r="C1017">
        <v>4.68</v>
      </c>
      <c r="E1017" t="s">
        <v>4686</v>
      </c>
      <c r="F1017" t="s">
        <v>4686</v>
      </c>
      <c r="G1017" t="s">
        <v>4685</v>
      </c>
      <c r="H1017" s="2">
        <v>2</v>
      </c>
      <c r="I1017" t="s">
        <v>4685</v>
      </c>
      <c r="J1017" t="str">
        <f t="shared" si="4"/>
        <v>normalweight</v>
      </c>
    </row>
    <row r="1018" spans="1:10" ht="15.75" customHeight="1">
      <c r="A1018" t="s">
        <v>2647</v>
      </c>
      <c r="B1018">
        <v>51.86</v>
      </c>
      <c r="C1018">
        <v>5.32</v>
      </c>
      <c r="E1018" t="s">
        <v>4686</v>
      </c>
      <c r="F1018" t="s">
        <v>4685</v>
      </c>
      <c r="G1018" t="s">
        <v>4685</v>
      </c>
      <c r="H1018" s="2">
        <v>0</v>
      </c>
      <c r="I1018" t="s">
        <v>4685</v>
      </c>
      <c r="J1018" t="str">
        <f t="shared" si="4"/>
        <v>normalweight</v>
      </c>
    </row>
    <row r="1019" spans="1:10" ht="15.75" customHeight="1">
      <c r="A1019" t="s">
        <v>2645</v>
      </c>
      <c r="B1019">
        <v>31.39</v>
      </c>
      <c r="C1019">
        <v>6.99</v>
      </c>
      <c r="D1019" s="6" t="s">
        <v>4684</v>
      </c>
      <c r="E1019" t="s">
        <v>4685</v>
      </c>
      <c r="F1019" t="s">
        <v>4685</v>
      </c>
      <c r="G1019" t="s">
        <v>4685</v>
      </c>
      <c r="H1019" s="2">
        <v>0</v>
      </c>
      <c r="I1019" t="s">
        <v>4685</v>
      </c>
      <c r="J1019" t="str">
        <f t="shared" si="4"/>
        <v>normalweight</v>
      </c>
    </row>
    <row r="1020" spans="1:10" ht="15.75" customHeight="1">
      <c r="A1020" t="s">
        <v>2643</v>
      </c>
      <c r="B1020">
        <v>39.97</v>
      </c>
      <c r="C1020">
        <v>5.55</v>
      </c>
      <c r="E1020" t="s">
        <v>4685</v>
      </c>
      <c r="F1020" t="s">
        <v>4685</v>
      </c>
      <c r="G1020" t="s">
        <v>4685</v>
      </c>
      <c r="H1020" s="2">
        <v>0</v>
      </c>
      <c r="I1020" t="s">
        <v>4685</v>
      </c>
      <c r="J1020" t="str">
        <f t="shared" si="4"/>
        <v>normalweight</v>
      </c>
    </row>
    <row r="1021" spans="1:10" ht="15.75" customHeight="1">
      <c r="A1021" t="s">
        <v>2641</v>
      </c>
      <c r="B1021">
        <v>41.23</v>
      </c>
      <c r="C1021">
        <v>6.94</v>
      </c>
      <c r="D1021" s="6" t="s">
        <v>4684</v>
      </c>
      <c r="E1021" t="s">
        <v>4685</v>
      </c>
      <c r="F1021" t="s">
        <v>4685</v>
      </c>
      <c r="G1021" t="s">
        <v>4685</v>
      </c>
      <c r="H1021" s="2">
        <v>0</v>
      </c>
      <c r="I1021" t="s">
        <v>4685</v>
      </c>
      <c r="J1021" t="str">
        <f t="shared" si="4"/>
        <v>normalweight</v>
      </c>
    </row>
    <row r="1022" spans="1:10" ht="15.75" customHeight="1">
      <c r="A1022" t="s">
        <v>2639</v>
      </c>
      <c r="B1022">
        <v>49.45</v>
      </c>
      <c r="C1022">
        <v>4.2</v>
      </c>
      <c r="E1022" t="s">
        <v>4686</v>
      </c>
      <c r="F1022" t="s">
        <v>4685</v>
      </c>
      <c r="G1022" t="s">
        <v>4685</v>
      </c>
      <c r="H1022" s="2">
        <v>0</v>
      </c>
      <c r="I1022" t="s">
        <v>4685</v>
      </c>
      <c r="J1022" t="str">
        <f t="shared" si="4"/>
        <v>normalweight</v>
      </c>
    </row>
    <row r="1023" spans="1:10" ht="15.75" customHeight="1">
      <c r="A1023" t="s">
        <v>2637</v>
      </c>
      <c r="B1023">
        <v>41.04</v>
      </c>
      <c r="C1023">
        <v>5.59</v>
      </c>
      <c r="E1023" t="s">
        <v>4685</v>
      </c>
      <c r="F1023" t="s">
        <v>4685</v>
      </c>
      <c r="G1023" t="s">
        <v>4685</v>
      </c>
      <c r="H1023" s="2">
        <v>0</v>
      </c>
      <c r="I1023" t="s">
        <v>4685</v>
      </c>
      <c r="J1023" t="str">
        <f t="shared" si="4"/>
        <v>normalweight</v>
      </c>
    </row>
    <row r="1024" spans="1:10" ht="15.75" customHeight="1">
      <c r="A1024" t="s">
        <v>2635</v>
      </c>
      <c r="B1024">
        <v>27.93</v>
      </c>
      <c r="C1024">
        <v>9.9600000000000009</v>
      </c>
      <c r="D1024" s="6" t="s">
        <v>4684</v>
      </c>
      <c r="E1024" t="s">
        <v>4685</v>
      </c>
      <c r="F1024" t="s">
        <v>4685</v>
      </c>
      <c r="G1024" t="s">
        <v>4685</v>
      </c>
      <c r="H1024" s="2">
        <v>0</v>
      </c>
      <c r="I1024" t="s">
        <v>4685</v>
      </c>
      <c r="J1024" t="str">
        <f t="shared" si="4"/>
        <v>normalweight</v>
      </c>
    </row>
    <row r="1025" spans="1:10" ht="15.75" customHeight="1">
      <c r="A1025" t="s">
        <v>2633</v>
      </c>
      <c r="B1025">
        <v>21.01</v>
      </c>
      <c r="C1025">
        <v>7.37</v>
      </c>
      <c r="D1025" s="6" t="s">
        <v>4684</v>
      </c>
      <c r="E1025" t="s">
        <v>4685</v>
      </c>
      <c r="F1025" t="s">
        <v>4685</v>
      </c>
      <c r="G1025" t="s">
        <v>4685</v>
      </c>
      <c r="H1025" s="2">
        <v>0</v>
      </c>
      <c r="I1025" t="s">
        <v>4685</v>
      </c>
      <c r="J1025" t="str">
        <f t="shared" si="4"/>
        <v>normalweight</v>
      </c>
    </row>
    <row r="1026" spans="1:10" ht="15.75" customHeight="1">
      <c r="A1026" t="s">
        <v>2631</v>
      </c>
      <c r="B1026">
        <v>52.37</v>
      </c>
      <c r="C1026">
        <v>5.0599999999999996</v>
      </c>
      <c r="E1026" t="s">
        <v>4686</v>
      </c>
      <c r="F1026" t="s">
        <v>4686</v>
      </c>
      <c r="G1026" t="s">
        <v>4685</v>
      </c>
      <c r="H1026" s="2">
        <v>2</v>
      </c>
      <c r="I1026" t="s">
        <v>4685</v>
      </c>
      <c r="J1026" t="str">
        <f t="shared" si="4"/>
        <v>normalweight</v>
      </c>
    </row>
    <row r="1027" spans="1:10" ht="15.75" customHeight="1">
      <c r="A1027" t="s">
        <v>2629</v>
      </c>
      <c r="B1027">
        <v>40.369999999999997</v>
      </c>
      <c r="C1027">
        <v>8.2100000000000009</v>
      </c>
      <c r="D1027" s="6" t="s">
        <v>4684</v>
      </c>
      <c r="E1027" t="s">
        <v>4685</v>
      </c>
      <c r="F1027" t="s">
        <v>4685</v>
      </c>
      <c r="G1027" t="s">
        <v>4685</v>
      </c>
      <c r="H1027" s="2">
        <v>0</v>
      </c>
      <c r="I1027" t="s">
        <v>4685</v>
      </c>
      <c r="J1027" t="str">
        <f t="shared" si="4"/>
        <v>normalweight</v>
      </c>
    </row>
    <row r="1028" spans="1:10" ht="15.75" customHeight="1">
      <c r="A1028" t="s">
        <v>2627</v>
      </c>
      <c r="B1028">
        <v>41.47</v>
      </c>
      <c r="C1028">
        <v>10.34</v>
      </c>
      <c r="D1028" s="6" t="s">
        <v>4684</v>
      </c>
      <c r="E1028" t="s">
        <v>4685</v>
      </c>
      <c r="F1028" t="s">
        <v>4685</v>
      </c>
      <c r="G1028" t="s">
        <v>4685</v>
      </c>
      <c r="H1028" s="2">
        <v>2</v>
      </c>
      <c r="I1028" t="s">
        <v>4685</v>
      </c>
      <c r="J1028" t="str">
        <f t="shared" si="4"/>
        <v>normalweight</v>
      </c>
    </row>
    <row r="1029" spans="1:10" ht="15.75" customHeight="1">
      <c r="A1029" t="s">
        <v>2625</v>
      </c>
      <c r="B1029">
        <v>33.725000000000001</v>
      </c>
      <c r="C1029">
        <v>5.51</v>
      </c>
      <c r="E1029" t="s">
        <v>4686</v>
      </c>
      <c r="F1029" t="s">
        <v>4685</v>
      </c>
      <c r="G1029" t="s">
        <v>4685</v>
      </c>
      <c r="H1029" s="2">
        <v>2</v>
      </c>
      <c r="I1029" t="s">
        <v>4685</v>
      </c>
      <c r="J1029" t="str">
        <f t="shared" si="4"/>
        <v>normalweight</v>
      </c>
    </row>
    <row r="1030" spans="1:10" ht="15.75" customHeight="1">
      <c r="A1030" t="s">
        <v>2623</v>
      </c>
      <c r="B1030">
        <v>28.1</v>
      </c>
      <c r="C1030">
        <v>11.2</v>
      </c>
      <c r="D1030" s="6" t="s">
        <v>4684</v>
      </c>
      <c r="E1030" t="s">
        <v>4685</v>
      </c>
      <c r="F1030" t="s">
        <v>4685</v>
      </c>
      <c r="G1030" t="s">
        <v>4685</v>
      </c>
      <c r="H1030" s="2">
        <v>0</v>
      </c>
      <c r="I1030" t="s">
        <v>4685</v>
      </c>
      <c r="J1030" t="str">
        <f t="shared" si="4"/>
        <v>normalweight</v>
      </c>
    </row>
    <row r="1031" spans="1:10" ht="15.75" customHeight="1">
      <c r="A1031" t="s">
        <v>2621</v>
      </c>
      <c r="B1031">
        <v>37.43</v>
      </c>
      <c r="C1031">
        <v>4.3499999999999996</v>
      </c>
      <c r="E1031" t="s">
        <v>4686</v>
      </c>
      <c r="F1031" t="s">
        <v>4685</v>
      </c>
      <c r="G1031" t="s">
        <v>4688</v>
      </c>
      <c r="H1031" s="2">
        <v>1</v>
      </c>
      <c r="I1031" t="s">
        <v>4685</v>
      </c>
      <c r="J1031" t="str">
        <f t="shared" si="4"/>
        <v>normalweight</v>
      </c>
    </row>
    <row r="1032" spans="1:10" ht="15.75" customHeight="1">
      <c r="A1032" t="s">
        <v>2619</v>
      </c>
      <c r="B1032">
        <v>23.7</v>
      </c>
      <c r="C1032">
        <v>10.45</v>
      </c>
      <c r="D1032" s="6" t="s">
        <v>4684</v>
      </c>
      <c r="E1032" t="s">
        <v>4685</v>
      </c>
      <c r="F1032" t="s">
        <v>4685</v>
      </c>
      <c r="G1032" t="s">
        <v>4685</v>
      </c>
      <c r="H1032" s="2">
        <v>0</v>
      </c>
      <c r="I1032" t="s">
        <v>4685</v>
      </c>
      <c r="J1032" t="str">
        <f t="shared" si="4"/>
        <v>normalweight</v>
      </c>
    </row>
    <row r="1033" spans="1:10" ht="15.75" customHeight="1">
      <c r="A1033" t="s">
        <v>2617</v>
      </c>
      <c r="B1033">
        <v>24.795000000000002</v>
      </c>
      <c r="C1033">
        <v>4.07</v>
      </c>
      <c r="E1033" t="s">
        <v>4686</v>
      </c>
      <c r="F1033" t="s">
        <v>4685</v>
      </c>
      <c r="G1033" t="s">
        <v>4688</v>
      </c>
      <c r="H1033" s="2">
        <v>1</v>
      </c>
      <c r="I1033" t="s">
        <v>4685</v>
      </c>
      <c r="J1033" t="str">
        <f t="shared" si="4"/>
        <v>normalweight</v>
      </c>
    </row>
    <row r="1034" spans="1:10" ht="15.75" customHeight="1">
      <c r="A1034" t="s">
        <v>2615</v>
      </c>
      <c r="B1034">
        <v>31.9</v>
      </c>
      <c r="C1034">
        <v>8.34</v>
      </c>
      <c r="D1034" s="6" t="s">
        <v>4684</v>
      </c>
      <c r="E1034" t="s">
        <v>4685</v>
      </c>
      <c r="F1034" t="s">
        <v>4685</v>
      </c>
      <c r="G1034" t="s">
        <v>4685</v>
      </c>
      <c r="H1034" s="2">
        <v>0</v>
      </c>
      <c r="I1034" t="s">
        <v>4685</v>
      </c>
      <c r="J1034" t="str">
        <f t="shared" si="4"/>
        <v>normalweight</v>
      </c>
    </row>
    <row r="1035" spans="1:10" ht="15.75" customHeight="1">
      <c r="A1035" t="s">
        <v>2613</v>
      </c>
      <c r="B1035">
        <v>32.68</v>
      </c>
      <c r="C1035">
        <v>7.41</v>
      </c>
      <c r="D1035" s="6" t="s">
        <v>4684</v>
      </c>
      <c r="E1035" t="s">
        <v>4685</v>
      </c>
      <c r="F1035" t="s">
        <v>4685</v>
      </c>
      <c r="G1035" t="s">
        <v>4685</v>
      </c>
      <c r="H1035" s="2">
        <v>0</v>
      </c>
      <c r="I1035" t="s">
        <v>4685</v>
      </c>
      <c r="J1035" t="str">
        <f t="shared" si="4"/>
        <v>normalweight</v>
      </c>
    </row>
    <row r="1036" spans="1:10" ht="15.75" customHeight="1">
      <c r="A1036" t="s">
        <v>2611</v>
      </c>
      <c r="B1036">
        <v>47.13</v>
      </c>
      <c r="C1036">
        <v>4.3099999999999996</v>
      </c>
      <c r="E1036" t="s">
        <v>4685</v>
      </c>
      <c r="F1036" t="s">
        <v>4685</v>
      </c>
      <c r="G1036" t="s">
        <v>4685</v>
      </c>
      <c r="H1036" s="2">
        <v>0</v>
      </c>
      <c r="I1036" t="s">
        <v>4685</v>
      </c>
      <c r="J1036" t="str">
        <f t="shared" si="4"/>
        <v>normalweight</v>
      </c>
    </row>
    <row r="1037" spans="1:10" ht="15.75" customHeight="1">
      <c r="A1037" t="s">
        <v>2609</v>
      </c>
      <c r="B1037">
        <v>36.67</v>
      </c>
      <c r="C1037">
        <v>10.83</v>
      </c>
      <c r="D1037" s="6" t="s">
        <v>4684</v>
      </c>
      <c r="E1037" t="s">
        <v>4685</v>
      </c>
      <c r="F1037" t="s">
        <v>4685</v>
      </c>
      <c r="G1037" t="s">
        <v>4685</v>
      </c>
      <c r="H1037" s="2">
        <v>0</v>
      </c>
      <c r="I1037" t="s">
        <v>4685</v>
      </c>
      <c r="J1037" t="str">
        <f t="shared" si="4"/>
        <v>normalweight</v>
      </c>
    </row>
    <row r="1038" spans="1:10" ht="15.75" customHeight="1">
      <c r="A1038" t="s">
        <v>2607</v>
      </c>
      <c r="B1038">
        <v>33.630000000000003</v>
      </c>
      <c r="C1038">
        <v>11.31</v>
      </c>
      <c r="D1038" s="6" t="s">
        <v>4684</v>
      </c>
      <c r="E1038" t="s">
        <v>4685</v>
      </c>
      <c r="F1038" t="s">
        <v>4685</v>
      </c>
      <c r="G1038" t="s">
        <v>4685</v>
      </c>
      <c r="H1038" s="2">
        <v>0</v>
      </c>
      <c r="I1038" t="s">
        <v>4685</v>
      </c>
      <c r="J1038" t="str">
        <f t="shared" si="4"/>
        <v>normalweight</v>
      </c>
    </row>
    <row r="1039" spans="1:10" ht="15.75" customHeight="1">
      <c r="A1039" t="s">
        <v>2605</v>
      </c>
      <c r="B1039">
        <v>32.67</v>
      </c>
      <c r="C1039">
        <v>11.81</v>
      </c>
      <c r="D1039" s="6" t="s">
        <v>4684</v>
      </c>
      <c r="E1039" t="s">
        <v>4686</v>
      </c>
      <c r="F1039" t="s">
        <v>4685</v>
      </c>
      <c r="G1039" t="s">
        <v>4685</v>
      </c>
      <c r="H1039" s="2">
        <v>0</v>
      </c>
      <c r="I1039" t="s">
        <v>4685</v>
      </c>
      <c r="J1039" t="str">
        <f t="shared" si="4"/>
        <v>normalweight</v>
      </c>
    </row>
    <row r="1040" spans="1:10" ht="15.75" customHeight="1">
      <c r="A1040" t="s">
        <v>2603</v>
      </c>
      <c r="B1040">
        <v>33.299999999999997</v>
      </c>
      <c r="C1040">
        <v>8.26</v>
      </c>
      <c r="D1040" s="6" t="s">
        <v>4684</v>
      </c>
      <c r="E1040" t="s">
        <v>4686</v>
      </c>
      <c r="F1040" t="s">
        <v>4685</v>
      </c>
      <c r="G1040" t="s">
        <v>4685</v>
      </c>
      <c r="H1040" s="2">
        <v>2</v>
      </c>
      <c r="I1040" t="s">
        <v>4685</v>
      </c>
      <c r="J1040" t="str">
        <f t="shared" si="4"/>
        <v>normalweight</v>
      </c>
    </row>
    <row r="1041" spans="1:10" ht="15.75" customHeight="1">
      <c r="A1041" t="s">
        <v>2601</v>
      </c>
      <c r="B1041">
        <v>30.78</v>
      </c>
      <c r="C1041">
        <v>10.74</v>
      </c>
      <c r="D1041" s="6" t="s">
        <v>4684</v>
      </c>
      <c r="E1041" t="s">
        <v>4686</v>
      </c>
      <c r="F1041" t="s">
        <v>4685</v>
      </c>
      <c r="G1041" t="s">
        <v>4685</v>
      </c>
      <c r="H1041" s="2">
        <v>2</v>
      </c>
      <c r="I1041" t="s">
        <v>4685</v>
      </c>
      <c r="J1041" t="str">
        <f t="shared" si="4"/>
        <v>normalweight</v>
      </c>
    </row>
    <row r="1042" spans="1:10" ht="15.75" customHeight="1">
      <c r="A1042" t="s">
        <v>2599</v>
      </c>
      <c r="B1042">
        <v>28.975000000000001</v>
      </c>
      <c r="C1042">
        <v>7.69</v>
      </c>
      <c r="D1042" s="6" t="s">
        <v>4684</v>
      </c>
      <c r="E1042" t="s">
        <v>4686</v>
      </c>
      <c r="F1042" t="s">
        <v>4685</v>
      </c>
      <c r="G1042" t="s">
        <v>4685</v>
      </c>
      <c r="H1042" s="2">
        <v>0</v>
      </c>
      <c r="I1042" t="s">
        <v>4685</v>
      </c>
      <c r="J1042" t="str">
        <f t="shared" ref="J1042:J1296" si="5">IF(B1042&lt;=18.5,"underweight",IF(B1042&gt;=18.5-24.9,"normalweight",IF(B1042&gt;=25-29.9,"overweight","obesity")))</f>
        <v>normalweight</v>
      </c>
    </row>
    <row r="1043" spans="1:10" ht="15.75" customHeight="1">
      <c r="A1043" t="s">
        <v>2597</v>
      </c>
      <c r="B1043">
        <v>33.4</v>
      </c>
      <c r="C1043">
        <v>4.84</v>
      </c>
      <c r="E1043" t="s">
        <v>4685</v>
      </c>
      <c r="F1043" t="s">
        <v>4685</v>
      </c>
      <c r="G1043" t="s">
        <v>4685</v>
      </c>
      <c r="H1043" s="2">
        <v>0</v>
      </c>
      <c r="I1043" t="s">
        <v>4685</v>
      </c>
      <c r="J1043" t="str">
        <f t="shared" si="5"/>
        <v>normalweight</v>
      </c>
    </row>
    <row r="1044" spans="1:10" ht="15.75" customHeight="1">
      <c r="A1044" t="s">
        <v>2595</v>
      </c>
      <c r="B1044">
        <v>21.5</v>
      </c>
      <c r="C1044">
        <v>9.77</v>
      </c>
      <c r="D1044" s="6" t="s">
        <v>4684</v>
      </c>
      <c r="E1044" t="s">
        <v>4686</v>
      </c>
      <c r="F1044" t="s">
        <v>4685</v>
      </c>
      <c r="G1044" t="s">
        <v>4685</v>
      </c>
      <c r="H1044" s="2">
        <v>0</v>
      </c>
      <c r="I1044" t="s">
        <v>4685</v>
      </c>
      <c r="J1044" t="str">
        <f t="shared" si="5"/>
        <v>normalweight</v>
      </c>
    </row>
    <row r="1045" spans="1:10" ht="15.75" customHeight="1">
      <c r="A1045" t="s">
        <v>2593</v>
      </c>
      <c r="B1045">
        <v>38.14</v>
      </c>
      <c r="C1045">
        <v>5.84</v>
      </c>
      <c r="E1045" t="s">
        <v>4685</v>
      </c>
      <c r="F1045" t="s">
        <v>4685</v>
      </c>
      <c r="G1045" t="s">
        <v>4685</v>
      </c>
      <c r="H1045" s="2">
        <v>0</v>
      </c>
      <c r="I1045" t="s">
        <v>4685</v>
      </c>
      <c r="J1045" t="str">
        <f t="shared" si="5"/>
        <v>normalweight</v>
      </c>
    </row>
    <row r="1046" spans="1:10" ht="15.75" customHeight="1">
      <c r="A1046" t="s">
        <v>2591</v>
      </c>
      <c r="B1046">
        <v>35.42</v>
      </c>
      <c r="C1046">
        <v>8.6999999999999993</v>
      </c>
      <c r="D1046" s="6" t="s">
        <v>4684</v>
      </c>
      <c r="E1046" t="s">
        <v>4686</v>
      </c>
      <c r="F1046" t="s">
        <v>4685</v>
      </c>
      <c r="G1046" t="s">
        <v>4685</v>
      </c>
      <c r="H1046" s="2">
        <v>1</v>
      </c>
      <c r="I1046" t="s">
        <v>4685</v>
      </c>
      <c r="J1046" t="str">
        <f t="shared" si="5"/>
        <v>normalweight</v>
      </c>
    </row>
    <row r="1047" spans="1:10" ht="15.75" customHeight="1">
      <c r="A1047" t="s">
        <v>2589</v>
      </c>
      <c r="B1047">
        <v>35.625</v>
      </c>
      <c r="C1047">
        <v>10.79</v>
      </c>
      <c r="D1047" s="6" t="s">
        <v>4684</v>
      </c>
      <c r="E1047" t="s">
        <v>4685</v>
      </c>
      <c r="F1047" t="s">
        <v>4685</v>
      </c>
      <c r="G1047" t="s">
        <v>4685</v>
      </c>
      <c r="H1047" s="2">
        <v>0</v>
      </c>
      <c r="I1047" t="s">
        <v>4685</v>
      </c>
      <c r="J1047" t="str">
        <f t="shared" si="5"/>
        <v>normalweight</v>
      </c>
    </row>
    <row r="1048" spans="1:10" ht="15.75" customHeight="1">
      <c r="A1048" t="s">
        <v>2587</v>
      </c>
      <c r="B1048">
        <v>45.51</v>
      </c>
      <c r="C1048">
        <v>4.32</v>
      </c>
      <c r="E1048" t="s">
        <v>4685</v>
      </c>
      <c r="F1048" t="s">
        <v>4685</v>
      </c>
      <c r="G1048" t="s">
        <v>4685</v>
      </c>
      <c r="H1048" s="2">
        <v>1</v>
      </c>
      <c r="I1048" t="s">
        <v>4685</v>
      </c>
      <c r="J1048" t="str">
        <f t="shared" si="5"/>
        <v>normalweight</v>
      </c>
    </row>
    <row r="1049" spans="1:10" ht="15.75" customHeight="1">
      <c r="A1049" t="s">
        <v>2585</v>
      </c>
      <c r="B1049">
        <v>37.1</v>
      </c>
      <c r="C1049">
        <v>7.19</v>
      </c>
      <c r="D1049" s="6" t="s">
        <v>4684</v>
      </c>
      <c r="E1049" t="s">
        <v>4686</v>
      </c>
      <c r="F1049" t="s">
        <v>4685</v>
      </c>
      <c r="G1049" t="s">
        <v>4685</v>
      </c>
      <c r="H1049" s="2">
        <v>0</v>
      </c>
      <c r="I1049" t="s">
        <v>4685</v>
      </c>
      <c r="J1049" t="str">
        <f t="shared" si="5"/>
        <v>normalweight</v>
      </c>
    </row>
    <row r="1050" spans="1:10" ht="15.75" customHeight="1">
      <c r="A1050" t="s">
        <v>2583</v>
      </c>
      <c r="B1050">
        <v>30.5</v>
      </c>
      <c r="C1050">
        <v>11.94</v>
      </c>
      <c r="D1050" s="6" t="s">
        <v>4684</v>
      </c>
      <c r="E1050" t="s">
        <v>4686</v>
      </c>
      <c r="F1050" t="s">
        <v>4685</v>
      </c>
      <c r="G1050" t="s">
        <v>4685</v>
      </c>
      <c r="H1050" s="2">
        <v>0</v>
      </c>
      <c r="I1050" t="s">
        <v>4685</v>
      </c>
      <c r="J1050" t="str">
        <f t="shared" si="5"/>
        <v>normalweight</v>
      </c>
    </row>
    <row r="1051" spans="1:10" ht="15.75" customHeight="1">
      <c r="A1051" t="s">
        <v>2581</v>
      </c>
      <c r="B1051">
        <v>28.16</v>
      </c>
      <c r="C1051">
        <v>5.56</v>
      </c>
      <c r="E1051" t="s">
        <v>4685</v>
      </c>
      <c r="F1051" t="s">
        <v>4685</v>
      </c>
      <c r="G1051" t="s">
        <v>4685</v>
      </c>
      <c r="H1051" s="2">
        <v>2</v>
      </c>
      <c r="I1051" t="s">
        <v>4685</v>
      </c>
      <c r="J1051" t="str">
        <f t="shared" si="5"/>
        <v>normalweight</v>
      </c>
    </row>
    <row r="1052" spans="1:10" ht="15.75" customHeight="1">
      <c r="A1052" t="s">
        <v>2579</v>
      </c>
      <c r="B1052">
        <v>29.1</v>
      </c>
      <c r="C1052">
        <v>5.64</v>
      </c>
      <c r="E1052" t="s">
        <v>4686</v>
      </c>
      <c r="F1052" t="s">
        <v>4685</v>
      </c>
      <c r="G1052" t="s">
        <v>4685</v>
      </c>
      <c r="H1052" s="2">
        <v>0</v>
      </c>
      <c r="I1052" t="s">
        <v>4685</v>
      </c>
      <c r="J1052" t="str">
        <f t="shared" si="5"/>
        <v>normalweight</v>
      </c>
    </row>
    <row r="1053" spans="1:10" ht="15.75" customHeight="1">
      <c r="A1053" t="s">
        <v>2577</v>
      </c>
      <c r="B1053">
        <v>30.22</v>
      </c>
      <c r="C1053">
        <v>4.6500000000000004</v>
      </c>
      <c r="E1053" t="s">
        <v>4685</v>
      </c>
      <c r="F1053" t="s">
        <v>4685</v>
      </c>
      <c r="G1053" t="s">
        <v>4685</v>
      </c>
      <c r="H1053" s="2">
        <v>0</v>
      </c>
      <c r="I1053" t="s">
        <v>4685</v>
      </c>
      <c r="J1053" t="str">
        <f t="shared" si="5"/>
        <v>normalweight</v>
      </c>
    </row>
    <row r="1054" spans="1:10" ht="15.75" customHeight="1">
      <c r="A1054" t="s">
        <v>2575</v>
      </c>
      <c r="B1054">
        <v>24.29</v>
      </c>
      <c r="C1054">
        <v>9.0500000000000007</v>
      </c>
      <c r="D1054" s="6" t="s">
        <v>4684</v>
      </c>
      <c r="E1054" t="s">
        <v>4685</v>
      </c>
      <c r="F1054" t="s">
        <v>4685</v>
      </c>
      <c r="G1054" t="s">
        <v>4685</v>
      </c>
      <c r="H1054" s="2">
        <v>0</v>
      </c>
      <c r="I1054" t="s">
        <v>4685</v>
      </c>
      <c r="J1054" t="str">
        <f t="shared" si="5"/>
        <v>normalweight</v>
      </c>
    </row>
    <row r="1055" spans="1:10" ht="15.75" customHeight="1">
      <c r="A1055" t="s">
        <v>2573</v>
      </c>
      <c r="B1055">
        <v>29.39</v>
      </c>
      <c r="C1055">
        <v>4.5199999999999996</v>
      </c>
      <c r="E1055" t="s">
        <v>4686</v>
      </c>
      <c r="F1055" t="s">
        <v>4685</v>
      </c>
      <c r="G1055" t="s">
        <v>4685</v>
      </c>
      <c r="H1055" s="2">
        <v>0</v>
      </c>
      <c r="I1055" t="s">
        <v>4685</v>
      </c>
      <c r="J1055" t="str">
        <f t="shared" si="5"/>
        <v>normalweight</v>
      </c>
    </row>
    <row r="1056" spans="1:10" ht="15.75" customHeight="1">
      <c r="A1056" t="s">
        <v>2571</v>
      </c>
      <c r="B1056">
        <v>25.66</v>
      </c>
      <c r="C1056">
        <v>4.62</v>
      </c>
      <c r="E1056" t="s">
        <v>4686</v>
      </c>
      <c r="F1056" t="s">
        <v>4685</v>
      </c>
      <c r="G1056" t="s">
        <v>4685</v>
      </c>
      <c r="H1056" s="2">
        <v>1</v>
      </c>
      <c r="I1056" t="s">
        <v>4685</v>
      </c>
      <c r="J1056" t="str">
        <f t="shared" si="5"/>
        <v>normalweight</v>
      </c>
    </row>
    <row r="1057" spans="1:10" ht="15.75" customHeight="1">
      <c r="A1057" t="s">
        <v>2569</v>
      </c>
      <c r="B1057">
        <v>39.11</v>
      </c>
      <c r="C1057">
        <v>5.87</v>
      </c>
      <c r="E1057" t="s">
        <v>4685</v>
      </c>
      <c r="F1057" t="s">
        <v>4685</v>
      </c>
      <c r="G1057" t="s">
        <v>4685</v>
      </c>
      <c r="H1057" s="2">
        <v>0</v>
      </c>
      <c r="I1057" t="s">
        <v>4685</v>
      </c>
      <c r="J1057" t="str">
        <f t="shared" si="5"/>
        <v>normalweight</v>
      </c>
    </row>
    <row r="1058" spans="1:10" ht="15.75" customHeight="1">
      <c r="A1058" t="s">
        <v>2567</v>
      </c>
      <c r="B1058">
        <v>43.78</v>
      </c>
      <c r="C1058">
        <v>5.71</v>
      </c>
      <c r="E1058" t="s">
        <v>4685</v>
      </c>
      <c r="F1058" t="s">
        <v>4685</v>
      </c>
      <c r="G1058" t="s">
        <v>4685</v>
      </c>
      <c r="H1058" s="2">
        <v>1</v>
      </c>
      <c r="I1058" t="s">
        <v>4685</v>
      </c>
      <c r="J1058" t="str">
        <f t="shared" si="5"/>
        <v>normalweight</v>
      </c>
    </row>
    <row r="1059" spans="1:10" ht="15.75" customHeight="1">
      <c r="A1059" t="s">
        <v>2565</v>
      </c>
      <c r="B1059">
        <v>24.35</v>
      </c>
      <c r="C1059">
        <v>9.08</v>
      </c>
      <c r="D1059" s="6" t="s">
        <v>4684</v>
      </c>
      <c r="E1059" t="s">
        <v>4685</v>
      </c>
      <c r="F1059" t="s">
        <v>4685</v>
      </c>
      <c r="G1059" t="s">
        <v>4685</v>
      </c>
      <c r="H1059" s="2">
        <v>0</v>
      </c>
      <c r="I1059" t="s">
        <v>4685</v>
      </c>
      <c r="J1059" t="str">
        <f t="shared" si="5"/>
        <v>normalweight</v>
      </c>
    </row>
    <row r="1060" spans="1:10" ht="15.75" customHeight="1">
      <c r="A1060" t="s">
        <v>2563</v>
      </c>
      <c r="B1060">
        <v>40.299999999999997</v>
      </c>
      <c r="C1060">
        <v>5.3</v>
      </c>
      <c r="E1060" t="s">
        <v>4686</v>
      </c>
      <c r="F1060" t="s">
        <v>4685</v>
      </c>
      <c r="G1060" t="s">
        <v>4685</v>
      </c>
      <c r="H1060" s="2">
        <v>2</v>
      </c>
      <c r="I1060" t="s">
        <v>4685</v>
      </c>
      <c r="J1060" t="str">
        <f t="shared" si="5"/>
        <v>normalweight</v>
      </c>
    </row>
    <row r="1061" spans="1:10" ht="15.75" customHeight="1">
      <c r="A1061" t="s">
        <v>2561</v>
      </c>
      <c r="B1061">
        <v>32.774999999999999</v>
      </c>
      <c r="C1061">
        <v>11.76</v>
      </c>
      <c r="D1061" s="6" t="s">
        <v>4684</v>
      </c>
      <c r="E1061" t="s">
        <v>4686</v>
      </c>
      <c r="F1061" t="s">
        <v>4685</v>
      </c>
      <c r="G1061" t="s">
        <v>4685</v>
      </c>
      <c r="H1061" s="2">
        <v>0</v>
      </c>
      <c r="I1061" t="s">
        <v>4685</v>
      </c>
      <c r="J1061" t="str">
        <f t="shared" si="5"/>
        <v>normalweight</v>
      </c>
    </row>
    <row r="1062" spans="1:10" ht="15.75" customHeight="1">
      <c r="A1062" t="s">
        <v>2559</v>
      </c>
      <c r="B1062">
        <v>39.6</v>
      </c>
      <c r="C1062">
        <v>5.1100000000000003</v>
      </c>
      <c r="E1062" t="s">
        <v>4686</v>
      </c>
      <c r="F1062" t="s">
        <v>4685</v>
      </c>
      <c r="G1062" t="s">
        <v>4685</v>
      </c>
      <c r="H1062" s="2">
        <v>2</v>
      </c>
      <c r="I1062" t="s">
        <v>4685</v>
      </c>
      <c r="J1062" t="str">
        <f t="shared" si="5"/>
        <v>normalweight</v>
      </c>
    </row>
    <row r="1063" spans="1:10" ht="15.75" customHeight="1">
      <c r="A1063" t="s">
        <v>2557</v>
      </c>
      <c r="B1063">
        <v>30.97</v>
      </c>
      <c r="C1063">
        <v>5.54</v>
      </c>
      <c r="E1063" t="s">
        <v>4685</v>
      </c>
      <c r="F1063" t="s">
        <v>4685</v>
      </c>
      <c r="G1063" t="s">
        <v>4685</v>
      </c>
      <c r="H1063" s="2">
        <v>2</v>
      </c>
      <c r="I1063" t="s">
        <v>4685</v>
      </c>
      <c r="J1063" t="str">
        <f t="shared" si="5"/>
        <v>normalweight</v>
      </c>
    </row>
    <row r="1064" spans="1:10" ht="15.75" customHeight="1">
      <c r="A1064" t="s">
        <v>2555</v>
      </c>
      <c r="B1064">
        <v>27.645</v>
      </c>
      <c r="C1064">
        <v>8.8699999999999992</v>
      </c>
      <c r="E1064" t="s">
        <v>4686</v>
      </c>
      <c r="F1064" t="s">
        <v>4685</v>
      </c>
      <c r="G1064" t="s">
        <v>4685</v>
      </c>
      <c r="H1064" s="2">
        <v>0</v>
      </c>
      <c r="I1064" t="s">
        <v>4685</v>
      </c>
      <c r="J1064" t="str">
        <f t="shared" si="5"/>
        <v>normalweight</v>
      </c>
    </row>
    <row r="1065" spans="1:10" ht="15.75" customHeight="1">
      <c r="A1065" t="s">
        <v>2553</v>
      </c>
      <c r="B1065">
        <v>34.43</v>
      </c>
      <c r="C1065">
        <v>5.96</v>
      </c>
      <c r="E1065" t="s">
        <v>4686</v>
      </c>
      <c r="F1065" t="s">
        <v>4685</v>
      </c>
      <c r="G1065" t="s">
        <v>4685</v>
      </c>
      <c r="H1065" s="2">
        <v>2</v>
      </c>
      <c r="I1065" t="s">
        <v>4685</v>
      </c>
      <c r="J1065" t="str">
        <f t="shared" si="5"/>
        <v>normalweight</v>
      </c>
    </row>
    <row r="1066" spans="1:10" ht="15.75" customHeight="1">
      <c r="A1066" t="s">
        <v>2551</v>
      </c>
      <c r="B1066">
        <v>39.6</v>
      </c>
      <c r="C1066">
        <v>4.4400000000000004</v>
      </c>
      <c r="E1066" t="s">
        <v>4686</v>
      </c>
      <c r="F1066" t="s">
        <v>4685</v>
      </c>
      <c r="G1066" t="s">
        <v>4688</v>
      </c>
      <c r="H1066" s="2">
        <v>1</v>
      </c>
      <c r="I1066" t="s">
        <v>4685</v>
      </c>
      <c r="J1066" t="str">
        <f t="shared" si="5"/>
        <v>normalweight</v>
      </c>
    </row>
    <row r="1067" spans="1:10" ht="15.75" customHeight="1">
      <c r="A1067" t="s">
        <v>2549</v>
      </c>
      <c r="B1067">
        <v>22.1</v>
      </c>
      <c r="C1067">
        <v>4.6500000000000004</v>
      </c>
      <c r="E1067" t="s">
        <v>4686</v>
      </c>
      <c r="F1067" t="s">
        <v>4685</v>
      </c>
      <c r="G1067" t="s">
        <v>4685</v>
      </c>
      <c r="H1067" s="2">
        <v>2</v>
      </c>
      <c r="I1067" t="s">
        <v>4685</v>
      </c>
      <c r="J1067" t="str">
        <f t="shared" si="5"/>
        <v>normalweight</v>
      </c>
    </row>
    <row r="1068" spans="1:10" ht="15.75" customHeight="1">
      <c r="A1068" t="s">
        <v>2547</v>
      </c>
      <c r="B1068">
        <v>33.25</v>
      </c>
      <c r="C1068">
        <v>5.64</v>
      </c>
      <c r="E1068" t="s">
        <v>4686</v>
      </c>
      <c r="F1068" t="s">
        <v>4685</v>
      </c>
      <c r="G1068" t="s">
        <v>4688</v>
      </c>
      <c r="H1068" s="2">
        <v>1</v>
      </c>
      <c r="I1068" t="s">
        <v>4685</v>
      </c>
      <c r="J1068" t="str">
        <f t="shared" si="5"/>
        <v>normalweight</v>
      </c>
    </row>
    <row r="1069" spans="1:10" ht="15.75" customHeight="1">
      <c r="A1069" t="s">
        <v>2545</v>
      </c>
      <c r="B1069">
        <v>33.33</v>
      </c>
      <c r="C1069">
        <v>10.19</v>
      </c>
      <c r="D1069" s="6" t="s">
        <v>4684</v>
      </c>
      <c r="E1069" t="s">
        <v>4685</v>
      </c>
      <c r="F1069" t="s">
        <v>4685</v>
      </c>
      <c r="G1069" t="s">
        <v>4685</v>
      </c>
      <c r="H1069" s="2">
        <v>0</v>
      </c>
      <c r="I1069" t="s">
        <v>4685</v>
      </c>
      <c r="J1069" t="str">
        <f t="shared" si="5"/>
        <v>normalweight</v>
      </c>
    </row>
    <row r="1070" spans="1:10" ht="15.75" customHeight="1">
      <c r="A1070" t="s">
        <v>2543</v>
      </c>
      <c r="B1070">
        <v>30.5</v>
      </c>
      <c r="C1070">
        <v>10.79</v>
      </c>
      <c r="D1070" s="6" t="s">
        <v>4684</v>
      </c>
      <c r="E1070" t="s">
        <v>4685</v>
      </c>
      <c r="F1070" t="s">
        <v>4685</v>
      </c>
      <c r="G1070" t="s">
        <v>4685</v>
      </c>
      <c r="H1070" s="2">
        <v>0</v>
      </c>
      <c r="I1070" t="s">
        <v>4685</v>
      </c>
      <c r="J1070" t="str">
        <f t="shared" si="5"/>
        <v>normalweight</v>
      </c>
    </row>
    <row r="1071" spans="1:10" ht="15.75" customHeight="1">
      <c r="A1071" t="s">
        <v>2541</v>
      </c>
      <c r="B1071">
        <v>30.3</v>
      </c>
      <c r="C1071">
        <v>4.24</v>
      </c>
      <c r="E1071" t="s">
        <v>4685</v>
      </c>
      <c r="F1071" t="s">
        <v>4685</v>
      </c>
      <c r="G1071" t="s">
        <v>4685</v>
      </c>
      <c r="H1071" s="2">
        <v>0</v>
      </c>
      <c r="I1071" t="s">
        <v>4685</v>
      </c>
      <c r="J1071" t="str">
        <f t="shared" si="5"/>
        <v>normalweight</v>
      </c>
    </row>
    <row r="1072" spans="1:10" ht="15.75" customHeight="1">
      <c r="A1072" t="s">
        <v>2539</v>
      </c>
      <c r="B1072">
        <v>26.22</v>
      </c>
      <c r="C1072">
        <v>5.83</v>
      </c>
      <c r="E1072" t="s">
        <v>4685</v>
      </c>
      <c r="F1072" t="s">
        <v>4685</v>
      </c>
      <c r="G1072" t="s">
        <v>4685</v>
      </c>
      <c r="H1072" s="2">
        <v>2</v>
      </c>
      <c r="I1072" t="s">
        <v>4685</v>
      </c>
      <c r="J1072" t="str">
        <f t="shared" si="5"/>
        <v>normalweight</v>
      </c>
    </row>
    <row r="1073" spans="1:10" ht="15.75" customHeight="1">
      <c r="A1073" t="s">
        <v>2537</v>
      </c>
      <c r="B1073">
        <v>29.99</v>
      </c>
      <c r="C1073">
        <v>11.85</v>
      </c>
      <c r="D1073" s="6" t="s">
        <v>4684</v>
      </c>
      <c r="E1073" t="s">
        <v>4685</v>
      </c>
      <c r="F1073" t="s">
        <v>4685</v>
      </c>
      <c r="G1073" t="s">
        <v>4685</v>
      </c>
      <c r="H1073" s="2">
        <v>0</v>
      </c>
      <c r="I1073" t="s">
        <v>4685</v>
      </c>
      <c r="J1073" t="str">
        <f t="shared" si="5"/>
        <v>normalweight</v>
      </c>
    </row>
    <row r="1074" spans="1:10" ht="15.75" customHeight="1">
      <c r="A1074" t="s">
        <v>2535</v>
      </c>
      <c r="B1074">
        <v>36.380000000000003</v>
      </c>
      <c r="C1074">
        <v>5.98</v>
      </c>
      <c r="E1074" t="s">
        <v>4685</v>
      </c>
      <c r="F1074" t="s">
        <v>4685</v>
      </c>
      <c r="G1074" t="s">
        <v>4685</v>
      </c>
      <c r="H1074" s="2">
        <v>1</v>
      </c>
      <c r="I1074" t="s">
        <v>4685</v>
      </c>
      <c r="J1074" t="str">
        <f t="shared" si="5"/>
        <v>normalweight</v>
      </c>
    </row>
    <row r="1075" spans="1:10" ht="15.75" customHeight="1">
      <c r="A1075" t="s">
        <v>2533</v>
      </c>
      <c r="B1075">
        <v>31.16</v>
      </c>
      <c r="C1075">
        <v>4.26</v>
      </c>
      <c r="E1075" t="s">
        <v>4686</v>
      </c>
      <c r="F1075" t="s">
        <v>4685</v>
      </c>
      <c r="G1075" t="s">
        <v>4688</v>
      </c>
      <c r="H1075" s="2">
        <v>1</v>
      </c>
      <c r="I1075" t="s">
        <v>4685</v>
      </c>
      <c r="J1075" t="str">
        <f t="shared" si="5"/>
        <v>normalweight</v>
      </c>
    </row>
    <row r="1076" spans="1:10" ht="15.75" customHeight="1">
      <c r="A1076" t="s">
        <v>2531</v>
      </c>
      <c r="B1076">
        <v>25.55</v>
      </c>
      <c r="C1076">
        <v>4.96</v>
      </c>
      <c r="E1076" t="s">
        <v>4686</v>
      </c>
      <c r="F1076" t="s">
        <v>4685</v>
      </c>
      <c r="G1076" t="s">
        <v>4685</v>
      </c>
      <c r="H1076" s="2">
        <v>1</v>
      </c>
      <c r="I1076" t="s">
        <v>4685</v>
      </c>
      <c r="J1076" t="str">
        <f t="shared" si="5"/>
        <v>normalweight</v>
      </c>
    </row>
    <row r="1077" spans="1:10" ht="15.75" customHeight="1">
      <c r="A1077" t="s">
        <v>2529</v>
      </c>
      <c r="B1077">
        <v>28.77</v>
      </c>
      <c r="C1077">
        <v>4</v>
      </c>
      <c r="E1077" t="s">
        <v>4686</v>
      </c>
      <c r="F1077" t="s">
        <v>4685</v>
      </c>
      <c r="G1077" t="s">
        <v>4685</v>
      </c>
      <c r="H1077" s="2">
        <v>0</v>
      </c>
      <c r="I1077" t="s">
        <v>4685</v>
      </c>
      <c r="J1077" t="str">
        <f t="shared" si="5"/>
        <v>normalweight</v>
      </c>
    </row>
    <row r="1078" spans="1:10" ht="15.75" customHeight="1">
      <c r="A1078" t="s">
        <v>2527</v>
      </c>
      <c r="B1078">
        <v>23.14</v>
      </c>
      <c r="C1078">
        <v>4.1500000000000004</v>
      </c>
      <c r="E1078" t="s">
        <v>4686</v>
      </c>
      <c r="F1078" t="s">
        <v>4685</v>
      </c>
      <c r="G1078" t="s">
        <v>4685</v>
      </c>
      <c r="H1078" s="2">
        <v>1</v>
      </c>
      <c r="I1078" t="s">
        <v>4685</v>
      </c>
      <c r="J1078" t="str">
        <f t="shared" si="5"/>
        <v>normalweight</v>
      </c>
    </row>
    <row r="1079" spans="1:10" ht="15.75" customHeight="1">
      <c r="A1079" t="s">
        <v>2525</v>
      </c>
      <c r="B1079">
        <v>39.6</v>
      </c>
      <c r="C1079">
        <v>11.36</v>
      </c>
      <c r="D1079" s="6" t="s">
        <v>4684</v>
      </c>
      <c r="E1079" t="s">
        <v>4685</v>
      </c>
      <c r="F1079" t="s">
        <v>4685</v>
      </c>
      <c r="G1079" t="s">
        <v>4685</v>
      </c>
      <c r="H1079" s="2">
        <v>0</v>
      </c>
      <c r="I1079" t="s">
        <v>4685</v>
      </c>
      <c r="J1079" t="str">
        <f t="shared" si="5"/>
        <v>normalweight</v>
      </c>
    </row>
    <row r="1080" spans="1:10" ht="15.75" customHeight="1">
      <c r="A1080" t="s">
        <v>2523</v>
      </c>
      <c r="B1080">
        <v>29.2</v>
      </c>
      <c r="C1080">
        <v>7.53</v>
      </c>
      <c r="D1080" s="6" t="s">
        <v>4684</v>
      </c>
      <c r="E1080" t="s">
        <v>4685</v>
      </c>
      <c r="F1080" t="s">
        <v>4685</v>
      </c>
      <c r="G1080" t="s">
        <v>4685</v>
      </c>
      <c r="H1080" s="2">
        <v>0</v>
      </c>
      <c r="I1080" t="s">
        <v>4685</v>
      </c>
      <c r="J1080" t="str">
        <f t="shared" si="5"/>
        <v>normalweight</v>
      </c>
    </row>
    <row r="1081" spans="1:10" ht="15.75" customHeight="1">
      <c r="A1081" t="s">
        <v>2521</v>
      </c>
      <c r="B1081">
        <v>32.774999999999999</v>
      </c>
      <c r="C1081">
        <v>7.95</v>
      </c>
      <c r="D1081" s="6" t="s">
        <v>4684</v>
      </c>
      <c r="E1081" t="s">
        <v>4685</v>
      </c>
      <c r="F1081" t="s">
        <v>4685</v>
      </c>
      <c r="G1081" t="s">
        <v>4685</v>
      </c>
      <c r="H1081" s="2">
        <v>0</v>
      </c>
      <c r="I1081" t="s">
        <v>4685</v>
      </c>
      <c r="J1081" t="str">
        <f t="shared" si="5"/>
        <v>normalweight</v>
      </c>
    </row>
    <row r="1082" spans="1:10" ht="15.75" customHeight="1">
      <c r="A1082" t="s">
        <v>2519</v>
      </c>
      <c r="B1082">
        <v>24.035</v>
      </c>
      <c r="C1082">
        <v>8.5</v>
      </c>
      <c r="D1082" s="6" t="s">
        <v>4684</v>
      </c>
      <c r="E1082" t="s">
        <v>4685</v>
      </c>
      <c r="F1082" t="s">
        <v>4685</v>
      </c>
      <c r="G1082" t="s">
        <v>4685</v>
      </c>
      <c r="H1082" s="2">
        <v>0</v>
      </c>
      <c r="I1082" t="s">
        <v>4685</v>
      </c>
      <c r="J1082" t="str">
        <f t="shared" si="5"/>
        <v>normalweight</v>
      </c>
    </row>
    <row r="1083" spans="1:10" ht="15.75" customHeight="1">
      <c r="A1083" t="s">
        <v>2517</v>
      </c>
      <c r="B1083">
        <v>30.55</v>
      </c>
      <c r="C1083">
        <v>5.89</v>
      </c>
      <c r="E1083" t="s">
        <v>4685</v>
      </c>
      <c r="F1083" t="s">
        <v>4685</v>
      </c>
      <c r="G1083" t="s">
        <v>4688</v>
      </c>
      <c r="H1083" s="2">
        <v>1</v>
      </c>
      <c r="I1083" t="s">
        <v>4685</v>
      </c>
      <c r="J1083" t="str">
        <f t="shared" si="5"/>
        <v>normalweight</v>
      </c>
    </row>
    <row r="1084" spans="1:10" ht="15.75" customHeight="1">
      <c r="A1084" t="s">
        <v>2515</v>
      </c>
      <c r="B1084">
        <v>28.81</v>
      </c>
      <c r="C1084">
        <v>8.76</v>
      </c>
      <c r="D1084" s="6" t="s">
        <v>4684</v>
      </c>
      <c r="E1084" t="s">
        <v>4685</v>
      </c>
      <c r="F1084" t="s">
        <v>4685</v>
      </c>
      <c r="G1084" t="s">
        <v>4685</v>
      </c>
      <c r="H1084" s="2">
        <v>2</v>
      </c>
      <c r="I1084" t="s">
        <v>4685</v>
      </c>
      <c r="J1084" t="str">
        <f t="shared" si="5"/>
        <v>normalweight</v>
      </c>
    </row>
    <row r="1085" spans="1:10" ht="15.75" customHeight="1">
      <c r="A1085" t="s">
        <v>2513</v>
      </c>
      <c r="B1085">
        <v>31.66</v>
      </c>
      <c r="C1085">
        <v>4.1100000000000003</v>
      </c>
      <c r="E1085" t="s">
        <v>4685</v>
      </c>
      <c r="F1085" t="s">
        <v>4685</v>
      </c>
      <c r="G1085" t="s">
        <v>4685</v>
      </c>
      <c r="H1085" s="2">
        <v>0</v>
      </c>
      <c r="I1085" t="s">
        <v>4685</v>
      </c>
      <c r="J1085" t="str">
        <f t="shared" si="5"/>
        <v>normalweight</v>
      </c>
    </row>
    <row r="1086" spans="1:10" ht="15.75" customHeight="1">
      <c r="A1086" t="s">
        <v>2511</v>
      </c>
      <c r="B1086">
        <v>28.215</v>
      </c>
      <c r="C1086">
        <v>7.56</v>
      </c>
      <c r="D1086" s="6" t="s">
        <v>4684</v>
      </c>
      <c r="E1086" t="s">
        <v>4686</v>
      </c>
      <c r="F1086" t="s">
        <v>4685</v>
      </c>
      <c r="G1086" t="s">
        <v>4685</v>
      </c>
      <c r="H1086" s="2">
        <v>1</v>
      </c>
      <c r="I1086" t="s">
        <v>4685</v>
      </c>
      <c r="J1086" t="str">
        <f t="shared" si="5"/>
        <v>normalweight</v>
      </c>
    </row>
    <row r="1087" spans="1:10" ht="15.75" customHeight="1">
      <c r="A1087" t="s">
        <v>2509</v>
      </c>
      <c r="B1087">
        <v>26.12</v>
      </c>
      <c r="C1087">
        <v>4.17</v>
      </c>
      <c r="E1087" t="s">
        <v>4686</v>
      </c>
      <c r="F1087" t="s">
        <v>4685</v>
      </c>
      <c r="G1087" t="s">
        <v>4688</v>
      </c>
      <c r="H1087" s="2">
        <v>1</v>
      </c>
      <c r="I1087" t="s">
        <v>4685</v>
      </c>
      <c r="J1087" t="str">
        <f t="shared" si="5"/>
        <v>normalweight</v>
      </c>
    </row>
    <row r="1088" spans="1:10" ht="15.75" customHeight="1">
      <c r="A1088" t="s">
        <v>2507</v>
      </c>
      <c r="B1088">
        <v>36.630000000000003</v>
      </c>
      <c r="C1088">
        <v>11.42</v>
      </c>
      <c r="D1088" s="6" t="s">
        <v>4684</v>
      </c>
      <c r="E1088" t="s">
        <v>4685</v>
      </c>
      <c r="F1088" t="s">
        <v>4685</v>
      </c>
      <c r="G1088" t="s">
        <v>4685</v>
      </c>
      <c r="H1088" s="2">
        <v>2</v>
      </c>
      <c r="I1088" t="s">
        <v>4685</v>
      </c>
      <c r="J1088" t="str">
        <f t="shared" si="5"/>
        <v>normalweight</v>
      </c>
    </row>
    <row r="1089" spans="1:10" ht="15.75" customHeight="1">
      <c r="A1089" t="s">
        <v>2505</v>
      </c>
      <c r="B1089">
        <v>33.344999999999999</v>
      </c>
      <c r="C1089">
        <v>7.33</v>
      </c>
      <c r="D1089" s="6" t="s">
        <v>4684</v>
      </c>
      <c r="E1089" t="s">
        <v>4685</v>
      </c>
      <c r="F1089" t="s">
        <v>4685</v>
      </c>
      <c r="G1089" t="s">
        <v>4685</v>
      </c>
      <c r="H1089" s="2">
        <v>2</v>
      </c>
      <c r="I1089" t="s">
        <v>4685</v>
      </c>
      <c r="J1089" t="str">
        <f t="shared" si="5"/>
        <v>normalweight</v>
      </c>
    </row>
    <row r="1090" spans="1:10" ht="15.75" customHeight="1">
      <c r="A1090" t="s">
        <v>2503</v>
      </c>
      <c r="B1090">
        <v>27.11</v>
      </c>
      <c r="C1090">
        <v>6.7</v>
      </c>
      <c r="D1090" s="6" t="s">
        <v>4684</v>
      </c>
      <c r="E1090" t="s">
        <v>4685</v>
      </c>
      <c r="F1090" t="s">
        <v>4685</v>
      </c>
      <c r="G1090" t="s">
        <v>4685</v>
      </c>
      <c r="H1090" s="2">
        <v>0</v>
      </c>
      <c r="I1090" t="s">
        <v>4685</v>
      </c>
      <c r="J1090" t="str">
        <f t="shared" si="5"/>
        <v>normalweight</v>
      </c>
    </row>
    <row r="1091" spans="1:10" ht="15.75" customHeight="1">
      <c r="A1091" t="s">
        <v>2501</v>
      </c>
      <c r="B1091">
        <v>26.6</v>
      </c>
      <c r="C1091">
        <v>5.27</v>
      </c>
      <c r="E1091" t="s">
        <v>4686</v>
      </c>
      <c r="F1091" t="s">
        <v>4685</v>
      </c>
      <c r="G1091" t="s">
        <v>4688</v>
      </c>
      <c r="H1091" s="2">
        <v>1</v>
      </c>
      <c r="I1091" t="s">
        <v>4685</v>
      </c>
      <c r="J1091" t="str">
        <f t="shared" si="5"/>
        <v>normalweight</v>
      </c>
    </row>
    <row r="1092" spans="1:10" ht="15.75" customHeight="1">
      <c r="A1092" t="s">
        <v>2499</v>
      </c>
      <c r="B1092">
        <v>30.41</v>
      </c>
      <c r="C1092">
        <v>7.72</v>
      </c>
      <c r="D1092" s="6" t="s">
        <v>4684</v>
      </c>
      <c r="E1092" t="s">
        <v>4685</v>
      </c>
      <c r="F1092" t="s">
        <v>4685</v>
      </c>
      <c r="G1092" t="s">
        <v>4685</v>
      </c>
      <c r="H1092" s="2">
        <v>0</v>
      </c>
      <c r="I1092" t="s">
        <v>4685</v>
      </c>
      <c r="J1092" t="str">
        <f t="shared" si="5"/>
        <v>normalweight</v>
      </c>
    </row>
    <row r="1093" spans="1:10" ht="15.75" customHeight="1">
      <c r="A1093" t="s">
        <v>2497</v>
      </c>
      <c r="B1093">
        <v>28.98</v>
      </c>
      <c r="C1093">
        <v>8.68</v>
      </c>
      <c r="D1093" s="6" t="s">
        <v>4684</v>
      </c>
      <c r="E1093" t="s">
        <v>4685</v>
      </c>
      <c r="F1093" t="s">
        <v>4685</v>
      </c>
      <c r="G1093" t="s">
        <v>4685</v>
      </c>
      <c r="H1093" s="2">
        <v>2</v>
      </c>
      <c r="I1093" t="s">
        <v>4685</v>
      </c>
      <c r="J1093" t="str">
        <f t="shared" si="5"/>
        <v>normalweight</v>
      </c>
    </row>
    <row r="1094" spans="1:10" ht="15.75" customHeight="1">
      <c r="A1094" t="s">
        <v>2495</v>
      </c>
      <c r="B1094">
        <v>31.24</v>
      </c>
      <c r="C1094">
        <v>9.8000000000000007</v>
      </c>
      <c r="D1094" s="6" t="s">
        <v>4684</v>
      </c>
      <c r="E1094" t="s">
        <v>4685</v>
      </c>
      <c r="F1094" t="s">
        <v>4685</v>
      </c>
      <c r="G1094" t="s">
        <v>4685</v>
      </c>
      <c r="H1094" s="2">
        <v>0</v>
      </c>
      <c r="I1094" t="s">
        <v>4685</v>
      </c>
      <c r="J1094" t="str">
        <f t="shared" si="5"/>
        <v>normalweight</v>
      </c>
    </row>
    <row r="1095" spans="1:10" ht="15.75" customHeight="1">
      <c r="A1095" t="s">
        <v>2493</v>
      </c>
      <c r="B1095">
        <v>31.54</v>
      </c>
      <c r="C1095">
        <v>4.4400000000000004</v>
      </c>
      <c r="E1095" t="s">
        <v>4685</v>
      </c>
      <c r="F1095" t="s">
        <v>4685</v>
      </c>
      <c r="G1095" t="s">
        <v>4685</v>
      </c>
      <c r="H1095" s="2">
        <v>0</v>
      </c>
      <c r="I1095" t="s">
        <v>4685</v>
      </c>
      <c r="J1095" t="str">
        <f t="shared" si="5"/>
        <v>normalweight</v>
      </c>
    </row>
    <row r="1096" spans="1:10" ht="15.75" customHeight="1">
      <c r="A1096" t="s">
        <v>2491</v>
      </c>
      <c r="B1096">
        <v>38.6</v>
      </c>
      <c r="C1096">
        <v>7.19</v>
      </c>
      <c r="D1096" s="6" t="s">
        <v>4684</v>
      </c>
      <c r="E1096" t="s">
        <v>4686</v>
      </c>
      <c r="F1096" t="s">
        <v>4685</v>
      </c>
      <c r="G1096" t="s">
        <v>4685</v>
      </c>
      <c r="H1096" s="2">
        <v>2</v>
      </c>
      <c r="I1096" t="s">
        <v>4685</v>
      </c>
      <c r="J1096" t="str">
        <f t="shared" si="5"/>
        <v>normalweight</v>
      </c>
    </row>
    <row r="1097" spans="1:10" ht="15.75" customHeight="1">
      <c r="A1097" t="s">
        <v>2489</v>
      </c>
      <c r="B1097">
        <v>37.950000000000003</v>
      </c>
      <c r="C1097">
        <v>6.06</v>
      </c>
      <c r="E1097" t="s">
        <v>4685</v>
      </c>
      <c r="F1097" t="s">
        <v>4685</v>
      </c>
      <c r="G1097" t="s">
        <v>4685</v>
      </c>
      <c r="H1097" s="2">
        <v>0</v>
      </c>
      <c r="I1097" t="s">
        <v>4685</v>
      </c>
      <c r="J1097" t="str">
        <f t="shared" si="5"/>
        <v>normalweight</v>
      </c>
    </row>
    <row r="1098" spans="1:10" ht="15.75" customHeight="1">
      <c r="A1098" t="s">
        <v>2487</v>
      </c>
      <c r="B1098">
        <v>38.97</v>
      </c>
      <c r="C1098">
        <v>5.12</v>
      </c>
      <c r="E1098" t="s">
        <v>4685</v>
      </c>
      <c r="F1098" t="s">
        <v>4685</v>
      </c>
      <c r="G1098" t="s">
        <v>4685</v>
      </c>
      <c r="H1098" s="2">
        <v>0</v>
      </c>
      <c r="I1098" t="s">
        <v>4685</v>
      </c>
      <c r="J1098" t="str">
        <f t="shared" si="5"/>
        <v>normalweight</v>
      </c>
    </row>
    <row r="1099" spans="1:10" ht="15.75" customHeight="1">
      <c r="A1099" t="s">
        <v>2485</v>
      </c>
      <c r="B1099">
        <v>21.2</v>
      </c>
      <c r="C1099">
        <v>10.72</v>
      </c>
      <c r="D1099" s="6" t="s">
        <v>4684</v>
      </c>
      <c r="E1099" t="s">
        <v>4685</v>
      </c>
      <c r="F1099" t="s">
        <v>4685</v>
      </c>
      <c r="G1099" t="s">
        <v>4685</v>
      </c>
      <c r="H1099" s="2">
        <v>0</v>
      </c>
      <c r="I1099" t="s">
        <v>4685</v>
      </c>
      <c r="J1099" t="str">
        <f t="shared" si="5"/>
        <v>normalweight</v>
      </c>
    </row>
    <row r="1100" spans="1:10" ht="15.75" customHeight="1">
      <c r="A1100" t="s">
        <v>2483</v>
      </c>
      <c r="B1100">
        <v>23.96</v>
      </c>
      <c r="C1100">
        <v>9.58</v>
      </c>
      <c r="D1100" s="6" t="s">
        <v>4684</v>
      </c>
      <c r="E1100" t="s">
        <v>4686</v>
      </c>
      <c r="F1100" t="s">
        <v>4685</v>
      </c>
      <c r="G1100" t="s">
        <v>4688</v>
      </c>
      <c r="H1100" s="2">
        <v>1</v>
      </c>
      <c r="I1100" t="s">
        <v>4685</v>
      </c>
      <c r="J1100" t="str">
        <f t="shared" si="5"/>
        <v>normalweight</v>
      </c>
    </row>
    <row r="1101" spans="1:10" ht="15.75" customHeight="1">
      <c r="A1101" t="s">
        <v>2481</v>
      </c>
      <c r="B1101">
        <v>35.93</v>
      </c>
      <c r="C1101">
        <v>6.4</v>
      </c>
      <c r="E1101" t="s">
        <v>4686</v>
      </c>
      <c r="F1101" t="s">
        <v>4685</v>
      </c>
      <c r="G1101" t="s">
        <v>4685</v>
      </c>
      <c r="H1101" s="2">
        <v>1</v>
      </c>
      <c r="I1101" t="s">
        <v>4685</v>
      </c>
      <c r="J1101" t="str">
        <f t="shared" si="5"/>
        <v>normalweight</v>
      </c>
    </row>
    <row r="1102" spans="1:10" ht="15.75" customHeight="1">
      <c r="A1102" t="s">
        <v>2479</v>
      </c>
      <c r="B1102">
        <v>26.11</v>
      </c>
      <c r="C1102">
        <v>6.8</v>
      </c>
      <c r="D1102" s="6" t="s">
        <v>4684</v>
      </c>
      <c r="E1102" t="s">
        <v>4686</v>
      </c>
      <c r="F1102" t="s">
        <v>4685</v>
      </c>
      <c r="G1102" t="s">
        <v>4685</v>
      </c>
      <c r="H1102" s="2">
        <v>2</v>
      </c>
      <c r="I1102" t="s">
        <v>4685</v>
      </c>
      <c r="J1102" t="str">
        <f t="shared" si="5"/>
        <v>normalweight</v>
      </c>
    </row>
    <row r="1103" spans="1:10" ht="15.75" customHeight="1">
      <c r="A1103" t="s">
        <v>2477</v>
      </c>
      <c r="B1103">
        <v>32.299999999999997</v>
      </c>
      <c r="C1103">
        <v>9.48</v>
      </c>
      <c r="D1103" s="6" t="s">
        <v>4684</v>
      </c>
      <c r="E1103" t="s">
        <v>4685</v>
      </c>
      <c r="F1103" t="s">
        <v>4685</v>
      </c>
      <c r="G1103" t="s">
        <v>4685</v>
      </c>
      <c r="H1103" s="2">
        <v>2</v>
      </c>
      <c r="I1103" t="s">
        <v>4685</v>
      </c>
      <c r="J1103" t="str">
        <f t="shared" si="5"/>
        <v>normalweight</v>
      </c>
    </row>
    <row r="1104" spans="1:10" ht="15.75" customHeight="1">
      <c r="A1104" t="s">
        <v>2475</v>
      </c>
      <c r="B1104">
        <v>28.69</v>
      </c>
      <c r="C1104">
        <v>7.45</v>
      </c>
      <c r="D1104" s="6" t="s">
        <v>4684</v>
      </c>
      <c r="E1104" t="s">
        <v>4685</v>
      </c>
      <c r="F1104" t="s">
        <v>4685</v>
      </c>
      <c r="G1104" t="s">
        <v>4685</v>
      </c>
      <c r="H1104" s="2">
        <v>2</v>
      </c>
      <c r="I1104" t="s">
        <v>4685</v>
      </c>
      <c r="J1104" t="str">
        <f t="shared" si="5"/>
        <v>normalweight</v>
      </c>
    </row>
    <row r="1105" spans="1:10" ht="15.75" customHeight="1">
      <c r="A1105" t="s">
        <v>2473</v>
      </c>
      <c r="B1105">
        <v>31.28</v>
      </c>
      <c r="C1105">
        <v>6.94</v>
      </c>
      <c r="D1105" s="6" t="s">
        <v>4684</v>
      </c>
      <c r="E1105" t="s">
        <v>4686</v>
      </c>
      <c r="F1105" t="s">
        <v>4685</v>
      </c>
      <c r="G1105" t="s">
        <v>4685</v>
      </c>
      <c r="H1105" s="2">
        <v>1</v>
      </c>
      <c r="I1105" t="s">
        <v>4685</v>
      </c>
      <c r="J1105" t="str">
        <f t="shared" si="5"/>
        <v>normalweight</v>
      </c>
    </row>
    <row r="1106" spans="1:10" ht="15.75" customHeight="1">
      <c r="A1106" t="s">
        <v>2471</v>
      </c>
      <c r="B1106">
        <v>30.21</v>
      </c>
      <c r="C1106">
        <v>7.83</v>
      </c>
      <c r="D1106" s="6" t="s">
        <v>4684</v>
      </c>
      <c r="E1106" t="s">
        <v>4685</v>
      </c>
      <c r="F1106" t="s">
        <v>4685</v>
      </c>
      <c r="G1106" t="s">
        <v>4685</v>
      </c>
      <c r="H1106" s="2">
        <v>0</v>
      </c>
      <c r="I1106" t="s">
        <v>4685</v>
      </c>
      <c r="J1106" t="str">
        <f t="shared" si="5"/>
        <v>normalweight</v>
      </c>
    </row>
    <row r="1107" spans="1:10" ht="15.75" customHeight="1">
      <c r="A1107" t="s">
        <v>2469</v>
      </c>
      <c r="B1107">
        <v>38.28</v>
      </c>
      <c r="C1107">
        <v>10.17</v>
      </c>
      <c r="D1107" s="6" t="s">
        <v>4684</v>
      </c>
      <c r="E1107" t="s">
        <v>4686</v>
      </c>
      <c r="F1107" t="s">
        <v>4685</v>
      </c>
      <c r="G1107" t="s">
        <v>4685</v>
      </c>
      <c r="H1107" s="2">
        <v>0</v>
      </c>
      <c r="I1107" t="s">
        <v>4685</v>
      </c>
      <c r="J1107" t="str">
        <f t="shared" si="5"/>
        <v>normalweight</v>
      </c>
    </row>
    <row r="1108" spans="1:10" ht="15.75" customHeight="1">
      <c r="A1108" t="s">
        <v>2467</v>
      </c>
      <c r="B1108">
        <v>29.9</v>
      </c>
      <c r="C1108">
        <v>8.9600000000000009</v>
      </c>
      <c r="D1108" s="6" t="s">
        <v>4684</v>
      </c>
      <c r="E1108" t="s">
        <v>4686</v>
      </c>
      <c r="F1108" t="s">
        <v>4685</v>
      </c>
      <c r="G1108" t="s">
        <v>4685</v>
      </c>
      <c r="H1108" s="2">
        <v>0</v>
      </c>
      <c r="I1108" t="s">
        <v>4685</v>
      </c>
      <c r="J1108" t="str">
        <f t="shared" si="5"/>
        <v>normalweight</v>
      </c>
    </row>
    <row r="1109" spans="1:10" ht="15.75" customHeight="1">
      <c r="A1109" t="s">
        <v>2465</v>
      </c>
      <c r="B1109">
        <v>23.18</v>
      </c>
      <c r="C1109">
        <v>6.96</v>
      </c>
      <c r="D1109" s="6" t="s">
        <v>4684</v>
      </c>
      <c r="E1109" t="s">
        <v>4686</v>
      </c>
      <c r="F1109" t="s">
        <v>4685</v>
      </c>
      <c r="G1109" t="s">
        <v>4685</v>
      </c>
      <c r="H1109" s="2">
        <v>2</v>
      </c>
      <c r="I1109" t="s">
        <v>4685</v>
      </c>
      <c r="J1109" t="str">
        <f t="shared" si="5"/>
        <v>normalweight</v>
      </c>
    </row>
    <row r="1110" spans="1:10" ht="15.75" customHeight="1">
      <c r="A1110" t="s">
        <v>2463</v>
      </c>
      <c r="B1110">
        <v>33.020000000000003</v>
      </c>
      <c r="C1110">
        <v>5.07</v>
      </c>
      <c r="E1110" t="s">
        <v>4686</v>
      </c>
      <c r="F1110" t="s">
        <v>4685</v>
      </c>
      <c r="G1110" t="s">
        <v>4685</v>
      </c>
      <c r="H1110" s="2">
        <v>0</v>
      </c>
      <c r="I1110" t="s">
        <v>4685</v>
      </c>
      <c r="J1110" t="str">
        <f t="shared" si="5"/>
        <v>normalweight</v>
      </c>
    </row>
    <row r="1111" spans="1:10" ht="15.75" customHeight="1">
      <c r="A1111" t="s">
        <v>2461</v>
      </c>
      <c r="B1111">
        <v>27.29</v>
      </c>
      <c r="C1111">
        <v>5.85</v>
      </c>
      <c r="E1111" t="s">
        <v>4685</v>
      </c>
      <c r="F1111" t="s">
        <v>4685</v>
      </c>
      <c r="G1111" t="s">
        <v>4685</v>
      </c>
      <c r="H1111" s="2">
        <v>2</v>
      </c>
      <c r="I1111" t="s">
        <v>4685</v>
      </c>
      <c r="J1111" t="str">
        <f t="shared" si="5"/>
        <v>normalweight</v>
      </c>
    </row>
    <row r="1112" spans="1:10" ht="15.75" customHeight="1">
      <c r="A1112" t="s">
        <v>2459</v>
      </c>
      <c r="B1112">
        <v>23.18</v>
      </c>
      <c r="C1112">
        <v>10.56</v>
      </c>
      <c r="D1112" s="6" t="s">
        <v>4684</v>
      </c>
      <c r="E1112" t="s">
        <v>4685</v>
      </c>
      <c r="F1112" t="s">
        <v>4685</v>
      </c>
      <c r="G1112" t="s">
        <v>4685</v>
      </c>
      <c r="H1112" s="2">
        <v>2</v>
      </c>
      <c r="I1112" t="s">
        <v>4685</v>
      </c>
      <c r="J1112" t="str">
        <f t="shared" si="5"/>
        <v>normalweight</v>
      </c>
    </row>
    <row r="1113" spans="1:10" ht="15.75" customHeight="1">
      <c r="A1113" t="s">
        <v>2457</v>
      </c>
      <c r="B1113">
        <v>32.659999999999997</v>
      </c>
      <c r="C1113">
        <v>8.92</v>
      </c>
      <c r="D1113" s="6" t="s">
        <v>4684</v>
      </c>
      <c r="E1113" t="s">
        <v>4686</v>
      </c>
      <c r="F1113" t="s">
        <v>4685</v>
      </c>
      <c r="G1113" t="s">
        <v>4685</v>
      </c>
      <c r="H1113" s="2">
        <v>0</v>
      </c>
      <c r="I1113" t="s">
        <v>4685</v>
      </c>
      <c r="J1113" t="str">
        <f t="shared" si="5"/>
        <v>normalweight</v>
      </c>
    </row>
    <row r="1114" spans="1:10" ht="15.75" customHeight="1">
      <c r="A1114" t="s">
        <v>2455</v>
      </c>
      <c r="B1114">
        <v>30.78</v>
      </c>
      <c r="C1114">
        <v>8.6300000000000008</v>
      </c>
      <c r="D1114" s="6" t="s">
        <v>4684</v>
      </c>
      <c r="E1114" t="s">
        <v>4685</v>
      </c>
      <c r="F1114" t="s">
        <v>4685</v>
      </c>
      <c r="G1114" t="s">
        <v>4685</v>
      </c>
      <c r="H1114" s="2">
        <v>0</v>
      </c>
      <c r="I1114" t="s">
        <v>4685</v>
      </c>
      <c r="J1114" t="str">
        <f t="shared" si="5"/>
        <v>normalweight</v>
      </c>
    </row>
    <row r="1115" spans="1:10" ht="15.75" customHeight="1">
      <c r="A1115" t="s">
        <v>2453</v>
      </c>
      <c r="B1115">
        <v>47.2</v>
      </c>
      <c r="C1115">
        <v>6.29</v>
      </c>
      <c r="E1115" t="s">
        <v>4686</v>
      </c>
      <c r="F1115" t="s">
        <v>4685</v>
      </c>
      <c r="G1115" t="s">
        <v>4688</v>
      </c>
      <c r="H1115" s="2">
        <v>1</v>
      </c>
      <c r="I1115" t="s">
        <v>4685</v>
      </c>
      <c r="J1115" t="str">
        <f t="shared" si="5"/>
        <v>normalweight</v>
      </c>
    </row>
    <row r="1116" spans="1:10" ht="15.75" customHeight="1">
      <c r="A1116" t="s">
        <v>2451</v>
      </c>
      <c r="B1116">
        <v>31.6</v>
      </c>
      <c r="C1116">
        <v>5.75</v>
      </c>
      <c r="E1116" t="s">
        <v>4685</v>
      </c>
      <c r="F1116" t="s">
        <v>4685</v>
      </c>
      <c r="G1116" t="s">
        <v>4685</v>
      </c>
      <c r="H1116" s="2">
        <v>2</v>
      </c>
      <c r="I1116" t="s">
        <v>4685</v>
      </c>
      <c r="J1116" t="str">
        <f t="shared" si="5"/>
        <v>normalweight</v>
      </c>
    </row>
    <row r="1117" spans="1:10" ht="15.75" customHeight="1">
      <c r="A1117" t="s">
        <v>2449</v>
      </c>
      <c r="B1117">
        <v>33.914999999999999</v>
      </c>
      <c r="C1117">
        <v>6.66</v>
      </c>
      <c r="D1117" s="6" t="s">
        <v>4684</v>
      </c>
      <c r="E1117" t="s">
        <v>4686</v>
      </c>
      <c r="F1117" t="s">
        <v>4685</v>
      </c>
      <c r="G1117" t="s">
        <v>4685</v>
      </c>
      <c r="H1117" s="2">
        <v>1</v>
      </c>
      <c r="I1117" t="s">
        <v>4685</v>
      </c>
      <c r="J1117" t="str">
        <f t="shared" si="5"/>
        <v>normalweight</v>
      </c>
    </row>
    <row r="1118" spans="1:10" ht="15.75" customHeight="1">
      <c r="A1118" t="s">
        <v>2447</v>
      </c>
      <c r="B1118">
        <v>23.54</v>
      </c>
      <c r="C1118">
        <v>5.0999999999999996</v>
      </c>
      <c r="E1118" t="s">
        <v>4685</v>
      </c>
      <c r="F1118" t="s">
        <v>4685</v>
      </c>
      <c r="G1118" t="s">
        <v>4685</v>
      </c>
      <c r="H1118" s="2">
        <v>2</v>
      </c>
      <c r="I1118" t="s">
        <v>4685</v>
      </c>
      <c r="J1118" t="str">
        <f t="shared" si="5"/>
        <v>normalweight</v>
      </c>
    </row>
    <row r="1119" spans="1:10" ht="15.75" customHeight="1">
      <c r="A1119" t="s">
        <v>2445</v>
      </c>
      <c r="B1119">
        <v>27.074999999999999</v>
      </c>
      <c r="C1119">
        <v>4.41</v>
      </c>
      <c r="E1119" t="s">
        <v>4685</v>
      </c>
      <c r="F1119" t="s">
        <v>4685</v>
      </c>
      <c r="G1119" t="s">
        <v>4685</v>
      </c>
      <c r="H1119" s="2">
        <v>2</v>
      </c>
      <c r="I1119" t="s">
        <v>4685</v>
      </c>
      <c r="J1119" t="str">
        <f t="shared" si="5"/>
        <v>normalweight</v>
      </c>
    </row>
    <row r="1120" spans="1:10" ht="15.75" customHeight="1">
      <c r="A1120" t="s">
        <v>2443</v>
      </c>
      <c r="B1120">
        <v>25.8</v>
      </c>
      <c r="C1120">
        <v>5.52</v>
      </c>
      <c r="E1120" t="s">
        <v>4686</v>
      </c>
      <c r="F1120" t="s">
        <v>4685</v>
      </c>
      <c r="G1120" t="s">
        <v>4685</v>
      </c>
      <c r="H1120" s="2">
        <v>0</v>
      </c>
      <c r="I1120" t="s">
        <v>4685</v>
      </c>
      <c r="J1120" t="str">
        <f t="shared" si="5"/>
        <v>normalweight</v>
      </c>
    </row>
    <row r="1121" spans="1:10" ht="15.75" customHeight="1">
      <c r="A1121" t="s">
        <v>2441</v>
      </c>
      <c r="B1121">
        <v>36.1</v>
      </c>
      <c r="C1121">
        <v>4.62</v>
      </c>
      <c r="E1121" t="s">
        <v>4686</v>
      </c>
      <c r="F1121" t="s">
        <v>4685</v>
      </c>
      <c r="G1121" t="s">
        <v>4688</v>
      </c>
      <c r="H1121" s="2">
        <v>1</v>
      </c>
      <c r="I1121" t="s">
        <v>4685</v>
      </c>
      <c r="J1121" t="str">
        <f t="shared" si="5"/>
        <v>normalweight</v>
      </c>
    </row>
    <row r="1122" spans="1:10" ht="15.75" customHeight="1">
      <c r="A1122" t="s">
        <v>2439</v>
      </c>
      <c r="B1122">
        <v>30.495000000000001</v>
      </c>
      <c r="C1122">
        <v>5.74</v>
      </c>
      <c r="E1122" t="s">
        <v>4686</v>
      </c>
      <c r="F1122" t="s">
        <v>4685</v>
      </c>
      <c r="G1122" t="s">
        <v>4688</v>
      </c>
      <c r="H1122" s="2">
        <v>1</v>
      </c>
      <c r="I1122" t="s">
        <v>4685</v>
      </c>
      <c r="J1122" t="str">
        <f t="shared" si="5"/>
        <v>normalweight</v>
      </c>
    </row>
    <row r="1123" spans="1:10" ht="15.75" customHeight="1">
      <c r="A1123" t="s">
        <v>2437</v>
      </c>
      <c r="B1123">
        <v>21.4</v>
      </c>
      <c r="C1123">
        <v>6.3</v>
      </c>
      <c r="E1123" t="s">
        <v>4686</v>
      </c>
      <c r="F1123" t="s">
        <v>4685</v>
      </c>
      <c r="G1123" t="s">
        <v>4688</v>
      </c>
      <c r="H1123" s="2">
        <v>1</v>
      </c>
      <c r="I1123" t="s">
        <v>4685</v>
      </c>
      <c r="J1123" t="str">
        <f t="shared" si="5"/>
        <v>normalweight</v>
      </c>
    </row>
    <row r="1124" spans="1:10" ht="15.75" customHeight="1">
      <c r="A1124" t="s">
        <v>2435</v>
      </c>
      <c r="B1124">
        <v>32.299999999999997</v>
      </c>
      <c r="C1124">
        <v>10.27</v>
      </c>
      <c r="D1124" s="6" t="s">
        <v>4684</v>
      </c>
      <c r="E1124" t="s">
        <v>4685</v>
      </c>
      <c r="F1124" t="s">
        <v>4685</v>
      </c>
      <c r="G1124" t="s">
        <v>4685</v>
      </c>
      <c r="H1124" s="2">
        <v>0</v>
      </c>
      <c r="I1124" t="s">
        <v>4685</v>
      </c>
      <c r="J1124" t="str">
        <f t="shared" si="5"/>
        <v>normalweight</v>
      </c>
    </row>
    <row r="1125" spans="1:10" ht="15.75" customHeight="1">
      <c r="A1125" t="s">
        <v>2433</v>
      </c>
      <c r="B1125">
        <v>29.78</v>
      </c>
      <c r="C1125">
        <v>5.85</v>
      </c>
      <c r="E1125" t="s">
        <v>4685</v>
      </c>
      <c r="F1125" t="s">
        <v>4685</v>
      </c>
      <c r="G1125" t="s">
        <v>4688</v>
      </c>
      <c r="H1125" s="2">
        <v>1</v>
      </c>
      <c r="I1125" t="s">
        <v>4685</v>
      </c>
      <c r="J1125" t="str">
        <f t="shared" si="5"/>
        <v>normalweight</v>
      </c>
    </row>
    <row r="1126" spans="1:10" ht="15.75" customHeight="1">
      <c r="A1126" t="s">
        <v>2431</v>
      </c>
      <c r="B1126">
        <v>34.76</v>
      </c>
      <c r="C1126">
        <v>5.92</v>
      </c>
      <c r="E1126" t="s">
        <v>4686</v>
      </c>
      <c r="F1126" t="s">
        <v>4685</v>
      </c>
      <c r="G1126" t="s">
        <v>4685</v>
      </c>
      <c r="H1126" s="2">
        <v>1</v>
      </c>
      <c r="I1126" t="s">
        <v>4685</v>
      </c>
      <c r="J1126" t="str">
        <f t="shared" si="5"/>
        <v>normalweight</v>
      </c>
    </row>
    <row r="1127" spans="1:10" ht="15.75" customHeight="1">
      <c r="A1127" t="s">
        <v>2429</v>
      </c>
      <c r="B1127">
        <v>18.335000000000001</v>
      </c>
      <c r="C1127">
        <v>10.01</v>
      </c>
      <c r="D1127" s="6" t="s">
        <v>4684</v>
      </c>
      <c r="E1127" t="s">
        <v>4686</v>
      </c>
      <c r="F1127" t="s">
        <v>4685</v>
      </c>
      <c r="G1127" t="s">
        <v>4685</v>
      </c>
      <c r="H1127" s="2">
        <v>2</v>
      </c>
      <c r="I1127" t="s">
        <v>4685</v>
      </c>
      <c r="J1127" t="str">
        <f t="shared" si="5"/>
        <v>underweight</v>
      </c>
    </row>
    <row r="1128" spans="1:10" ht="15.75" customHeight="1">
      <c r="A1128" t="s">
        <v>2427</v>
      </c>
      <c r="B1128">
        <v>32.299999999999997</v>
      </c>
      <c r="C1128">
        <v>9.59</v>
      </c>
      <c r="D1128" s="6" t="s">
        <v>4684</v>
      </c>
      <c r="E1128" t="s">
        <v>4685</v>
      </c>
      <c r="F1128" t="s">
        <v>4685</v>
      </c>
      <c r="G1128" t="s">
        <v>4685</v>
      </c>
      <c r="H1128" s="2">
        <v>0</v>
      </c>
      <c r="I1128" t="s">
        <v>4685</v>
      </c>
      <c r="J1128" t="str">
        <f t="shared" si="5"/>
        <v>normalweight</v>
      </c>
    </row>
    <row r="1129" spans="1:10" ht="15.75" customHeight="1">
      <c r="A1129" t="s">
        <v>2425</v>
      </c>
      <c r="B1129">
        <v>27.74</v>
      </c>
      <c r="C1129">
        <v>10.37</v>
      </c>
      <c r="D1129" s="6" t="s">
        <v>4684</v>
      </c>
      <c r="E1129" t="s">
        <v>4685</v>
      </c>
      <c r="F1129" t="s">
        <v>4685</v>
      </c>
      <c r="G1129" t="s">
        <v>4685</v>
      </c>
      <c r="H1129" s="2">
        <v>0</v>
      </c>
      <c r="I1129" t="s">
        <v>4685</v>
      </c>
      <c r="J1129" t="str">
        <f t="shared" si="5"/>
        <v>normalweight</v>
      </c>
    </row>
    <row r="1130" spans="1:10" ht="15.75" customHeight="1">
      <c r="A1130" t="s">
        <v>2423</v>
      </c>
      <c r="B1130">
        <v>24</v>
      </c>
      <c r="C1130">
        <v>4.01</v>
      </c>
      <c r="E1130" t="s">
        <v>4686</v>
      </c>
      <c r="F1130" t="s">
        <v>4685</v>
      </c>
      <c r="G1130" t="s">
        <v>4685</v>
      </c>
      <c r="H1130" s="2">
        <v>1</v>
      </c>
      <c r="I1130" t="s">
        <v>4685</v>
      </c>
      <c r="J1130" t="str">
        <f t="shared" si="5"/>
        <v>normalweight</v>
      </c>
    </row>
    <row r="1131" spans="1:10" ht="15.75" customHeight="1">
      <c r="A1131" t="s">
        <v>2421</v>
      </c>
      <c r="B1131">
        <v>31.78</v>
      </c>
      <c r="C1131">
        <v>4.24</v>
      </c>
      <c r="E1131" t="s">
        <v>4686</v>
      </c>
      <c r="F1131" t="s">
        <v>4685</v>
      </c>
      <c r="G1131" t="s">
        <v>4688</v>
      </c>
      <c r="H1131" s="2">
        <v>1</v>
      </c>
      <c r="I1131" t="s">
        <v>4685</v>
      </c>
      <c r="J1131" t="str">
        <f t="shared" si="5"/>
        <v>normalweight</v>
      </c>
    </row>
    <row r="1132" spans="1:10" ht="15.75" customHeight="1">
      <c r="A1132" t="s">
        <v>2419</v>
      </c>
      <c r="B1132">
        <v>32.25</v>
      </c>
      <c r="C1132">
        <v>5.36</v>
      </c>
      <c r="E1132" t="s">
        <v>4686</v>
      </c>
      <c r="F1132" t="s">
        <v>4685</v>
      </c>
      <c r="G1132" t="s">
        <v>4685</v>
      </c>
      <c r="H1132" s="2">
        <v>0</v>
      </c>
      <c r="I1132" t="s">
        <v>4685</v>
      </c>
      <c r="J1132" t="str">
        <f t="shared" si="5"/>
        <v>normalweight</v>
      </c>
    </row>
    <row r="1133" spans="1:10" ht="15.75" customHeight="1">
      <c r="A1133" t="s">
        <v>2417</v>
      </c>
      <c r="B1133">
        <v>30.114999999999998</v>
      </c>
      <c r="C1133">
        <v>4.99</v>
      </c>
      <c r="E1133" t="s">
        <v>4685</v>
      </c>
      <c r="F1133" t="s">
        <v>4685</v>
      </c>
      <c r="G1133" t="s">
        <v>4685</v>
      </c>
      <c r="H1133" s="2">
        <v>2</v>
      </c>
      <c r="I1133" t="s">
        <v>4685</v>
      </c>
      <c r="J1133" t="str">
        <f t="shared" si="5"/>
        <v>normalweight</v>
      </c>
    </row>
    <row r="1134" spans="1:10" ht="15.75" customHeight="1">
      <c r="A1134" t="s">
        <v>2415</v>
      </c>
      <c r="B1134">
        <v>22.41</v>
      </c>
      <c r="C1134">
        <v>8.68</v>
      </c>
      <c r="D1134" s="6" t="s">
        <v>4684</v>
      </c>
      <c r="E1134" t="s">
        <v>4685</v>
      </c>
      <c r="F1134" t="s">
        <v>4685</v>
      </c>
      <c r="G1134" t="s">
        <v>4685</v>
      </c>
      <c r="H1134" s="2">
        <v>0</v>
      </c>
      <c r="I1134" t="s">
        <v>4685</v>
      </c>
      <c r="J1134" t="str">
        <f t="shared" si="5"/>
        <v>normalweight</v>
      </c>
    </row>
    <row r="1135" spans="1:10" ht="15.75" customHeight="1">
      <c r="A1135" t="s">
        <v>2413</v>
      </c>
      <c r="B1135">
        <v>45.72</v>
      </c>
      <c r="C1135">
        <v>4.2300000000000004</v>
      </c>
      <c r="E1135" t="s">
        <v>4686</v>
      </c>
      <c r="F1135" t="s">
        <v>4685</v>
      </c>
      <c r="G1135" t="s">
        <v>4685</v>
      </c>
      <c r="H1135" s="2">
        <v>0</v>
      </c>
      <c r="I1135" t="s">
        <v>4685</v>
      </c>
      <c r="J1135" t="str">
        <f t="shared" si="5"/>
        <v>normalweight</v>
      </c>
    </row>
    <row r="1136" spans="1:10" ht="15.75" customHeight="1">
      <c r="A1136" t="s">
        <v>2411</v>
      </c>
      <c r="B1136">
        <v>25</v>
      </c>
      <c r="C1136">
        <v>5.32</v>
      </c>
      <c r="E1136" t="s">
        <v>4686</v>
      </c>
      <c r="F1136" t="s">
        <v>4685</v>
      </c>
      <c r="G1136" t="s">
        <v>4685</v>
      </c>
      <c r="H1136" s="2">
        <v>2</v>
      </c>
      <c r="I1136" t="s">
        <v>4685</v>
      </c>
      <c r="J1136" t="str">
        <f t="shared" si="5"/>
        <v>normalweight</v>
      </c>
    </row>
    <row r="1137" spans="1:10" ht="15.75" customHeight="1">
      <c r="A1137" t="s">
        <v>2409</v>
      </c>
      <c r="B1137">
        <v>39.5</v>
      </c>
      <c r="C1137">
        <v>6.66</v>
      </c>
      <c r="D1137" s="6" t="s">
        <v>4684</v>
      </c>
      <c r="E1137" t="s">
        <v>4685</v>
      </c>
      <c r="F1137" t="s">
        <v>4685</v>
      </c>
      <c r="G1137" t="s">
        <v>4685</v>
      </c>
      <c r="H1137" s="2">
        <v>0</v>
      </c>
      <c r="I1137" t="s">
        <v>4685</v>
      </c>
      <c r="J1137" t="str">
        <f t="shared" si="5"/>
        <v>normalweight</v>
      </c>
    </row>
    <row r="1138" spans="1:10" ht="15.75" customHeight="1">
      <c r="A1138" t="s">
        <v>2407</v>
      </c>
      <c r="B1138">
        <v>37.729999999999997</v>
      </c>
      <c r="C1138">
        <v>7.4</v>
      </c>
      <c r="D1138" s="6" t="s">
        <v>4684</v>
      </c>
      <c r="E1138" t="s">
        <v>4685</v>
      </c>
      <c r="F1138" t="s">
        <v>4685</v>
      </c>
      <c r="G1138" t="s">
        <v>4685</v>
      </c>
      <c r="H1138" s="2">
        <v>0</v>
      </c>
      <c r="I1138" t="s">
        <v>4685</v>
      </c>
      <c r="J1138" t="str">
        <f t="shared" si="5"/>
        <v>normalweight</v>
      </c>
    </row>
    <row r="1139" spans="1:10" ht="15.75" customHeight="1">
      <c r="A1139" t="s">
        <v>2405</v>
      </c>
      <c r="B1139">
        <v>40.659999999999997</v>
      </c>
      <c r="C1139">
        <v>10.08</v>
      </c>
      <c r="D1139" s="6" t="s">
        <v>4684</v>
      </c>
      <c r="E1139" t="s">
        <v>4685</v>
      </c>
      <c r="F1139" t="s">
        <v>4685</v>
      </c>
      <c r="G1139" t="s">
        <v>4685</v>
      </c>
      <c r="H1139" s="2">
        <v>0</v>
      </c>
      <c r="I1139" t="s">
        <v>4685</v>
      </c>
      <c r="J1139" t="str">
        <f t="shared" si="5"/>
        <v>normalweight</v>
      </c>
    </row>
    <row r="1140" spans="1:10" ht="15.75" customHeight="1">
      <c r="A1140" t="s">
        <v>2403</v>
      </c>
      <c r="B1140">
        <v>34.200000000000003</v>
      </c>
      <c r="C1140">
        <v>8.58</v>
      </c>
      <c r="D1140" s="6" t="s">
        <v>4684</v>
      </c>
      <c r="E1140" t="s">
        <v>4685</v>
      </c>
      <c r="F1140" t="s">
        <v>4685</v>
      </c>
      <c r="G1140" t="s">
        <v>4685</v>
      </c>
      <c r="H1140" s="2">
        <v>0</v>
      </c>
      <c r="I1140" t="s">
        <v>4685</v>
      </c>
      <c r="J1140" t="str">
        <f t="shared" si="5"/>
        <v>normalweight</v>
      </c>
    </row>
    <row r="1141" spans="1:10" ht="15.75" customHeight="1">
      <c r="A1141" t="s">
        <v>2401</v>
      </c>
      <c r="B1141">
        <v>46.51</v>
      </c>
      <c r="C1141">
        <v>5.84</v>
      </c>
      <c r="E1141" t="s">
        <v>4685</v>
      </c>
      <c r="F1141" t="s">
        <v>4685</v>
      </c>
      <c r="G1141" t="s">
        <v>4685</v>
      </c>
      <c r="H1141" s="2">
        <v>1</v>
      </c>
      <c r="I1141" t="s">
        <v>4685</v>
      </c>
      <c r="J1141" t="str">
        <f t="shared" si="5"/>
        <v>normalweight</v>
      </c>
    </row>
    <row r="1142" spans="1:10" ht="15.75" customHeight="1">
      <c r="A1142" t="s">
        <v>2399</v>
      </c>
      <c r="B1142">
        <v>28.88</v>
      </c>
      <c r="C1142">
        <v>4.8600000000000003</v>
      </c>
      <c r="E1142" t="s">
        <v>4686</v>
      </c>
      <c r="F1142" t="s">
        <v>4685</v>
      </c>
      <c r="G1142" t="s">
        <v>4688</v>
      </c>
      <c r="H1142" s="2">
        <v>1</v>
      </c>
      <c r="I1142" t="s">
        <v>4685</v>
      </c>
      <c r="J1142" t="str">
        <f t="shared" si="5"/>
        <v>normalweight</v>
      </c>
    </row>
    <row r="1143" spans="1:10" ht="15.75" customHeight="1">
      <c r="A1143" t="s">
        <v>2397</v>
      </c>
      <c r="B1143">
        <v>33.914999999999999</v>
      </c>
      <c r="C1143">
        <v>11.52</v>
      </c>
      <c r="D1143" s="6" t="s">
        <v>4684</v>
      </c>
      <c r="E1143" t="s">
        <v>4685</v>
      </c>
      <c r="F1143" t="s">
        <v>4685</v>
      </c>
      <c r="G1143" t="s">
        <v>4685</v>
      </c>
      <c r="H1143" s="2">
        <v>0</v>
      </c>
      <c r="I1143" t="s">
        <v>4685</v>
      </c>
      <c r="J1143" t="str">
        <f t="shared" si="5"/>
        <v>normalweight</v>
      </c>
    </row>
    <row r="1144" spans="1:10" ht="15.75" customHeight="1">
      <c r="A1144" t="s">
        <v>2395</v>
      </c>
      <c r="B1144">
        <v>24.32</v>
      </c>
      <c r="C1144">
        <v>6.15</v>
      </c>
      <c r="E1144" t="s">
        <v>4686</v>
      </c>
      <c r="F1144" t="s">
        <v>4685</v>
      </c>
      <c r="G1144" t="s">
        <v>4688</v>
      </c>
      <c r="H1144" s="2">
        <v>1</v>
      </c>
      <c r="I1144" t="s">
        <v>4685</v>
      </c>
      <c r="J1144" t="str">
        <f t="shared" si="5"/>
        <v>normalweight</v>
      </c>
    </row>
    <row r="1145" spans="1:10" ht="15.75" customHeight="1">
      <c r="A1145" t="s">
        <v>2393</v>
      </c>
      <c r="B1145">
        <v>25.8</v>
      </c>
      <c r="C1145">
        <v>9.94</v>
      </c>
      <c r="D1145" s="6" t="s">
        <v>4684</v>
      </c>
      <c r="E1145" t="s">
        <v>4685</v>
      </c>
      <c r="F1145" t="s">
        <v>4685</v>
      </c>
      <c r="G1145" t="s">
        <v>4685</v>
      </c>
      <c r="H1145" s="2">
        <v>0</v>
      </c>
      <c r="I1145" t="s">
        <v>4685</v>
      </c>
      <c r="J1145" t="str">
        <f t="shared" si="5"/>
        <v>normalweight</v>
      </c>
    </row>
    <row r="1146" spans="1:10" ht="15.75" customHeight="1">
      <c r="A1146" t="s">
        <v>2391</v>
      </c>
      <c r="B1146">
        <v>21.56</v>
      </c>
      <c r="C1146">
        <v>10.56</v>
      </c>
      <c r="D1146" s="6" t="s">
        <v>4684</v>
      </c>
      <c r="E1146" t="s">
        <v>4685</v>
      </c>
      <c r="F1146" t="s">
        <v>4685</v>
      </c>
      <c r="G1146" t="s">
        <v>4685</v>
      </c>
      <c r="H1146" s="2">
        <v>0</v>
      </c>
      <c r="I1146" t="s">
        <v>4685</v>
      </c>
      <c r="J1146" t="str">
        <f t="shared" si="5"/>
        <v>normalweight</v>
      </c>
    </row>
    <row r="1147" spans="1:10" ht="15.75" customHeight="1">
      <c r="A1147" t="s">
        <v>2389</v>
      </c>
      <c r="B1147">
        <v>31.6</v>
      </c>
      <c r="C1147">
        <v>6.79</v>
      </c>
      <c r="D1147" s="6" t="s">
        <v>4684</v>
      </c>
      <c r="E1147" t="s">
        <v>4685</v>
      </c>
      <c r="F1147" t="s">
        <v>4685</v>
      </c>
      <c r="G1147" t="s">
        <v>4685</v>
      </c>
      <c r="H1147" s="2">
        <v>0</v>
      </c>
      <c r="I1147" t="s">
        <v>4685</v>
      </c>
      <c r="J1147" t="str">
        <f t="shared" si="5"/>
        <v>normalweight</v>
      </c>
    </row>
    <row r="1148" spans="1:10" ht="15.75" customHeight="1">
      <c r="A1148" t="s">
        <v>2387</v>
      </c>
      <c r="B1148">
        <v>42.93</v>
      </c>
      <c r="C1148">
        <v>4.8</v>
      </c>
      <c r="E1148" t="s">
        <v>4685</v>
      </c>
      <c r="F1148" t="s">
        <v>4685</v>
      </c>
      <c r="G1148" t="s">
        <v>4685</v>
      </c>
      <c r="H1148" s="2">
        <v>1</v>
      </c>
      <c r="I1148" t="s">
        <v>4685</v>
      </c>
      <c r="J1148" t="str">
        <f t="shared" si="5"/>
        <v>normalweight</v>
      </c>
    </row>
    <row r="1149" spans="1:10" ht="15.75" customHeight="1">
      <c r="A1149" t="s">
        <v>2385</v>
      </c>
      <c r="B1149">
        <v>26.72</v>
      </c>
      <c r="C1149">
        <v>5.75</v>
      </c>
      <c r="E1149" t="s">
        <v>4685</v>
      </c>
      <c r="F1149" t="s">
        <v>4685</v>
      </c>
      <c r="G1149" t="s">
        <v>4685</v>
      </c>
      <c r="H1149" s="2">
        <v>2</v>
      </c>
      <c r="I1149" t="s">
        <v>4685</v>
      </c>
      <c r="J1149" t="str">
        <f t="shared" si="5"/>
        <v>normalweight</v>
      </c>
    </row>
    <row r="1150" spans="1:10" ht="15.75" customHeight="1">
      <c r="A1150" t="s">
        <v>2383</v>
      </c>
      <c r="B1150">
        <v>26.67</v>
      </c>
      <c r="C1150">
        <v>5.81</v>
      </c>
      <c r="E1150" t="s">
        <v>4685</v>
      </c>
      <c r="F1150" t="s">
        <v>4685</v>
      </c>
      <c r="G1150" t="s">
        <v>4685</v>
      </c>
      <c r="H1150" s="2">
        <v>2</v>
      </c>
      <c r="I1150" t="s">
        <v>4685</v>
      </c>
      <c r="J1150" t="str">
        <f t="shared" si="5"/>
        <v>normalweight</v>
      </c>
    </row>
    <row r="1151" spans="1:10" ht="15.75" customHeight="1">
      <c r="A1151" t="s">
        <v>2381</v>
      </c>
      <c r="B1151">
        <v>42.68</v>
      </c>
      <c r="C1151">
        <v>9.2799999999999994</v>
      </c>
      <c r="D1151" s="6" t="s">
        <v>4684</v>
      </c>
      <c r="E1151" t="s">
        <v>4685</v>
      </c>
      <c r="F1151" t="s">
        <v>4685</v>
      </c>
      <c r="G1151" t="s">
        <v>4685</v>
      </c>
      <c r="H1151" s="2">
        <v>2</v>
      </c>
      <c r="I1151" t="s">
        <v>4685</v>
      </c>
      <c r="J1151" t="str">
        <f t="shared" si="5"/>
        <v>normalweight</v>
      </c>
    </row>
    <row r="1152" spans="1:10" ht="15.75" customHeight="1">
      <c r="A1152" t="s">
        <v>2379</v>
      </c>
      <c r="B1152">
        <v>24.31</v>
      </c>
      <c r="C1152">
        <v>6.37</v>
      </c>
      <c r="E1152" t="s">
        <v>4685</v>
      </c>
      <c r="F1152" t="s">
        <v>4685</v>
      </c>
      <c r="G1152" t="s">
        <v>4685</v>
      </c>
      <c r="H1152" s="2">
        <v>0</v>
      </c>
      <c r="I1152" t="s">
        <v>4685</v>
      </c>
      <c r="J1152" t="str">
        <f t="shared" si="5"/>
        <v>normalweight</v>
      </c>
    </row>
    <row r="1153" spans="1:10" ht="15.75" customHeight="1">
      <c r="A1153" t="s">
        <v>2377</v>
      </c>
      <c r="B1153">
        <v>44.75</v>
      </c>
      <c r="C1153">
        <v>5.09</v>
      </c>
      <c r="E1153" t="s">
        <v>4686</v>
      </c>
      <c r="F1153" t="s">
        <v>4685</v>
      </c>
      <c r="G1153" t="s">
        <v>4685</v>
      </c>
      <c r="H1153" s="2">
        <v>0</v>
      </c>
      <c r="I1153" t="s">
        <v>4685</v>
      </c>
      <c r="J1153" t="str">
        <f t="shared" si="5"/>
        <v>normalweight</v>
      </c>
    </row>
    <row r="1154" spans="1:10" ht="15.75" customHeight="1">
      <c r="A1154" t="s">
        <v>2375</v>
      </c>
      <c r="B1154">
        <v>30.78</v>
      </c>
      <c r="C1154">
        <v>7.94</v>
      </c>
      <c r="D1154" s="6" t="s">
        <v>4684</v>
      </c>
      <c r="E1154" t="s">
        <v>4685</v>
      </c>
      <c r="F1154" t="s">
        <v>4685</v>
      </c>
      <c r="G1154" t="s">
        <v>4685</v>
      </c>
      <c r="H1154" s="2">
        <v>2</v>
      </c>
      <c r="I1154" t="s">
        <v>4685</v>
      </c>
      <c r="J1154" t="str">
        <f t="shared" si="5"/>
        <v>normalweight</v>
      </c>
    </row>
    <row r="1155" spans="1:10" ht="15.75" customHeight="1">
      <c r="A1155" t="s">
        <v>2373</v>
      </c>
      <c r="B1155">
        <v>21.86</v>
      </c>
      <c r="C1155">
        <v>10.95</v>
      </c>
      <c r="D1155" s="6" t="s">
        <v>4684</v>
      </c>
      <c r="E1155" t="s">
        <v>4685</v>
      </c>
      <c r="F1155" t="s">
        <v>4685</v>
      </c>
      <c r="G1155" t="s">
        <v>4685</v>
      </c>
      <c r="H1155" s="2">
        <v>0</v>
      </c>
      <c r="I1155" t="s">
        <v>4685</v>
      </c>
      <c r="J1155" t="str">
        <f t="shared" si="5"/>
        <v>normalweight</v>
      </c>
    </row>
    <row r="1156" spans="1:10" ht="15.75" customHeight="1">
      <c r="A1156" t="s">
        <v>2371</v>
      </c>
      <c r="B1156">
        <v>49.09</v>
      </c>
      <c r="C1156">
        <v>6.3</v>
      </c>
      <c r="E1156" t="s">
        <v>4686</v>
      </c>
      <c r="F1156" t="s">
        <v>4685</v>
      </c>
      <c r="G1156" t="s">
        <v>4685</v>
      </c>
      <c r="H1156" s="2">
        <v>0</v>
      </c>
      <c r="I1156" t="s">
        <v>4685</v>
      </c>
      <c r="J1156" t="str">
        <f t="shared" si="5"/>
        <v>normalweight</v>
      </c>
    </row>
    <row r="1157" spans="1:10" ht="15.75" customHeight="1">
      <c r="A1157" t="s">
        <v>2369</v>
      </c>
      <c r="B1157">
        <v>47.74</v>
      </c>
      <c r="C1157">
        <v>8.0500000000000007</v>
      </c>
      <c r="D1157" s="6" t="s">
        <v>4684</v>
      </c>
      <c r="E1157" t="s">
        <v>4686</v>
      </c>
      <c r="F1157" t="s">
        <v>4685</v>
      </c>
      <c r="G1157" t="s">
        <v>4685</v>
      </c>
      <c r="H1157" s="2">
        <v>2</v>
      </c>
      <c r="I1157" t="s">
        <v>4685</v>
      </c>
      <c r="J1157" t="str">
        <f t="shared" si="5"/>
        <v>normalweight</v>
      </c>
    </row>
    <row r="1158" spans="1:10" ht="15.75" customHeight="1">
      <c r="A1158" t="s">
        <v>2367</v>
      </c>
      <c r="B1158">
        <v>30.2</v>
      </c>
      <c r="C1158">
        <v>9.8800000000000008</v>
      </c>
      <c r="D1158" s="6" t="s">
        <v>4684</v>
      </c>
      <c r="E1158" t="s">
        <v>4686</v>
      </c>
      <c r="F1158" t="s">
        <v>4685</v>
      </c>
      <c r="G1158" t="s">
        <v>4685</v>
      </c>
      <c r="H1158" s="2">
        <v>2</v>
      </c>
      <c r="I1158" t="s">
        <v>4685</v>
      </c>
      <c r="J1158" t="str">
        <f t="shared" si="5"/>
        <v>normalweight</v>
      </c>
    </row>
    <row r="1159" spans="1:10" ht="15.75" customHeight="1">
      <c r="A1159" t="s">
        <v>2365</v>
      </c>
      <c r="B1159">
        <v>33.25</v>
      </c>
      <c r="C1159">
        <v>7.42</v>
      </c>
      <c r="D1159" s="6" t="s">
        <v>4684</v>
      </c>
      <c r="E1159" t="s">
        <v>4686</v>
      </c>
      <c r="F1159" t="s">
        <v>4685</v>
      </c>
      <c r="G1159" t="s">
        <v>4685</v>
      </c>
      <c r="H1159" s="2">
        <v>2</v>
      </c>
      <c r="I1159" t="s">
        <v>4685</v>
      </c>
      <c r="J1159" t="str">
        <f t="shared" si="5"/>
        <v>normalweight</v>
      </c>
    </row>
    <row r="1160" spans="1:10" ht="15.75" customHeight="1">
      <c r="A1160" t="s">
        <v>2363</v>
      </c>
      <c r="B1160">
        <v>26.6</v>
      </c>
      <c r="C1160">
        <v>8.4499999999999993</v>
      </c>
      <c r="D1160" s="6" t="s">
        <v>4684</v>
      </c>
      <c r="E1160" t="s">
        <v>4686</v>
      </c>
      <c r="F1160" t="s">
        <v>4685</v>
      </c>
      <c r="G1160" t="s">
        <v>4685</v>
      </c>
      <c r="H1160" s="2">
        <v>1</v>
      </c>
      <c r="I1160" t="s">
        <v>4685</v>
      </c>
      <c r="J1160" t="str">
        <f t="shared" si="5"/>
        <v>normalweight</v>
      </c>
    </row>
    <row r="1161" spans="1:10" ht="15.75" customHeight="1">
      <c r="A1161" t="s">
        <v>2361</v>
      </c>
      <c r="B1161">
        <v>26.35</v>
      </c>
      <c r="C1161">
        <v>6.21</v>
      </c>
      <c r="E1161" t="s">
        <v>4685</v>
      </c>
      <c r="F1161" t="s">
        <v>4685</v>
      </c>
      <c r="G1161" t="s">
        <v>4685</v>
      </c>
      <c r="H1161" s="2">
        <v>2</v>
      </c>
      <c r="I1161" t="s">
        <v>4685</v>
      </c>
      <c r="J1161" t="str">
        <f t="shared" si="5"/>
        <v>normalweight</v>
      </c>
    </row>
    <row r="1162" spans="1:10" ht="15.75" customHeight="1">
      <c r="A1162" t="s">
        <v>2359</v>
      </c>
      <c r="B1162">
        <v>39.994999999999997</v>
      </c>
      <c r="C1162">
        <v>4.6500000000000004</v>
      </c>
      <c r="E1162" t="s">
        <v>4685</v>
      </c>
      <c r="F1162" t="s">
        <v>4685</v>
      </c>
      <c r="G1162" t="s">
        <v>4685</v>
      </c>
      <c r="H1162" s="2">
        <v>0</v>
      </c>
      <c r="I1162" t="s">
        <v>4685</v>
      </c>
      <c r="J1162" t="str">
        <f t="shared" si="5"/>
        <v>normalweight</v>
      </c>
    </row>
    <row r="1163" spans="1:10" ht="15.75" customHeight="1">
      <c r="A1163" t="s">
        <v>2357</v>
      </c>
      <c r="B1163">
        <v>22.92</v>
      </c>
      <c r="C1163">
        <v>5.87</v>
      </c>
      <c r="E1163" t="s">
        <v>4686</v>
      </c>
      <c r="F1163" t="s">
        <v>4685</v>
      </c>
      <c r="G1163" t="s">
        <v>4685</v>
      </c>
      <c r="H1163" s="2">
        <v>1</v>
      </c>
      <c r="I1163" t="s">
        <v>4685</v>
      </c>
      <c r="J1163" t="str">
        <f t="shared" si="5"/>
        <v>normalweight</v>
      </c>
    </row>
    <row r="1164" spans="1:10" ht="15.75" customHeight="1">
      <c r="A1164" t="s">
        <v>2355</v>
      </c>
      <c r="B1164">
        <v>24.78</v>
      </c>
      <c r="C1164">
        <v>4.24</v>
      </c>
      <c r="E1164" t="s">
        <v>4686</v>
      </c>
      <c r="F1164" t="s">
        <v>4685</v>
      </c>
      <c r="G1164" t="s">
        <v>4685</v>
      </c>
      <c r="H1164" s="2">
        <v>2</v>
      </c>
      <c r="I1164" t="s">
        <v>4685</v>
      </c>
      <c r="J1164" t="str">
        <f t="shared" si="5"/>
        <v>normalweight</v>
      </c>
    </row>
    <row r="1165" spans="1:10" ht="15.75" customHeight="1">
      <c r="A1165" t="s">
        <v>2353</v>
      </c>
      <c r="B1165">
        <v>34.07</v>
      </c>
      <c r="C1165">
        <v>7.81</v>
      </c>
      <c r="E1165" t="s">
        <v>4686</v>
      </c>
      <c r="F1165" t="s">
        <v>4685</v>
      </c>
      <c r="G1165" t="s">
        <v>4685</v>
      </c>
      <c r="H1165" s="2">
        <v>0</v>
      </c>
      <c r="I1165" t="s">
        <v>4685</v>
      </c>
      <c r="J1165" t="str">
        <f t="shared" si="5"/>
        <v>normalweight</v>
      </c>
    </row>
    <row r="1166" spans="1:10" ht="15.75" customHeight="1">
      <c r="A1166" t="s">
        <v>2351</v>
      </c>
      <c r="B1166">
        <v>30.14</v>
      </c>
      <c r="C1166">
        <v>9.85</v>
      </c>
      <c r="D1166" s="6" t="s">
        <v>4684</v>
      </c>
      <c r="E1166" t="s">
        <v>4685</v>
      </c>
      <c r="F1166" t="s">
        <v>4685</v>
      </c>
      <c r="G1166" t="s">
        <v>4685</v>
      </c>
      <c r="H1166" s="2">
        <v>0</v>
      </c>
      <c r="I1166" t="s">
        <v>4685</v>
      </c>
      <c r="J1166" t="str">
        <f t="shared" si="5"/>
        <v>normalweight</v>
      </c>
    </row>
    <row r="1167" spans="1:10" ht="15.75" customHeight="1">
      <c r="A1167" t="s">
        <v>2349</v>
      </c>
      <c r="B1167">
        <v>18.05</v>
      </c>
      <c r="C1167">
        <v>6.94</v>
      </c>
      <c r="D1167" s="6" t="s">
        <v>4684</v>
      </c>
      <c r="E1167" t="s">
        <v>4685</v>
      </c>
      <c r="F1167" t="s">
        <v>4685</v>
      </c>
      <c r="G1167" t="s">
        <v>4685</v>
      </c>
      <c r="H1167" s="2">
        <v>0</v>
      </c>
      <c r="I1167" t="s">
        <v>4685</v>
      </c>
      <c r="J1167" t="str">
        <f t="shared" si="5"/>
        <v>underweight</v>
      </c>
    </row>
    <row r="1168" spans="1:10" ht="15.75" customHeight="1">
      <c r="A1168" t="s">
        <v>2347</v>
      </c>
      <c r="B1168">
        <v>37.4</v>
      </c>
      <c r="C1168">
        <v>11.3</v>
      </c>
      <c r="D1168" s="6" t="s">
        <v>4684</v>
      </c>
      <c r="E1168" t="s">
        <v>4686</v>
      </c>
      <c r="F1168" t="s">
        <v>4685</v>
      </c>
      <c r="G1168" t="s">
        <v>4685</v>
      </c>
      <c r="H1168" s="2">
        <v>2</v>
      </c>
      <c r="I1168" t="s">
        <v>4685</v>
      </c>
      <c r="J1168" t="str">
        <f t="shared" si="5"/>
        <v>normalweight</v>
      </c>
    </row>
    <row r="1169" spans="1:10" ht="15.75" customHeight="1">
      <c r="A1169" t="s">
        <v>2345</v>
      </c>
      <c r="B1169">
        <v>25.75</v>
      </c>
      <c r="C1169">
        <v>9.23</v>
      </c>
      <c r="D1169" s="6" t="s">
        <v>4684</v>
      </c>
      <c r="E1169" t="s">
        <v>4685</v>
      </c>
      <c r="F1169" t="s">
        <v>4685</v>
      </c>
      <c r="G1169" t="s">
        <v>4685</v>
      </c>
      <c r="H1169" s="2">
        <v>0</v>
      </c>
      <c r="I1169" t="s">
        <v>4685</v>
      </c>
      <c r="J1169" t="str">
        <f t="shared" si="5"/>
        <v>normalweight</v>
      </c>
    </row>
    <row r="1170" spans="1:10" ht="15.75" customHeight="1">
      <c r="A1170" t="s">
        <v>2343</v>
      </c>
      <c r="B1170">
        <v>32.299999999999997</v>
      </c>
      <c r="C1170">
        <v>4.37</v>
      </c>
      <c r="E1170" t="s">
        <v>4685</v>
      </c>
      <c r="F1170" t="s">
        <v>4685</v>
      </c>
      <c r="G1170" t="s">
        <v>4685</v>
      </c>
      <c r="H1170" s="2">
        <v>2</v>
      </c>
      <c r="I1170" t="s">
        <v>4685</v>
      </c>
      <c r="J1170" t="str">
        <f t="shared" si="5"/>
        <v>normalweight</v>
      </c>
    </row>
    <row r="1171" spans="1:10" ht="15.75" customHeight="1">
      <c r="A1171" t="s">
        <v>2341</v>
      </c>
      <c r="B1171">
        <v>28.61</v>
      </c>
      <c r="C1171">
        <v>5.76</v>
      </c>
      <c r="E1171" t="s">
        <v>4685</v>
      </c>
      <c r="F1171" t="s">
        <v>4685</v>
      </c>
      <c r="G1171" t="s">
        <v>4688</v>
      </c>
      <c r="H1171" s="2">
        <v>1</v>
      </c>
      <c r="I1171" t="s">
        <v>4685</v>
      </c>
      <c r="J1171" t="str">
        <f t="shared" si="5"/>
        <v>normalweight</v>
      </c>
    </row>
    <row r="1172" spans="1:10" ht="15.75" customHeight="1">
      <c r="A1172" t="s">
        <v>2339</v>
      </c>
      <c r="B1172">
        <v>45.41</v>
      </c>
      <c r="C1172">
        <v>4.96</v>
      </c>
      <c r="E1172" t="s">
        <v>4685</v>
      </c>
      <c r="F1172" t="s">
        <v>4685</v>
      </c>
      <c r="G1172" t="s">
        <v>4685</v>
      </c>
      <c r="H1172" s="2">
        <v>1</v>
      </c>
      <c r="I1172" t="s">
        <v>4685</v>
      </c>
      <c r="J1172" t="str">
        <f t="shared" si="5"/>
        <v>normalweight</v>
      </c>
    </row>
    <row r="1173" spans="1:10" ht="15.75" customHeight="1">
      <c r="A1173" t="s">
        <v>2337</v>
      </c>
      <c r="B1173">
        <v>31.2</v>
      </c>
      <c r="C1173">
        <v>11.04</v>
      </c>
      <c r="D1173" s="6" t="s">
        <v>4684</v>
      </c>
      <c r="E1173" t="s">
        <v>4686</v>
      </c>
      <c r="F1173" t="s">
        <v>4685</v>
      </c>
      <c r="G1173" t="s">
        <v>4685</v>
      </c>
      <c r="H1173" s="2">
        <v>2</v>
      </c>
      <c r="I1173" t="s">
        <v>4685</v>
      </c>
      <c r="J1173" t="str">
        <f t="shared" si="5"/>
        <v>normalweight</v>
      </c>
    </row>
    <row r="1174" spans="1:10" ht="15.75" customHeight="1">
      <c r="A1174" t="s">
        <v>2335</v>
      </c>
      <c r="B1174">
        <v>29.83</v>
      </c>
      <c r="C1174">
        <v>7.81</v>
      </c>
      <c r="D1174" s="6" t="s">
        <v>4684</v>
      </c>
      <c r="E1174" t="s">
        <v>4686</v>
      </c>
      <c r="F1174" t="s">
        <v>4685</v>
      </c>
      <c r="G1174" t="s">
        <v>4685</v>
      </c>
      <c r="H1174" s="2">
        <v>1</v>
      </c>
      <c r="I1174" t="s">
        <v>4685</v>
      </c>
      <c r="J1174" t="str">
        <f t="shared" si="5"/>
        <v>normalweight</v>
      </c>
    </row>
    <row r="1175" spans="1:10" ht="15.75" customHeight="1">
      <c r="A1175" t="s">
        <v>2333</v>
      </c>
      <c r="B1175">
        <v>29.06</v>
      </c>
      <c r="C1175">
        <v>4.55</v>
      </c>
      <c r="E1175" t="s">
        <v>4685</v>
      </c>
      <c r="F1175" t="s">
        <v>4685</v>
      </c>
      <c r="G1175" t="s">
        <v>4685</v>
      </c>
      <c r="H1175" s="2">
        <v>0</v>
      </c>
      <c r="I1175" t="s">
        <v>4685</v>
      </c>
      <c r="J1175" t="str">
        <f t="shared" si="5"/>
        <v>normalweight</v>
      </c>
    </row>
    <row r="1176" spans="1:10" ht="15.75" customHeight="1">
      <c r="A1176" t="s">
        <v>2331</v>
      </c>
      <c r="B1176">
        <v>27.454999999999998</v>
      </c>
      <c r="C1176">
        <v>6.13</v>
      </c>
      <c r="E1176" t="s">
        <v>4685</v>
      </c>
      <c r="F1176" t="s">
        <v>4685</v>
      </c>
      <c r="G1176" t="s">
        <v>4685</v>
      </c>
      <c r="H1176" s="2">
        <v>2</v>
      </c>
      <c r="I1176" t="s">
        <v>4685</v>
      </c>
      <c r="J1176" t="str">
        <f t="shared" si="5"/>
        <v>normalweight</v>
      </c>
    </row>
    <row r="1177" spans="1:10" ht="15.75" customHeight="1">
      <c r="A1177" t="s">
        <v>2329</v>
      </c>
      <c r="B1177">
        <v>23.01</v>
      </c>
      <c r="C1177">
        <v>6.04</v>
      </c>
      <c r="E1177" t="s">
        <v>4686</v>
      </c>
      <c r="F1177" t="s">
        <v>4685</v>
      </c>
      <c r="G1177" t="s">
        <v>4685</v>
      </c>
      <c r="H1177" s="2">
        <v>1</v>
      </c>
      <c r="I1177" t="s">
        <v>4685</v>
      </c>
      <c r="J1177" t="str">
        <f t="shared" si="5"/>
        <v>normalweight</v>
      </c>
    </row>
    <row r="1178" spans="1:10" ht="15.75" customHeight="1">
      <c r="A1178" t="s">
        <v>2327</v>
      </c>
      <c r="B1178">
        <v>31.39</v>
      </c>
      <c r="C1178">
        <v>8.85</v>
      </c>
      <c r="D1178" s="6" t="s">
        <v>4684</v>
      </c>
      <c r="E1178" t="s">
        <v>4686</v>
      </c>
      <c r="F1178" t="s">
        <v>4685</v>
      </c>
      <c r="G1178" t="s">
        <v>4685</v>
      </c>
      <c r="H1178" s="2">
        <v>0</v>
      </c>
      <c r="I1178" t="s">
        <v>4685</v>
      </c>
      <c r="J1178" t="str">
        <f t="shared" si="5"/>
        <v>normalweight</v>
      </c>
    </row>
    <row r="1179" spans="1:10" ht="15.75" customHeight="1">
      <c r="A1179" t="s">
        <v>2325</v>
      </c>
      <c r="B1179">
        <v>34.770000000000003</v>
      </c>
      <c r="C1179">
        <v>10.54</v>
      </c>
      <c r="D1179" s="6" t="s">
        <v>4684</v>
      </c>
      <c r="E1179" t="s">
        <v>4685</v>
      </c>
      <c r="F1179" t="s">
        <v>4685</v>
      </c>
      <c r="G1179" t="s">
        <v>4685</v>
      </c>
      <c r="H1179" s="2">
        <v>2</v>
      </c>
      <c r="I1179" t="s">
        <v>4685</v>
      </c>
      <c r="J1179" t="str">
        <f t="shared" si="5"/>
        <v>normalweight</v>
      </c>
    </row>
    <row r="1180" spans="1:10" ht="15.75" customHeight="1">
      <c r="A1180" t="s">
        <v>2323</v>
      </c>
      <c r="B1180">
        <v>24.48</v>
      </c>
      <c r="C1180">
        <v>4.37</v>
      </c>
      <c r="E1180" t="s">
        <v>4686</v>
      </c>
      <c r="F1180" t="s">
        <v>4685</v>
      </c>
      <c r="G1180" t="s">
        <v>4685</v>
      </c>
      <c r="H1180" s="2">
        <v>2</v>
      </c>
      <c r="I1180" t="s">
        <v>4685</v>
      </c>
      <c r="J1180" t="str">
        <f t="shared" si="5"/>
        <v>normalweight</v>
      </c>
    </row>
    <row r="1181" spans="1:10" ht="15.75" customHeight="1">
      <c r="A1181" t="s">
        <v>2321</v>
      </c>
      <c r="B1181">
        <v>22.61</v>
      </c>
      <c r="C1181">
        <v>9.6300000000000008</v>
      </c>
      <c r="D1181" s="6" t="s">
        <v>4684</v>
      </c>
      <c r="E1181" t="s">
        <v>4685</v>
      </c>
      <c r="F1181" t="s">
        <v>4685</v>
      </c>
      <c r="G1181" t="s">
        <v>4685</v>
      </c>
      <c r="H1181" s="2">
        <v>2</v>
      </c>
      <c r="I1181" t="s">
        <v>4685</v>
      </c>
      <c r="J1181" t="str">
        <f t="shared" si="5"/>
        <v>normalweight</v>
      </c>
    </row>
    <row r="1182" spans="1:10" ht="15.75" customHeight="1">
      <c r="A1182" t="s">
        <v>2319</v>
      </c>
      <c r="B1182">
        <v>34.299999999999997</v>
      </c>
      <c r="C1182">
        <v>10.37</v>
      </c>
      <c r="D1182" s="6" t="s">
        <v>4684</v>
      </c>
      <c r="E1182" t="s">
        <v>4685</v>
      </c>
      <c r="F1182" t="s">
        <v>4685</v>
      </c>
      <c r="G1182" t="s">
        <v>4685</v>
      </c>
      <c r="H1182" s="2">
        <v>0</v>
      </c>
      <c r="I1182" t="s">
        <v>4685</v>
      </c>
      <c r="J1182" t="str">
        <f t="shared" si="5"/>
        <v>normalweight</v>
      </c>
    </row>
    <row r="1183" spans="1:10" ht="15.75" customHeight="1">
      <c r="A1183" t="s">
        <v>2317</v>
      </c>
      <c r="B1183">
        <v>46.09</v>
      </c>
      <c r="C1183">
        <v>5.44</v>
      </c>
      <c r="E1183" t="s">
        <v>4685</v>
      </c>
      <c r="F1183" t="s">
        <v>4685</v>
      </c>
      <c r="G1183" t="s">
        <v>4685</v>
      </c>
      <c r="H1183" s="2">
        <v>2</v>
      </c>
      <c r="I1183" t="s">
        <v>4685</v>
      </c>
      <c r="J1183" t="str">
        <f t="shared" si="5"/>
        <v>normalweight</v>
      </c>
    </row>
    <row r="1184" spans="1:10" ht="15.75" customHeight="1">
      <c r="A1184" t="s">
        <v>2315</v>
      </c>
      <c r="B1184">
        <v>44.744999999999997</v>
      </c>
      <c r="C1184">
        <v>5.19</v>
      </c>
      <c r="E1184" t="s">
        <v>4685</v>
      </c>
      <c r="F1184" t="s">
        <v>4685</v>
      </c>
      <c r="G1184" t="s">
        <v>4685</v>
      </c>
      <c r="H1184" s="2">
        <v>2</v>
      </c>
      <c r="I1184" t="s">
        <v>4685</v>
      </c>
      <c r="J1184" t="str">
        <f t="shared" si="5"/>
        <v>normalweight</v>
      </c>
    </row>
    <row r="1185" spans="1:10" ht="15.75" customHeight="1">
      <c r="A1185" t="s">
        <v>2313</v>
      </c>
      <c r="B1185">
        <v>26.33</v>
      </c>
      <c r="C1185">
        <v>11.8</v>
      </c>
      <c r="D1185" s="6" t="s">
        <v>4684</v>
      </c>
      <c r="E1185" t="s">
        <v>4686</v>
      </c>
      <c r="F1185" t="s">
        <v>4685</v>
      </c>
      <c r="G1185" t="s">
        <v>4685</v>
      </c>
      <c r="H1185" s="2">
        <v>1</v>
      </c>
      <c r="I1185" t="s">
        <v>4685</v>
      </c>
      <c r="J1185" t="str">
        <f t="shared" si="5"/>
        <v>normalweight</v>
      </c>
    </row>
    <row r="1186" spans="1:10" ht="15.75" customHeight="1">
      <c r="A1186" t="s">
        <v>2311</v>
      </c>
      <c r="B1186">
        <v>26.6</v>
      </c>
      <c r="C1186">
        <v>8.3800000000000008</v>
      </c>
      <c r="D1186" s="6" t="s">
        <v>4684</v>
      </c>
      <c r="E1186" t="s">
        <v>4685</v>
      </c>
      <c r="F1186" t="s">
        <v>4685</v>
      </c>
      <c r="G1186" t="s">
        <v>4685</v>
      </c>
      <c r="H1186" s="2">
        <v>2</v>
      </c>
      <c r="I1186" t="s">
        <v>4685</v>
      </c>
      <c r="J1186" t="str">
        <f t="shared" si="5"/>
        <v>normalweight</v>
      </c>
    </row>
    <row r="1187" spans="1:10" ht="15.75" customHeight="1">
      <c r="A1187" t="s">
        <v>2309</v>
      </c>
      <c r="B1187">
        <v>27.5</v>
      </c>
      <c r="C1187">
        <v>7.58</v>
      </c>
      <c r="D1187" s="6" t="s">
        <v>4684</v>
      </c>
      <c r="E1187" t="s">
        <v>4685</v>
      </c>
      <c r="F1187" t="s">
        <v>4685</v>
      </c>
      <c r="G1187" t="s">
        <v>4685</v>
      </c>
      <c r="H1187" s="2">
        <v>0</v>
      </c>
      <c r="I1187" t="s">
        <v>4685</v>
      </c>
      <c r="J1187" t="str">
        <f t="shared" si="5"/>
        <v>normalweight</v>
      </c>
    </row>
    <row r="1188" spans="1:10" ht="15.75" customHeight="1">
      <c r="A1188" t="s">
        <v>2307</v>
      </c>
      <c r="B1188">
        <v>41.55</v>
      </c>
      <c r="C1188">
        <v>4.6100000000000003</v>
      </c>
      <c r="E1188" t="s">
        <v>4685</v>
      </c>
      <c r="F1188" t="s">
        <v>4685</v>
      </c>
      <c r="G1188" t="s">
        <v>4685</v>
      </c>
      <c r="H1188" s="2">
        <v>1</v>
      </c>
      <c r="I1188" t="s">
        <v>4685</v>
      </c>
      <c r="J1188" t="str">
        <f t="shared" si="5"/>
        <v>normalweight</v>
      </c>
    </row>
    <row r="1189" spans="1:10" ht="15.75" customHeight="1">
      <c r="A1189" t="s">
        <v>2305</v>
      </c>
      <c r="B1189">
        <v>41.47</v>
      </c>
      <c r="C1189">
        <v>4.7</v>
      </c>
      <c r="E1189" t="s">
        <v>4686</v>
      </c>
      <c r="F1189" t="s">
        <v>4685</v>
      </c>
      <c r="G1189" t="s">
        <v>4688</v>
      </c>
      <c r="H1189" s="2">
        <v>1</v>
      </c>
      <c r="I1189" t="s">
        <v>4685</v>
      </c>
      <c r="J1189" t="str">
        <f t="shared" si="5"/>
        <v>normalweight</v>
      </c>
    </row>
    <row r="1190" spans="1:10" ht="15.75" customHeight="1">
      <c r="A1190" t="s">
        <v>2303</v>
      </c>
      <c r="B1190">
        <v>24.795000000000002</v>
      </c>
      <c r="C1190">
        <v>6.05</v>
      </c>
      <c r="E1190" t="s">
        <v>4686</v>
      </c>
      <c r="F1190" t="s">
        <v>4685</v>
      </c>
      <c r="G1190" t="s">
        <v>4685</v>
      </c>
      <c r="H1190" s="2">
        <v>0</v>
      </c>
      <c r="I1190" t="s">
        <v>4685</v>
      </c>
      <c r="J1190" t="str">
        <f t="shared" si="5"/>
        <v>normalweight</v>
      </c>
    </row>
    <row r="1191" spans="1:10" ht="15.75" customHeight="1">
      <c r="A1191" t="s">
        <v>2301</v>
      </c>
      <c r="B1191">
        <v>29.48</v>
      </c>
      <c r="C1191">
        <v>5.63</v>
      </c>
      <c r="E1191" t="s">
        <v>4686</v>
      </c>
      <c r="F1191" t="s">
        <v>4685</v>
      </c>
      <c r="G1191" t="s">
        <v>4688</v>
      </c>
      <c r="H1191" s="2">
        <v>1</v>
      </c>
      <c r="I1191" t="s">
        <v>4685</v>
      </c>
      <c r="J1191" t="str">
        <f t="shared" si="5"/>
        <v>normalweight</v>
      </c>
    </row>
    <row r="1192" spans="1:10" ht="15.75" customHeight="1">
      <c r="A1192" t="s">
        <v>2299</v>
      </c>
      <c r="B1192">
        <v>28.09</v>
      </c>
      <c r="C1192">
        <v>6.06</v>
      </c>
      <c r="E1192" t="s">
        <v>4685</v>
      </c>
      <c r="F1192" t="s">
        <v>4685</v>
      </c>
      <c r="G1192" t="s">
        <v>4688</v>
      </c>
      <c r="H1192" s="2">
        <v>1</v>
      </c>
      <c r="I1192" t="s">
        <v>4685</v>
      </c>
      <c r="J1192" t="str">
        <f t="shared" si="5"/>
        <v>normalweight</v>
      </c>
    </row>
    <row r="1193" spans="1:10" ht="15.75" customHeight="1">
      <c r="A1193" t="s">
        <v>2297</v>
      </c>
      <c r="B1193">
        <v>32.729999999999997</v>
      </c>
      <c r="C1193">
        <v>5.19</v>
      </c>
      <c r="E1193" t="s">
        <v>4685</v>
      </c>
      <c r="F1193" t="s">
        <v>4685</v>
      </c>
      <c r="G1193" t="s">
        <v>4685</v>
      </c>
      <c r="H1193" s="2">
        <v>1</v>
      </c>
      <c r="I1193" t="s">
        <v>4685</v>
      </c>
      <c r="J1193" t="str">
        <f t="shared" si="5"/>
        <v>normalweight</v>
      </c>
    </row>
    <row r="1194" spans="1:10" ht="15.75" customHeight="1">
      <c r="A1194" t="s">
        <v>2295</v>
      </c>
      <c r="B1194">
        <v>27.36</v>
      </c>
      <c r="C1194">
        <v>8.9600000000000009</v>
      </c>
      <c r="D1194" s="6" t="s">
        <v>4684</v>
      </c>
      <c r="E1194" t="s">
        <v>4685</v>
      </c>
      <c r="F1194" t="s">
        <v>4685</v>
      </c>
      <c r="G1194" t="s">
        <v>4685</v>
      </c>
      <c r="H1194" s="2">
        <v>0</v>
      </c>
      <c r="I1194" t="s">
        <v>4685</v>
      </c>
      <c r="J1194" t="str">
        <f t="shared" si="5"/>
        <v>normalweight</v>
      </c>
    </row>
    <row r="1195" spans="1:10" ht="15.75" customHeight="1">
      <c r="A1195" t="s">
        <v>2293</v>
      </c>
      <c r="B1195">
        <v>27.265000000000001</v>
      </c>
      <c r="C1195">
        <v>11.39</v>
      </c>
      <c r="D1195" s="6" t="s">
        <v>4684</v>
      </c>
      <c r="E1195" t="s">
        <v>4685</v>
      </c>
      <c r="F1195" t="s">
        <v>4685</v>
      </c>
      <c r="G1195" t="s">
        <v>4685</v>
      </c>
      <c r="H1195" s="2">
        <v>0</v>
      </c>
      <c r="I1195" t="s">
        <v>4685</v>
      </c>
      <c r="J1195" t="str">
        <f t="shared" si="5"/>
        <v>normalweight</v>
      </c>
    </row>
    <row r="1196" spans="1:10" ht="15.75" customHeight="1">
      <c r="A1196" t="s">
        <v>2291</v>
      </c>
      <c r="B1196">
        <v>48.07</v>
      </c>
      <c r="C1196">
        <v>4.0599999999999996</v>
      </c>
      <c r="E1196" t="s">
        <v>4686</v>
      </c>
      <c r="F1196" t="s">
        <v>4685</v>
      </c>
      <c r="G1196" t="s">
        <v>4685</v>
      </c>
      <c r="H1196" s="2">
        <v>0</v>
      </c>
      <c r="I1196" t="s">
        <v>4685</v>
      </c>
      <c r="J1196" t="str">
        <f t="shared" si="5"/>
        <v>normalweight</v>
      </c>
    </row>
    <row r="1197" spans="1:10" ht="15.75" customHeight="1">
      <c r="A1197" t="s">
        <v>2289</v>
      </c>
      <c r="B1197">
        <v>30.8</v>
      </c>
      <c r="C1197">
        <v>5.23</v>
      </c>
      <c r="E1197" t="s">
        <v>4686</v>
      </c>
      <c r="F1197" t="s">
        <v>4685</v>
      </c>
      <c r="G1197" t="s">
        <v>4685</v>
      </c>
      <c r="H1197" s="2">
        <v>0</v>
      </c>
      <c r="I1197" t="s">
        <v>4685</v>
      </c>
      <c r="J1197" t="str">
        <f t="shared" si="5"/>
        <v>normalweight</v>
      </c>
    </row>
    <row r="1198" spans="1:10" ht="15.75" customHeight="1">
      <c r="A1198" t="s">
        <v>2287</v>
      </c>
      <c r="B1198">
        <v>32.299999999999997</v>
      </c>
      <c r="C1198">
        <v>5.05</v>
      </c>
      <c r="E1198" t="s">
        <v>4686</v>
      </c>
      <c r="F1198" t="s">
        <v>4685</v>
      </c>
      <c r="G1198" t="s">
        <v>4685</v>
      </c>
      <c r="H1198" s="2">
        <v>0</v>
      </c>
      <c r="I1198" t="s">
        <v>4685</v>
      </c>
      <c r="J1198" t="str">
        <f t="shared" si="5"/>
        <v>normalweight</v>
      </c>
    </row>
    <row r="1199" spans="1:10" ht="15.75" customHeight="1">
      <c r="A1199" t="s">
        <v>2285</v>
      </c>
      <c r="B1199">
        <v>39.700000000000003</v>
      </c>
      <c r="C1199">
        <v>7.34</v>
      </c>
      <c r="D1199" s="6" t="s">
        <v>4684</v>
      </c>
      <c r="E1199" t="s">
        <v>4685</v>
      </c>
      <c r="F1199" t="s">
        <v>4685</v>
      </c>
      <c r="G1199" t="s">
        <v>4685</v>
      </c>
      <c r="H1199" s="2">
        <v>0</v>
      </c>
      <c r="I1199" t="s">
        <v>4685</v>
      </c>
      <c r="J1199" t="str">
        <f t="shared" si="5"/>
        <v>normalweight</v>
      </c>
    </row>
    <row r="1200" spans="1:10" ht="15.75" customHeight="1">
      <c r="A1200" t="s">
        <v>2283</v>
      </c>
      <c r="B1200">
        <v>35.97</v>
      </c>
      <c r="C1200">
        <v>8.1300000000000008</v>
      </c>
      <c r="D1200" s="6" t="s">
        <v>4684</v>
      </c>
      <c r="E1200" t="s">
        <v>4685</v>
      </c>
      <c r="F1200" t="s">
        <v>4685</v>
      </c>
      <c r="G1200" t="s">
        <v>4685</v>
      </c>
      <c r="H1200" s="2">
        <v>0</v>
      </c>
      <c r="I1200" t="s">
        <v>4685</v>
      </c>
      <c r="J1200" t="str">
        <f t="shared" si="5"/>
        <v>normalweight</v>
      </c>
    </row>
    <row r="1201" spans="1:10" ht="15.75" customHeight="1">
      <c r="A1201" t="s">
        <v>2281</v>
      </c>
      <c r="B1201">
        <v>25.86</v>
      </c>
      <c r="C1201">
        <v>6.68</v>
      </c>
      <c r="D1201" s="6" t="s">
        <v>4684</v>
      </c>
      <c r="E1201" t="s">
        <v>4686</v>
      </c>
      <c r="F1201" t="s">
        <v>4685</v>
      </c>
      <c r="G1201" t="s">
        <v>4685</v>
      </c>
      <c r="H1201" s="2">
        <v>1</v>
      </c>
      <c r="I1201" t="s">
        <v>4685</v>
      </c>
      <c r="J1201" t="str">
        <f t="shared" si="5"/>
        <v>normalweight</v>
      </c>
    </row>
    <row r="1202" spans="1:10" ht="15.75" customHeight="1">
      <c r="A1202" t="s">
        <v>2279</v>
      </c>
      <c r="B1202">
        <v>30.03</v>
      </c>
      <c r="C1202">
        <v>11.51</v>
      </c>
      <c r="D1202" s="6" t="s">
        <v>4684</v>
      </c>
      <c r="E1202" t="s">
        <v>4685</v>
      </c>
      <c r="F1202" t="s">
        <v>4685</v>
      </c>
      <c r="G1202" t="s">
        <v>4685</v>
      </c>
      <c r="H1202" s="2">
        <v>0</v>
      </c>
      <c r="I1202" t="s">
        <v>4685</v>
      </c>
      <c r="J1202" t="str">
        <f t="shared" si="5"/>
        <v>normalweight</v>
      </c>
    </row>
    <row r="1203" spans="1:10" ht="15.75" customHeight="1">
      <c r="A1203" t="s">
        <v>2277</v>
      </c>
      <c r="B1203">
        <v>25.76</v>
      </c>
      <c r="C1203">
        <v>6.02</v>
      </c>
      <c r="E1203" t="s">
        <v>4686</v>
      </c>
      <c r="F1203" t="s">
        <v>4685</v>
      </c>
      <c r="G1203" t="s">
        <v>4688</v>
      </c>
      <c r="H1203" s="2">
        <v>1</v>
      </c>
      <c r="I1203" t="s">
        <v>4685</v>
      </c>
      <c r="J1203" t="str">
        <f t="shared" si="5"/>
        <v>normalweight</v>
      </c>
    </row>
    <row r="1204" spans="1:10" ht="15.75" customHeight="1">
      <c r="A1204" t="s">
        <v>2275</v>
      </c>
      <c r="B1204">
        <v>22.42</v>
      </c>
      <c r="C1204">
        <v>7.96</v>
      </c>
      <c r="D1204" s="6" t="s">
        <v>4684</v>
      </c>
      <c r="E1204" t="s">
        <v>4685</v>
      </c>
      <c r="F1204" t="s">
        <v>4685</v>
      </c>
      <c r="G1204" t="s">
        <v>4685</v>
      </c>
      <c r="H1204" s="2">
        <v>0</v>
      </c>
      <c r="I1204" t="s">
        <v>4685</v>
      </c>
      <c r="J1204" t="str">
        <f t="shared" si="5"/>
        <v>normalweight</v>
      </c>
    </row>
    <row r="1205" spans="1:10" ht="15.75" customHeight="1">
      <c r="A1205" t="s">
        <v>2273</v>
      </c>
      <c r="B1205">
        <v>33.18</v>
      </c>
      <c r="C1205">
        <v>6.01</v>
      </c>
      <c r="E1205" t="s">
        <v>4686</v>
      </c>
      <c r="F1205" t="s">
        <v>4685</v>
      </c>
      <c r="G1205" t="s">
        <v>4685</v>
      </c>
      <c r="H1205" s="2">
        <v>1</v>
      </c>
      <c r="I1205" t="s">
        <v>4685</v>
      </c>
      <c r="J1205" t="str">
        <f t="shared" si="5"/>
        <v>normalweight</v>
      </c>
    </row>
    <row r="1206" spans="1:10" ht="15.75" customHeight="1">
      <c r="A1206" t="s">
        <v>2271</v>
      </c>
      <c r="B1206">
        <v>43.04</v>
      </c>
      <c r="C1206">
        <v>5.9</v>
      </c>
      <c r="E1206" t="s">
        <v>4686</v>
      </c>
      <c r="F1206" t="s">
        <v>4685</v>
      </c>
      <c r="G1206" t="s">
        <v>4685</v>
      </c>
      <c r="H1206" s="2">
        <v>0</v>
      </c>
      <c r="I1206" t="s">
        <v>4685</v>
      </c>
      <c r="J1206" t="str">
        <f t="shared" si="5"/>
        <v>normalweight</v>
      </c>
    </row>
    <row r="1207" spans="1:10" ht="15.75" customHeight="1">
      <c r="A1207" t="s">
        <v>2269</v>
      </c>
      <c r="B1207">
        <v>34.15</v>
      </c>
      <c r="C1207">
        <v>4.49</v>
      </c>
      <c r="E1207" t="s">
        <v>4686</v>
      </c>
      <c r="F1207" t="s">
        <v>4685</v>
      </c>
      <c r="G1207" t="s">
        <v>4685</v>
      </c>
      <c r="H1207" s="2">
        <v>1</v>
      </c>
      <c r="I1207" t="s">
        <v>4685</v>
      </c>
      <c r="J1207" t="str">
        <f t="shared" si="5"/>
        <v>normalweight</v>
      </c>
    </row>
    <row r="1208" spans="1:10" ht="15.75" customHeight="1">
      <c r="A1208" t="s">
        <v>2267</v>
      </c>
      <c r="B1208">
        <v>25.78</v>
      </c>
      <c r="C1208">
        <v>6.25</v>
      </c>
      <c r="E1208" t="s">
        <v>4685</v>
      </c>
      <c r="F1208" t="s">
        <v>4685</v>
      </c>
      <c r="G1208" t="s">
        <v>4685</v>
      </c>
      <c r="H1208" s="2">
        <v>0</v>
      </c>
      <c r="I1208" t="s">
        <v>4685</v>
      </c>
      <c r="J1208" t="str">
        <f t="shared" si="5"/>
        <v>normalweight</v>
      </c>
    </row>
    <row r="1209" spans="1:10" ht="15.75" customHeight="1">
      <c r="A1209" t="s">
        <v>2265</v>
      </c>
      <c r="B1209">
        <v>21.02</v>
      </c>
      <c r="C1209">
        <v>9.6199999999999992</v>
      </c>
      <c r="D1209" s="6" t="s">
        <v>4684</v>
      </c>
      <c r="E1209" t="s">
        <v>4686</v>
      </c>
      <c r="F1209" t="s">
        <v>4685</v>
      </c>
      <c r="G1209" t="s">
        <v>4688</v>
      </c>
      <c r="H1209" s="2">
        <v>1</v>
      </c>
      <c r="I1209" t="s">
        <v>4685</v>
      </c>
      <c r="J1209" t="str">
        <f t="shared" si="5"/>
        <v>normalweight</v>
      </c>
    </row>
    <row r="1210" spans="1:10" ht="15.75" customHeight="1">
      <c r="A1210" t="s">
        <v>2263</v>
      </c>
      <c r="B1210">
        <v>37.51</v>
      </c>
      <c r="C1210">
        <v>11.06</v>
      </c>
      <c r="D1210" s="6" t="s">
        <v>4684</v>
      </c>
      <c r="E1210" t="s">
        <v>4685</v>
      </c>
      <c r="F1210" t="s">
        <v>4685</v>
      </c>
      <c r="G1210" t="s">
        <v>4685</v>
      </c>
      <c r="H1210" s="2">
        <v>2</v>
      </c>
      <c r="I1210" t="s">
        <v>4685</v>
      </c>
      <c r="J1210" t="str">
        <f t="shared" si="5"/>
        <v>normalweight</v>
      </c>
    </row>
    <row r="1211" spans="1:10" ht="15.75" customHeight="1">
      <c r="A1211" t="s">
        <v>2261</v>
      </c>
      <c r="B1211">
        <v>25.745000000000001</v>
      </c>
      <c r="C1211">
        <v>6.11</v>
      </c>
      <c r="E1211" t="s">
        <v>4686</v>
      </c>
      <c r="F1211" t="s">
        <v>4685</v>
      </c>
      <c r="G1211" t="s">
        <v>4685</v>
      </c>
      <c r="H1211" s="2">
        <v>0</v>
      </c>
      <c r="I1211" t="s">
        <v>4685</v>
      </c>
      <c r="J1211" t="str">
        <f t="shared" si="5"/>
        <v>normalweight</v>
      </c>
    </row>
    <row r="1212" spans="1:10" ht="15.75" customHeight="1">
      <c r="A1212" t="s">
        <v>2259</v>
      </c>
      <c r="B1212">
        <v>31.35</v>
      </c>
      <c r="C1212">
        <v>11.49</v>
      </c>
      <c r="D1212" s="6" t="s">
        <v>4684</v>
      </c>
      <c r="E1212" t="s">
        <v>4685</v>
      </c>
      <c r="F1212" t="s">
        <v>4685</v>
      </c>
      <c r="G1212" t="s">
        <v>4685</v>
      </c>
      <c r="H1212" s="2">
        <v>2</v>
      </c>
      <c r="I1212" t="s">
        <v>4685</v>
      </c>
      <c r="J1212" t="str">
        <f t="shared" si="5"/>
        <v>normalweight</v>
      </c>
    </row>
    <row r="1213" spans="1:10" ht="15.75" customHeight="1">
      <c r="A1213" t="s">
        <v>2257</v>
      </c>
      <c r="B1213">
        <v>29.83</v>
      </c>
      <c r="C1213">
        <v>8.68</v>
      </c>
      <c r="D1213" s="6" t="s">
        <v>4684</v>
      </c>
      <c r="E1213" t="s">
        <v>4685</v>
      </c>
      <c r="F1213" t="s">
        <v>4685</v>
      </c>
      <c r="G1213" t="s">
        <v>4685</v>
      </c>
      <c r="H1213" s="2">
        <v>2</v>
      </c>
      <c r="I1213" t="s">
        <v>4685</v>
      </c>
      <c r="J1213" t="str">
        <f t="shared" si="5"/>
        <v>normalweight</v>
      </c>
    </row>
    <row r="1214" spans="1:10" ht="15.75" customHeight="1">
      <c r="A1214" t="s">
        <v>2255</v>
      </c>
      <c r="B1214">
        <v>25.49</v>
      </c>
      <c r="C1214">
        <v>5.68</v>
      </c>
      <c r="E1214" t="s">
        <v>4686</v>
      </c>
      <c r="F1214" t="s">
        <v>4685</v>
      </c>
      <c r="G1214" t="s">
        <v>4688</v>
      </c>
      <c r="H1214" s="2">
        <v>1</v>
      </c>
      <c r="I1214" t="s">
        <v>4685</v>
      </c>
      <c r="J1214" t="str">
        <f t="shared" si="5"/>
        <v>normalweight</v>
      </c>
    </row>
    <row r="1215" spans="1:10" ht="15.75" customHeight="1">
      <c r="A1215" t="s">
        <v>2253</v>
      </c>
      <c r="B1215">
        <v>34.1</v>
      </c>
      <c r="C1215">
        <v>8.4499999999999993</v>
      </c>
      <c r="D1215" s="6" t="s">
        <v>4684</v>
      </c>
      <c r="E1215" t="s">
        <v>4685</v>
      </c>
      <c r="F1215" t="s">
        <v>4685</v>
      </c>
      <c r="G1215" t="s">
        <v>4685</v>
      </c>
      <c r="H1215" s="2">
        <v>0</v>
      </c>
      <c r="I1215" t="s">
        <v>4685</v>
      </c>
      <c r="J1215" t="str">
        <f t="shared" si="5"/>
        <v>normalweight</v>
      </c>
    </row>
    <row r="1216" spans="1:10" ht="15.75" customHeight="1">
      <c r="A1216" t="s">
        <v>2251</v>
      </c>
      <c r="B1216">
        <v>25.84</v>
      </c>
      <c r="C1216">
        <v>8.51</v>
      </c>
      <c r="D1216" s="6" t="s">
        <v>4684</v>
      </c>
      <c r="E1216" t="s">
        <v>4685</v>
      </c>
      <c r="F1216" t="s">
        <v>4685</v>
      </c>
      <c r="G1216" t="s">
        <v>4685</v>
      </c>
      <c r="H1216" s="2">
        <v>2</v>
      </c>
      <c r="I1216" t="s">
        <v>4685</v>
      </c>
      <c r="J1216" t="str">
        <f t="shared" si="5"/>
        <v>normalweight</v>
      </c>
    </row>
    <row r="1217" spans="1:10" ht="15.75" customHeight="1">
      <c r="A1217" t="s">
        <v>2249</v>
      </c>
      <c r="B1217">
        <v>20.6</v>
      </c>
      <c r="C1217">
        <v>7.62</v>
      </c>
      <c r="D1217" s="6" t="s">
        <v>4684</v>
      </c>
      <c r="E1217" t="s">
        <v>4685</v>
      </c>
      <c r="F1217" t="s">
        <v>4685</v>
      </c>
      <c r="G1217" t="s">
        <v>4685</v>
      </c>
      <c r="H1217" s="2">
        <v>0</v>
      </c>
      <c r="I1217" t="s">
        <v>4685</v>
      </c>
      <c r="J1217" t="str">
        <f t="shared" si="5"/>
        <v>normalweight</v>
      </c>
    </row>
    <row r="1218" spans="1:10" ht="15.75" customHeight="1">
      <c r="A1218" t="s">
        <v>2247</v>
      </c>
      <c r="B1218">
        <v>28.88</v>
      </c>
      <c r="C1218">
        <v>10.18</v>
      </c>
      <c r="D1218" s="6" t="s">
        <v>4684</v>
      </c>
      <c r="E1218" t="s">
        <v>4685</v>
      </c>
      <c r="F1218" t="s">
        <v>4685</v>
      </c>
      <c r="G1218" t="s">
        <v>4685</v>
      </c>
      <c r="H1218" s="2">
        <v>0</v>
      </c>
      <c r="I1218" t="s">
        <v>4685</v>
      </c>
      <c r="J1218" t="str">
        <f t="shared" si="5"/>
        <v>normalweight</v>
      </c>
    </row>
    <row r="1219" spans="1:10" ht="15.75" customHeight="1">
      <c r="A1219" t="s">
        <v>2245</v>
      </c>
      <c r="B1219">
        <v>28.24</v>
      </c>
      <c r="C1219">
        <v>5.36</v>
      </c>
      <c r="E1219" t="s">
        <v>4685</v>
      </c>
      <c r="F1219" t="s">
        <v>4685</v>
      </c>
      <c r="G1219" t="s">
        <v>4685</v>
      </c>
      <c r="H1219" s="2">
        <v>0</v>
      </c>
      <c r="I1219" t="s">
        <v>4685</v>
      </c>
      <c r="J1219" t="str">
        <f t="shared" si="5"/>
        <v>normalweight</v>
      </c>
    </row>
    <row r="1220" spans="1:10" ht="15.75" customHeight="1">
      <c r="A1220" t="s">
        <v>2243</v>
      </c>
      <c r="B1220">
        <v>25.46</v>
      </c>
      <c r="C1220">
        <v>11.78</v>
      </c>
      <c r="D1220" s="6" t="s">
        <v>4684</v>
      </c>
      <c r="E1220" t="s">
        <v>4686</v>
      </c>
      <c r="F1220" t="s">
        <v>4685</v>
      </c>
      <c r="G1220" t="s">
        <v>4685</v>
      </c>
      <c r="H1220" s="2">
        <v>1</v>
      </c>
      <c r="I1220" t="s">
        <v>4685</v>
      </c>
      <c r="J1220" t="str">
        <f t="shared" si="5"/>
        <v>normalweight</v>
      </c>
    </row>
    <row r="1221" spans="1:10" ht="15.75" customHeight="1">
      <c r="A1221" t="s">
        <v>2241</v>
      </c>
      <c r="B1221">
        <v>29.64</v>
      </c>
      <c r="C1221">
        <v>10.82</v>
      </c>
      <c r="D1221" s="6" t="s">
        <v>4684</v>
      </c>
      <c r="E1221" t="s">
        <v>4686</v>
      </c>
      <c r="F1221" t="s">
        <v>4685</v>
      </c>
      <c r="G1221" t="s">
        <v>4685</v>
      </c>
      <c r="H1221" s="2">
        <v>0</v>
      </c>
      <c r="I1221" t="s">
        <v>4685</v>
      </c>
      <c r="J1221" t="str">
        <f t="shared" si="5"/>
        <v>normalweight</v>
      </c>
    </row>
    <row r="1222" spans="1:10" ht="15.75" customHeight="1">
      <c r="A1222" t="s">
        <v>2239</v>
      </c>
      <c r="B1222">
        <v>31.27</v>
      </c>
      <c r="C1222">
        <v>7.73</v>
      </c>
      <c r="D1222" s="6" t="s">
        <v>4684</v>
      </c>
      <c r="E1222" t="s">
        <v>4686</v>
      </c>
      <c r="F1222" t="s">
        <v>4685</v>
      </c>
      <c r="G1222" t="s">
        <v>4685</v>
      </c>
      <c r="H1222" s="2">
        <v>1</v>
      </c>
      <c r="I1222" t="s">
        <v>4685</v>
      </c>
      <c r="J1222" t="str">
        <f t="shared" si="5"/>
        <v>normalweight</v>
      </c>
    </row>
    <row r="1223" spans="1:10" ht="15.75" customHeight="1">
      <c r="A1223" t="s">
        <v>2237</v>
      </c>
      <c r="B1223">
        <v>19.95</v>
      </c>
      <c r="C1223">
        <v>6.24</v>
      </c>
      <c r="D1223" s="6" t="s">
        <v>4684</v>
      </c>
      <c r="E1223" t="s">
        <v>4686</v>
      </c>
      <c r="F1223" t="s">
        <v>4685</v>
      </c>
      <c r="G1223" t="s">
        <v>4685</v>
      </c>
      <c r="H1223" s="2">
        <v>0</v>
      </c>
      <c r="I1223" t="s">
        <v>4685</v>
      </c>
      <c r="J1223" t="str">
        <f t="shared" si="5"/>
        <v>normalweight</v>
      </c>
    </row>
    <row r="1224" spans="1:10" ht="15.75" customHeight="1">
      <c r="A1224" t="s">
        <v>2235</v>
      </c>
      <c r="B1224">
        <v>21.3</v>
      </c>
      <c r="C1224">
        <v>10.42</v>
      </c>
      <c r="D1224" s="6" t="s">
        <v>4684</v>
      </c>
      <c r="E1224" t="s">
        <v>4685</v>
      </c>
      <c r="F1224" t="s">
        <v>4685</v>
      </c>
      <c r="G1224" t="s">
        <v>4685</v>
      </c>
      <c r="H1224" s="2">
        <v>2</v>
      </c>
      <c r="I1224" t="s">
        <v>4685</v>
      </c>
      <c r="J1224" t="str">
        <f t="shared" si="5"/>
        <v>normalweight</v>
      </c>
    </row>
    <row r="1225" spans="1:10" ht="15.75" customHeight="1">
      <c r="A1225" t="s">
        <v>2233</v>
      </c>
      <c r="B1225">
        <v>31.635000000000002</v>
      </c>
      <c r="C1225">
        <v>11.11</v>
      </c>
      <c r="D1225" s="6" t="s">
        <v>4684</v>
      </c>
      <c r="E1225" t="s">
        <v>4685</v>
      </c>
      <c r="F1225" t="s">
        <v>4685</v>
      </c>
      <c r="G1225" t="s">
        <v>4685</v>
      </c>
      <c r="H1225" s="2">
        <v>0</v>
      </c>
      <c r="I1225" t="s">
        <v>4685</v>
      </c>
      <c r="J1225" t="str">
        <f t="shared" si="5"/>
        <v>normalweight</v>
      </c>
    </row>
    <row r="1226" spans="1:10" ht="15.75" customHeight="1">
      <c r="A1226" t="s">
        <v>2231</v>
      </c>
      <c r="B1226">
        <v>23.9</v>
      </c>
      <c r="C1226">
        <v>7.67</v>
      </c>
      <c r="D1226" s="6" t="s">
        <v>4684</v>
      </c>
      <c r="E1226" t="s">
        <v>4686</v>
      </c>
      <c r="F1226" t="s">
        <v>4685</v>
      </c>
      <c r="G1226" t="s">
        <v>4685</v>
      </c>
      <c r="H1226" s="2">
        <v>2</v>
      </c>
      <c r="I1226" t="s">
        <v>4685</v>
      </c>
      <c r="J1226" t="str">
        <f t="shared" si="5"/>
        <v>normalweight</v>
      </c>
    </row>
    <row r="1227" spans="1:10" ht="15.75" customHeight="1">
      <c r="A1227" t="s">
        <v>2229</v>
      </c>
      <c r="B1227">
        <v>34.15</v>
      </c>
      <c r="C1227">
        <v>6.15</v>
      </c>
      <c r="E1227" t="s">
        <v>4685</v>
      </c>
      <c r="F1227" t="s">
        <v>4685</v>
      </c>
      <c r="G1227" t="s">
        <v>4685</v>
      </c>
      <c r="H1227" s="2">
        <v>0</v>
      </c>
      <c r="I1227" t="s">
        <v>4685</v>
      </c>
      <c r="J1227" t="str">
        <f t="shared" si="5"/>
        <v>normalweight</v>
      </c>
    </row>
    <row r="1228" spans="1:10" ht="15.75" customHeight="1">
      <c r="A1228" t="s">
        <v>2227</v>
      </c>
      <c r="B1228">
        <v>28.71</v>
      </c>
      <c r="C1228">
        <v>5.71</v>
      </c>
      <c r="E1228" t="s">
        <v>4685</v>
      </c>
      <c r="F1228" t="s">
        <v>4685</v>
      </c>
      <c r="G1228" t="s">
        <v>4685</v>
      </c>
      <c r="H1228" s="2">
        <v>0</v>
      </c>
      <c r="I1228" t="s">
        <v>4685</v>
      </c>
      <c r="J1228" t="str">
        <f t="shared" si="5"/>
        <v>normalweight</v>
      </c>
    </row>
    <row r="1229" spans="1:10" ht="15.75" customHeight="1">
      <c r="A1229" t="s">
        <v>2225</v>
      </c>
      <c r="B1229">
        <v>36.700000000000003</v>
      </c>
      <c r="C1229">
        <v>8.6999999999999993</v>
      </c>
      <c r="D1229" s="6" t="s">
        <v>4684</v>
      </c>
      <c r="E1229" t="s">
        <v>4686</v>
      </c>
      <c r="F1229" t="s">
        <v>4685</v>
      </c>
      <c r="G1229" t="s">
        <v>4685</v>
      </c>
      <c r="H1229" s="2">
        <v>2</v>
      </c>
      <c r="I1229" t="s">
        <v>4685</v>
      </c>
      <c r="J1229" t="str">
        <f t="shared" si="5"/>
        <v>normalweight</v>
      </c>
    </row>
    <row r="1230" spans="1:10" ht="15.75" customHeight="1">
      <c r="A1230" t="s">
        <v>2223</v>
      </c>
      <c r="B1230">
        <v>34.1</v>
      </c>
      <c r="C1230">
        <v>9.0399999999999991</v>
      </c>
      <c r="D1230" s="6" t="s">
        <v>4684</v>
      </c>
      <c r="E1230" t="s">
        <v>4686</v>
      </c>
      <c r="F1230" t="s">
        <v>4685</v>
      </c>
      <c r="G1230" t="s">
        <v>4685</v>
      </c>
      <c r="H1230" s="2">
        <v>2</v>
      </c>
      <c r="I1230" t="s">
        <v>4685</v>
      </c>
      <c r="J1230" t="str">
        <f t="shared" si="5"/>
        <v>normalweight</v>
      </c>
    </row>
    <row r="1231" spans="1:10" ht="15.75" customHeight="1">
      <c r="A1231" t="s">
        <v>2221</v>
      </c>
      <c r="B1231">
        <v>25.7</v>
      </c>
      <c r="C1231">
        <v>5.61</v>
      </c>
      <c r="E1231" t="s">
        <v>4685</v>
      </c>
      <c r="F1231" t="s">
        <v>4685</v>
      </c>
      <c r="G1231" t="s">
        <v>4685</v>
      </c>
      <c r="H1231" s="2">
        <v>0</v>
      </c>
      <c r="I1231" t="s">
        <v>4685</v>
      </c>
      <c r="J1231" t="str">
        <f t="shared" si="5"/>
        <v>normalweight</v>
      </c>
    </row>
    <row r="1232" spans="1:10" ht="15.75" customHeight="1">
      <c r="A1232" t="s">
        <v>2219</v>
      </c>
      <c r="B1232">
        <v>21.68</v>
      </c>
      <c r="C1232">
        <v>8.1199999999999992</v>
      </c>
      <c r="D1232" s="6" t="s">
        <v>4684</v>
      </c>
      <c r="E1232" t="s">
        <v>4685</v>
      </c>
      <c r="F1232" t="s">
        <v>4685</v>
      </c>
      <c r="G1232" t="s">
        <v>4685</v>
      </c>
      <c r="H1232" s="2">
        <v>0</v>
      </c>
      <c r="I1232" t="s">
        <v>4685</v>
      </c>
      <c r="J1232" t="str">
        <f t="shared" si="5"/>
        <v>normalweight</v>
      </c>
    </row>
    <row r="1233" spans="1:10" ht="15.75" customHeight="1">
      <c r="A1233" t="s">
        <v>2217</v>
      </c>
      <c r="B1233">
        <v>25.175000000000001</v>
      </c>
      <c r="C1233">
        <v>4.74</v>
      </c>
      <c r="E1233" t="s">
        <v>4685</v>
      </c>
      <c r="F1233" t="s">
        <v>4685</v>
      </c>
      <c r="G1233" t="s">
        <v>4685</v>
      </c>
      <c r="H1233" s="2">
        <v>0</v>
      </c>
      <c r="I1233" t="s">
        <v>4685</v>
      </c>
      <c r="J1233" t="str">
        <f t="shared" si="5"/>
        <v>normalweight</v>
      </c>
    </row>
    <row r="1234" spans="1:10" ht="15.75" customHeight="1">
      <c r="A1234" t="s">
        <v>2215</v>
      </c>
      <c r="B1234">
        <v>44.77</v>
      </c>
      <c r="C1234">
        <v>4.0599999999999996</v>
      </c>
      <c r="E1234" t="s">
        <v>4685</v>
      </c>
      <c r="F1234" t="s">
        <v>4685</v>
      </c>
      <c r="G1234" t="s">
        <v>4685</v>
      </c>
      <c r="H1234" s="2">
        <v>2</v>
      </c>
      <c r="I1234" t="s">
        <v>4685</v>
      </c>
      <c r="J1234" t="str">
        <f t="shared" si="5"/>
        <v>normalweight</v>
      </c>
    </row>
    <row r="1235" spans="1:10" ht="15.75" customHeight="1">
      <c r="A1235" t="s">
        <v>2213</v>
      </c>
      <c r="B1235">
        <v>37.07</v>
      </c>
      <c r="C1235">
        <v>5.69</v>
      </c>
      <c r="E1235" t="s">
        <v>4685</v>
      </c>
      <c r="F1235" t="s">
        <v>4685</v>
      </c>
      <c r="G1235" t="s">
        <v>4685</v>
      </c>
      <c r="H1235" s="2">
        <v>2</v>
      </c>
      <c r="I1235" t="s">
        <v>4685</v>
      </c>
      <c r="J1235" t="str">
        <f t="shared" si="5"/>
        <v>normalweight</v>
      </c>
    </row>
    <row r="1236" spans="1:10" ht="15.75" customHeight="1">
      <c r="A1236" t="s">
        <v>2211</v>
      </c>
      <c r="B1236">
        <v>39.799999999999997</v>
      </c>
      <c r="C1236">
        <v>5.66</v>
      </c>
      <c r="E1236" t="s">
        <v>4685</v>
      </c>
      <c r="F1236" t="s">
        <v>4685</v>
      </c>
      <c r="G1236" t="s">
        <v>4688</v>
      </c>
      <c r="H1236" s="2">
        <v>1</v>
      </c>
      <c r="I1236" t="s">
        <v>4685</v>
      </c>
      <c r="J1236" t="str">
        <f t="shared" si="5"/>
        <v>normalweight</v>
      </c>
    </row>
    <row r="1237" spans="1:10" ht="15.75" customHeight="1">
      <c r="A1237" t="s">
        <v>2209</v>
      </c>
      <c r="B1237">
        <v>26.36</v>
      </c>
      <c r="C1237">
        <v>4.32</v>
      </c>
      <c r="E1237" t="s">
        <v>4685</v>
      </c>
      <c r="F1237" t="s">
        <v>4685</v>
      </c>
      <c r="G1237" t="s">
        <v>4688</v>
      </c>
      <c r="H1237" s="2">
        <v>1</v>
      </c>
      <c r="I1237" t="s">
        <v>4685</v>
      </c>
      <c r="J1237" t="str">
        <f t="shared" si="5"/>
        <v>normalweight</v>
      </c>
    </row>
    <row r="1238" spans="1:10" ht="15.75" customHeight="1">
      <c r="A1238" t="s">
        <v>2207</v>
      </c>
      <c r="B1238">
        <v>29.925000000000001</v>
      </c>
      <c r="C1238">
        <v>8.2899999999999991</v>
      </c>
      <c r="D1238" s="6" t="s">
        <v>4684</v>
      </c>
      <c r="E1238" t="s">
        <v>4685</v>
      </c>
      <c r="F1238" t="s">
        <v>4685</v>
      </c>
      <c r="G1238" t="s">
        <v>4685</v>
      </c>
      <c r="H1238" s="2">
        <v>2</v>
      </c>
      <c r="I1238" t="s">
        <v>4685</v>
      </c>
      <c r="J1238" t="str">
        <f t="shared" si="5"/>
        <v>normalweight</v>
      </c>
    </row>
    <row r="1239" spans="1:10" ht="15.75" customHeight="1">
      <c r="A1239" t="s">
        <v>2205</v>
      </c>
      <c r="B1239">
        <v>37.29</v>
      </c>
      <c r="C1239">
        <v>10.46</v>
      </c>
      <c r="D1239" s="6" t="s">
        <v>4684</v>
      </c>
      <c r="E1239" t="s">
        <v>4685</v>
      </c>
      <c r="F1239" t="s">
        <v>4685</v>
      </c>
      <c r="G1239" t="s">
        <v>4685</v>
      </c>
      <c r="H1239" s="2">
        <v>0</v>
      </c>
      <c r="I1239" t="s">
        <v>4685</v>
      </c>
      <c r="J1239" t="str">
        <f t="shared" si="5"/>
        <v>normalweight</v>
      </c>
    </row>
    <row r="1240" spans="1:10" ht="15.75" customHeight="1">
      <c r="A1240" t="s">
        <v>2203</v>
      </c>
      <c r="B1240">
        <v>30.2</v>
      </c>
      <c r="C1240">
        <v>11.96</v>
      </c>
      <c r="D1240" s="6" t="s">
        <v>4684</v>
      </c>
      <c r="E1240" t="s">
        <v>4685</v>
      </c>
      <c r="F1240" t="s">
        <v>4685</v>
      </c>
      <c r="G1240" t="s">
        <v>4685</v>
      </c>
      <c r="H1240" s="2">
        <v>0</v>
      </c>
      <c r="I1240" t="s">
        <v>4685</v>
      </c>
      <c r="J1240" t="str">
        <f t="shared" si="5"/>
        <v>normalweight</v>
      </c>
    </row>
    <row r="1241" spans="1:10" ht="15.75" customHeight="1">
      <c r="A1241" t="s">
        <v>2201</v>
      </c>
      <c r="B1241">
        <v>24.225000000000001</v>
      </c>
      <c r="C1241">
        <v>4.25</v>
      </c>
      <c r="E1241" t="s">
        <v>4686</v>
      </c>
      <c r="F1241" t="s">
        <v>4685</v>
      </c>
      <c r="G1241" t="s">
        <v>4688</v>
      </c>
      <c r="H1241" s="2">
        <v>1</v>
      </c>
      <c r="I1241" t="s">
        <v>4685</v>
      </c>
      <c r="J1241" t="str">
        <f t="shared" si="5"/>
        <v>normalweight</v>
      </c>
    </row>
    <row r="1242" spans="1:10" ht="15.75" customHeight="1">
      <c r="A1242" t="s">
        <v>2199</v>
      </c>
      <c r="B1242">
        <v>31.445</v>
      </c>
      <c r="C1242">
        <v>8.33</v>
      </c>
      <c r="D1242" s="6" t="s">
        <v>4684</v>
      </c>
      <c r="E1242" t="s">
        <v>4685</v>
      </c>
      <c r="F1242" t="s">
        <v>4685</v>
      </c>
      <c r="G1242" t="s">
        <v>4685</v>
      </c>
      <c r="H1242" s="2">
        <v>0</v>
      </c>
      <c r="I1242" t="s">
        <v>4685</v>
      </c>
      <c r="J1242" t="str">
        <f t="shared" si="5"/>
        <v>normalweight</v>
      </c>
    </row>
    <row r="1243" spans="1:10" ht="15.75" customHeight="1">
      <c r="A1243" t="s">
        <v>2197</v>
      </c>
      <c r="B1243">
        <v>38.880000000000003</v>
      </c>
      <c r="C1243">
        <v>4.29</v>
      </c>
      <c r="E1243" t="s">
        <v>4685</v>
      </c>
      <c r="F1243" t="s">
        <v>4685</v>
      </c>
      <c r="G1243" t="s">
        <v>4685</v>
      </c>
      <c r="H1243" s="2">
        <v>1</v>
      </c>
      <c r="I1243" t="s">
        <v>4685</v>
      </c>
      <c r="J1243" t="str">
        <f t="shared" si="5"/>
        <v>normalweight</v>
      </c>
    </row>
    <row r="1244" spans="1:10" ht="15.75" customHeight="1">
      <c r="A1244" t="s">
        <v>2195</v>
      </c>
      <c r="B1244">
        <v>43.89</v>
      </c>
      <c r="C1244">
        <v>6.32</v>
      </c>
      <c r="E1244" t="s">
        <v>4686</v>
      </c>
      <c r="F1244" t="s">
        <v>4685</v>
      </c>
      <c r="G1244" t="s">
        <v>4685</v>
      </c>
      <c r="H1244" s="2">
        <v>0</v>
      </c>
      <c r="I1244" t="s">
        <v>4685</v>
      </c>
      <c r="J1244" t="str">
        <f t="shared" si="5"/>
        <v>normalweight</v>
      </c>
    </row>
    <row r="1245" spans="1:10" ht="15.75" customHeight="1">
      <c r="A1245" t="s">
        <v>2193</v>
      </c>
      <c r="B1245">
        <v>25.6</v>
      </c>
      <c r="C1245">
        <v>5.65</v>
      </c>
      <c r="E1245" t="s">
        <v>4685</v>
      </c>
      <c r="F1245" t="s">
        <v>4685</v>
      </c>
      <c r="G1245" t="s">
        <v>4685</v>
      </c>
      <c r="H1245" s="2">
        <v>2</v>
      </c>
      <c r="I1245" t="s">
        <v>4685</v>
      </c>
      <c r="J1245" t="str">
        <f t="shared" si="5"/>
        <v>normalweight</v>
      </c>
    </row>
    <row r="1246" spans="1:10" ht="15.75" customHeight="1">
      <c r="A1246" t="s">
        <v>2191</v>
      </c>
      <c r="B1246">
        <v>29.545000000000002</v>
      </c>
      <c r="C1246">
        <v>8.41</v>
      </c>
      <c r="D1246" s="6" t="s">
        <v>4684</v>
      </c>
      <c r="E1246" t="s">
        <v>4686</v>
      </c>
      <c r="F1246" t="s">
        <v>4685</v>
      </c>
      <c r="G1246" t="s">
        <v>4685</v>
      </c>
      <c r="H1246" s="2">
        <v>1</v>
      </c>
      <c r="I1246" t="s">
        <v>4685</v>
      </c>
      <c r="J1246" t="str">
        <f t="shared" si="5"/>
        <v>normalweight</v>
      </c>
    </row>
    <row r="1247" spans="1:10" ht="15.75" customHeight="1">
      <c r="A1247" t="s">
        <v>2189</v>
      </c>
      <c r="B1247">
        <v>23.25</v>
      </c>
      <c r="C1247">
        <v>11.96</v>
      </c>
      <c r="D1247" s="6" t="s">
        <v>4684</v>
      </c>
      <c r="E1247" t="s">
        <v>4686</v>
      </c>
      <c r="F1247" t="s">
        <v>4685</v>
      </c>
      <c r="G1247" t="s">
        <v>4685</v>
      </c>
      <c r="H1247" s="2">
        <v>0</v>
      </c>
      <c r="I1247" t="s">
        <v>4685</v>
      </c>
      <c r="J1247" t="str">
        <f t="shared" si="5"/>
        <v>normalweight</v>
      </c>
    </row>
    <row r="1248" spans="1:10" ht="15.75" customHeight="1">
      <c r="A1248" t="s">
        <v>2187</v>
      </c>
      <c r="B1248">
        <v>43.95</v>
      </c>
      <c r="C1248">
        <v>5.17</v>
      </c>
      <c r="E1248" t="s">
        <v>4686</v>
      </c>
      <c r="F1248" t="s">
        <v>4685</v>
      </c>
      <c r="G1248" t="s">
        <v>4688</v>
      </c>
      <c r="H1248" s="2">
        <v>1</v>
      </c>
      <c r="I1248" t="s">
        <v>4685</v>
      </c>
      <c r="J1248" t="str">
        <f t="shared" si="5"/>
        <v>normalweight</v>
      </c>
    </row>
    <row r="1249" spans="1:10" ht="15.75" customHeight="1">
      <c r="A1249" t="s">
        <v>2185</v>
      </c>
      <c r="B1249">
        <v>21.85</v>
      </c>
      <c r="C1249">
        <v>8.76</v>
      </c>
      <c r="D1249" s="6" t="s">
        <v>4684</v>
      </c>
      <c r="E1249" t="s">
        <v>4685</v>
      </c>
      <c r="F1249" t="s">
        <v>4685</v>
      </c>
      <c r="G1249" t="s">
        <v>4685</v>
      </c>
      <c r="H1249" s="2">
        <v>0</v>
      </c>
      <c r="I1249" t="s">
        <v>4685</v>
      </c>
      <c r="J1249" t="str">
        <f t="shared" si="5"/>
        <v>normalweight</v>
      </c>
    </row>
    <row r="1250" spans="1:10" ht="15.75" customHeight="1">
      <c r="A1250" t="s">
        <v>2183</v>
      </c>
      <c r="B1250">
        <v>25.73</v>
      </c>
      <c r="C1250">
        <v>7.99</v>
      </c>
      <c r="D1250" s="6" t="s">
        <v>4684</v>
      </c>
      <c r="E1250" t="s">
        <v>4685</v>
      </c>
      <c r="F1250" t="s">
        <v>4685</v>
      </c>
      <c r="G1250" t="s">
        <v>4685</v>
      </c>
      <c r="H1250" s="2">
        <v>2</v>
      </c>
      <c r="I1250" t="s">
        <v>4685</v>
      </c>
      <c r="J1250" t="str">
        <f t="shared" si="5"/>
        <v>normalweight</v>
      </c>
    </row>
    <row r="1251" spans="1:10" ht="15.75" customHeight="1">
      <c r="A1251" t="s">
        <v>2181</v>
      </c>
      <c r="B1251">
        <v>32.229999999999997</v>
      </c>
      <c r="C1251">
        <v>8.59</v>
      </c>
      <c r="D1251" s="6" t="s">
        <v>4684</v>
      </c>
      <c r="E1251" t="s">
        <v>4685</v>
      </c>
      <c r="F1251" t="s">
        <v>4685</v>
      </c>
      <c r="G1251" t="s">
        <v>4685</v>
      </c>
      <c r="H1251" s="2">
        <v>0</v>
      </c>
      <c r="I1251" t="s">
        <v>4685</v>
      </c>
      <c r="J1251" t="str">
        <f t="shared" si="5"/>
        <v>normalweight</v>
      </c>
    </row>
    <row r="1252" spans="1:10" ht="15.75" customHeight="1">
      <c r="A1252" t="s">
        <v>2179</v>
      </c>
      <c r="B1252">
        <v>32.204999999999998</v>
      </c>
      <c r="C1252">
        <v>6.14</v>
      </c>
      <c r="E1252" t="s">
        <v>4685</v>
      </c>
      <c r="F1252" t="s">
        <v>4685</v>
      </c>
      <c r="G1252" t="s">
        <v>4685</v>
      </c>
      <c r="H1252" s="2">
        <v>2</v>
      </c>
      <c r="I1252" t="s">
        <v>4685</v>
      </c>
      <c r="J1252" t="str">
        <f t="shared" si="5"/>
        <v>normalweight</v>
      </c>
    </row>
    <row r="1253" spans="1:10" ht="15.75" customHeight="1">
      <c r="A1253" t="s">
        <v>2177</v>
      </c>
      <c r="B1253">
        <v>26.41</v>
      </c>
      <c r="C1253">
        <v>4.08</v>
      </c>
      <c r="E1253" t="s">
        <v>4685</v>
      </c>
      <c r="F1253" t="s">
        <v>4685</v>
      </c>
      <c r="G1253" t="s">
        <v>4685</v>
      </c>
      <c r="H1253" s="2">
        <v>2</v>
      </c>
      <c r="I1253" t="s">
        <v>4685</v>
      </c>
      <c r="J1253" t="str">
        <f t="shared" si="5"/>
        <v>normalweight</v>
      </c>
    </row>
    <row r="1254" spans="1:10" ht="15.75" customHeight="1">
      <c r="A1254" t="s">
        <v>2175</v>
      </c>
      <c r="B1254">
        <v>30.2</v>
      </c>
      <c r="C1254">
        <v>6.25</v>
      </c>
      <c r="E1254" t="s">
        <v>4686</v>
      </c>
      <c r="F1254" t="s">
        <v>4685</v>
      </c>
      <c r="G1254" t="s">
        <v>4685</v>
      </c>
      <c r="H1254" s="2">
        <v>0</v>
      </c>
      <c r="I1254" t="s">
        <v>4685</v>
      </c>
      <c r="J1254" t="str">
        <f t="shared" si="5"/>
        <v>normalweight</v>
      </c>
    </row>
    <row r="1255" spans="1:10" ht="15.75" customHeight="1">
      <c r="A1255" t="s">
        <v>2173</v>
      </c>
      <c r="B1255">
        <v>31.26</v>
      </c>
      <c r="C1255">
        <v>5.94</v>
      </c>
      <c r="E1255" t="s">
        <v>4686</v>
      </c>
      <c r="F1255" t="s">
        <v>4685</v>
      </c>
      <c r="G1255" t="s">
        <v>4685</v>
      </c>
      <c r="H1255" s="2">
        <v>1</v>
      </c>
      <c r="I1255" t="s">
        <v>4685</v>
      </c>
      <c r="J1255" t="str">
        <f t="shared" si="5"/>
        <v>normalweight</v>
      </c>
    </row>
    <row r="1256" spans="1:10" ht="15.75" customHeight="1">
      <c r="A1256" t="s">
        <v>2171</v>
      </c>
      <c r="B1256">
        <v>33.725000000000001</v>
      </c>
      <c r="C1256">
        <v>6.45</v>
      </c>
      <c r="E1256" t="s">
        <v>4686</v>
      </c>
      <c r="F1256" t="s">
        <v>4685</v>
      </c>
      <c r="G1256" t="s">
        <v>4685</v>
      </c>
      <c r="H1256" s="2">
        <v>0</v>
      </c>
      <c r="I1256" t="s">
        <v>4685</v>
      </c>
      <c r="J1256" t="str">
        <f t="shared" si="5"/>
        <v>normalweight</v>
      </c>
    </row>
    <row r="1257" spans="1:10" ht="15.75" customHeight="1">
      <c r="A1257" t="s">
        <v>2169</v>
      </c>
      <c r="B1257">
        <v>28.9</v>
      </c>
      <c r="C1257">
        <v>5.74</v>
      </c>
      <c r="E1257" t="s">
        <v>4686</v>
      </c>
      <c r="F1257" t="s">
        <v>4685</v>
      </c>
      <c r="G1257" t="s">
        <v>4685</v>
      </c>
      <c r="H1257" s="2">
        <v>0</v>
      </c>
      <c r="I1257" t="s">
        <v>4685</v>
      </c>
      <c r="J1257" t="str">
        <f t="shared" si="5"/>
        <v>normalweight</v>
      </c>
    </row>
    <row r="1258" spans="1:10" ht="15.75" customHeight="1">
      <c r="A1258" t="s">
        <v>2167</v>
      </c>
      <c r="B1258">
        <v>45.69</v>
      </c>
      <c r="C1258">
        <v>4.43</v>
      </c>
      <c r="E1258" t="s">
        <v>4686</v>
      </c>
      <c r="F1258" t="s">
        <v>4685</v>
      </c>
      <c r="G1258" t="s">
        <v>4685</v>
      </c>
      <c r="H1258" s="2">
        <v>0</v>
      </c>
      <c r="I1258" t="s">
        <v>4685</v>
      </c>
      <c r="J1258" t="str">
        <f t="shared" si="5"/>
        <v>normalweight</v>
      </c>
    </row>
    <row r="1259" spans="1:10" ht="15.75" customHeight="1">
      <c r="A1259" t="s">
        <v>2165</v>
      </c>
      <c r="B1259">
        <v>21.03</v>
      </c>
      <c r="C1259">
        <v>6.5</v>
      </c>
      <c r="E1259" t="s">
        <v>4685</v>
      </c>
      <c r="F1259" t="s">
        <v>4685</v>
      </c>
      <c r="G1259" t="s">
        <v>4685</v>
      </c>
      <c r="H1259" s="2">
        <v>0</v>
      </c>
      <c r="I1259" t="s">
        <v>4685</v>
      </c>
      <c r="J1259" t="str">
        <f t="shared" si="5"/>
        <v>normalweight</v>
      </c>
    </row>
    <row r="1260" spans="1:10" ht="15.75" customHeight="1">
      <c r="A1260" t="s">
        <v>2163</v>
      </c>
      <c r="B1260">
        <v>37</v>
      </c>
      <c r="C1260">
        <v>8.75</v>
      </c>
      <c r="D1260" s="6" t="s">
        <v>4684</v>
      </c>
      <c r="E1260" t="s">
        <v>4685</v>
      </c>
      <c r="F1260" t="s">
        <v>4685</v>
      </c>
      <c r="G1260" t="s">
        <v>4685</v>
      </c>
      <c r="H1260" s="2">
        <v>0</v>
      </c>
      <c r="I1260" t="s">
        <v>4685</v>
      </c>
      <c r="J1260" t="str">
        <f t="shared" si="5"/>
        <v>normalweight</v>
      </c>
    </row>
    <row r="1261" spans="1:10" ht="15.75" customHeight="1">
      <c r="A1261" t="s">
        <v>2161</v>
      </c>
      <c r="B1261">
        <v>25.4</v>
      </c>
      <c r="C1261">
        <v>11.96</v>
      </c>
      <c r="D1261" s="6" t="s">
        <v>4684</v>
      </c>
      <c r="E1261" t="s">
        <v>4685</v>
      </c>
      <c r="F1261" t="s">
        <v>4685</v>
      </c>
      <c r="G1261" t="s">
        <v>4685</v>
      </c>
      <c r="H1261" s="2">
        <v>0</v>
      </c>
      <c r="I1261" t="s">
        <v>4685</v>
      </c>
      <c r="J1261" t="str">
        <f t="shared" si="5"/>
        <v>normalweight</v>
      </c>
    </row>
    <row r="1262" spans="1:10" ht="15.75" customHeight="1">
      <c r="A1262" t="s">
        <v>2159</v>
      </c>
      <c r="B1262">
        <v>32.299999999999997</v>
      </c>
      <c r="C1262">
        <v>10.54</v>
      </c>
      <c r="D1262" s="6" t="s">
        <v>4684</v>
      </c>
      <c r="E1262" t="s">
        <v>4685</v>
      </c>
      <c r="F1262" t="s">
        <v>4685</v>
      </c>
      <c r="G1262" t="s">
        <v>4685</v>
      </c>
      <c r="H1262" s="2">
        <v>0</v>
      </c>
      <c r="I1262" t="s">
        <v>4685</v>
      </c>
      <c r="J1262" t="str">
        <f t="shared" si="5"/>
        <v>normalweight</v>
      </c>
    </row>
    <row r="1263" spans="1:10" ht="15.75" customHeight="1">
      <c r="A1263" t="s">
        <v>2157</v>
      </c>
      <c r="B1263">
        <v>23.94</v>
      </c>
      <c r="C1263">
        <v>4.54</v>
      </c>
      <c r="E1263" t="s">
        <v>4686</v>
      </c>
      <c r="F1263" t="s">
        <v>4685</v>
      </c>
      <c r="G1263" t="s">
        <v>4688</v>
      </c>
      <c r="H1263" s="2">
        <v>1</v>
      </c>
      <c r="I1263" t="s">
        <v>4685</v>
      </c>
      <c r="J1263" t="str">
        <f t="shared" si="5"/>
        <v>normalweight</v>
      </c>
    </row>
    <row r="1264" spans="1:10" ht="15.75" customHeight="1">
      <c r="A1264" t="s">
        <v>2155</v>
      </c>
      <c r="B1264">
        <v>46.4</v>
      </c>
      <c r="C1264">
        <v>5.71</v>
      </c>
      <c r="E1264" t="s">
        <v>4685</v>
      </c>
      <c r="F1264" t="s">
        <v>4685</v>
      </c>
      <c r="G1264" t="s">
        <v>4685</v>
      </c>
      <c r="H1264" s="2">
        <v>0</v>
      </c>
      <c r="I1264" t="s">
        <v>4685</v>
      </c>
      <c r="J1264" t="str">
        <f t="shared" si="5"/>
        <v>normalweight</v>
      </c>
    </row>
    <row r="1265" spans="1:10" ht="15.75" customHeight="1">
      <c r="A1265" t="s">
        <v>2153</v>
      </c>
      <c r="B1265">
        <v>40.375</v>
      </c>
      <c r="C1265">
        <v>6.25</v>
      </c>
      <c r="E1265" t="s">
        <v>4686</v>
      </c>
      <c r="F1265" t="s">
        <v>4685</v>
      </c>
      <c r="G1265" t="s">
        <v>4685</v>
      </c>
      <c r="H1265" s="2">
        <v>0</v>
      </c>
      <c r="I1265" t="s">
        <v>4685</v>
      </c>
      <c r="J1265" t="str">
        <f t="shared" si="5"/>
        <v>normalweight</v>
      </c>
    </row>
    <row r="1266" spans="1:10" ht="15.75" customHeight="1">
      <c r="A1266" t="s">
        <v>2151</v>
      </c>
      <c r="B1266">
        <v>28.7</v>
      </c>
      <c r="C1266">
        <v>9.4700000000000006</v>
      </c>
      <c r="D1266" s="6" t="s">
        <v>4684</v>
      </c>
      <c r="E1266" t="s">
        <v>4685</v>
      </c>
      <c r="F1266" t="s">
        <v>4685</v>
      </c>
      <c r="G1266" t="s">
        <v>4685</v>
      </c>
      <c r="H1266" s="2">
        <v>2</v>
      </c>
      <c r="I1266" t="s">
        <v>4685</v>
      </c>
      <c r="J1266" t="str">
        <f t="shared" si="5"/>
        <v>normalweight</v>
      </c>
    </row>
    <row r="1267" spans="1:10" ht="15.75" customHeight="1">
      <c r="A1267" t="s">
        <v>2149</v>
      </c>
      <c r="B1267">
        <v>26.63</v>
      </c>
      <c r="C1267">
        <v>5.7</v>
      </c>
      <c r="E1267" t="s">
        <v>4685</v>
      </c>
      <c r="F1267" t="s">
        <v>4685</v>
      </c>
      <c r="G1267" t="s">
        <v>4685</v>
      </c>
      <c r="H1267" s="2">
        <v>0</v>
      </c>
      <c r="I1267" t="s">
        <v>4685</v>
      </c>
      <c r="J1267" t="str">
        <f t="shared" si="5"/>
        <v>normalweight</v>
      </c>
    </row>
    <row r="1268" spans="1:10" ht="15.75" customHeight="1">
      <c r="A1268" t="s">
        <v>2147</v>
      </c>
      <c r="B1268">
        <v>22.515000000000001</v>
      </c>
      <c r="C1268">
        <v>11.18</v>
      </c>
      <c r="D1268" s="6" t="s">
        <v>4684</v>
      </c>
      <c r="E1268" t="s">
        <v>4685</v>
      </c>
      <c r="F1268" t="s">
        <v>4685</v>
      </c>
      <c r="G1268" t="s">
        <v>4685</v>
      </c>
      <c r="H1268" s="2">
        <v>2</v>
      </c>
      <c r="I1268" t="s">
        <v>4685</v>
      </c>
      <c r="J1268" t="str">
        <f t="shared" si="5"/>
        <v>normalweight</v>
      </c>
    </row>
    <row r="1269" spans="1:10" ht="15.75" customHeight="1">
      <c r="A1269" t="s">
        <v>2145</v>
      </c>
      <c r="B1269">
        <v>36.575000000000003</v>
      </c>
      <c r="C1269">
        <v>10.98</v>
      </c>
      <c r="D1269" s="6" t="s">
        <v>4684</v>
      </c>
      <c r="E1269" t="s">
        <v>4685</v>
      </c>
      <c r="F1269" t="s">
        <v>4685</v>
      </c>
      <c r="G1269" t="s">
        <v>4685</v>
      </c>
      <c r="H1269" s="2">
        <v>0</v>
      </c>
      <c r="I1269" t="s">
        <v>4685</v>
      </c>
      <c r="J1269" t="str">
        <f t="shared" si="5"/>
        <v>normalweight</v>
      </c>
    </row>
    <row r="1270" spans="1:10" ht="15.75" customHeight="1">
      <c r="A1270" t="s">
        <v>2143</v>
      </c>
      <c r="B1270">
        <v>23.66</v>
      </c>
      <c r="C1270">
        <v>5.1100000000000003</v>
      </c>
      <c r="E1270" t="s">
        <v>4686</v>
      </c>
      <c r="F1270" t="s">
        <v>4685</v>
      </c>
      <c r="G1270" t="s">
        <v>4688</v>
      </c>
      <c r="H1270" s="2">
        <v>1</v>
      </c>
      <c r="I1270" t="s">
        <v>4685</v>
      </c>
      <c r="J1270" t="str">
        <f t="shared" si="5"/>
        <v>normalweight</v>
      </c>
    </row>
    <row r="1271" spans="1:10" ht="15.75" customHeight="1">
      <c r="A1271" t="s">
        <v>2141</v>
      </c>
      <c r="B1271">
        <v>18.62</v>
      </c>
      <c r="C1271">
        <v>10.24</v>
      </c>
      <c r="D1271" s="6" t="s">
        <v>4684</v>
      </c>
      <c r="E1271" t="s">
        <v>4685</v>
      </c>
      <c r="F1271" t="s">
        <v>4685</v>
      </c>
      <c r="G1271" t="s">
        <v>4685</v>
      </c>
      <c r="H1271" s="2">
        <v>0</v>
      </c>
      <c r="I1271" t="s">
        <v>4685</v>
      </c>
      <c r="J1271" t="str">
        <f t="shared" si="5"/>
        <v>normalweight</v>
      </c>
    </row>
    <row r="1272" spans="1:10" ht="15.75" customHeight="1">
      <c r="A1272" t="s">
        <v>2139</v>
      </c>
      <c r="B1272">
        <v>19.190000000000001</v>
      </c>
      <c r="C1272">
        <v>7.71</v>
      </c>
      <c r="D1272" s="6" t="s">
        <v>4684</v>
      </c>
      <c r="E1272" t="s">
        <v>4686</v>
      </c>
      <c r="F1272" t="s">
        <v>4685</v>
      </c>
      <c r="G1272" t="s">
        <v>4685</v>
      </c>
      <c r="H1272" s="2">
        <v>1</v>
      </c>
      <c r="I1272" t="s">
        <v>4685</v>
      </c>
      <c r="J1272" t="str">
        <f t="shared" si="5"/>
        <v>normalweight</v>
      </c>
    </row>
    <row r="1273" spans="1:10" ht="15.75" customHeight="1">
      <c r="A1273" t="s">
        <v>2137</v>
      </c>
      <c r="B1273">
        <v>27.5</v>
      </c>
      <c r="C1273">
        <v>6.03</v>
      </c>
      <c r="E1273" t="s">
        <v>4685</v>
      </c>
      <c r="F1273" t="s">
        <v>4685</v>
      </c>
      <c r="G1273" t="s">
        <v>4685</v>
      </c>
      <c r="H1273" s="2">
        <v>0</v>
      </c>
      <c r="I1273" t="s">
        <v>4685</v>
      </c>
      <c r="J1273" t="str">
        <f t="shared" si="5"/>
        <v>normalweight</v>
      </c>
    </row>
    <row r="1274" spans="1:10" ht="15.75" customHeight="1">
      <c r="A1274" t="s">
        <v>2135</v>
      </c>
      <c r="B1274">
        <v>27.36</v>
      </c>
      <c r="C1274">
        <v>5.96</v>
      </c>
      <c r="E1274" t="s">
        <v>4685</v>
      </c>
      <c r="F1274" t="s">
        <v>4685</v>
      </c>
      <c r="G1274" t="s">
        <v>4688</v>
      </c>
      <c r="H1274" s="2">
        <v>1</v>
      </c>
      <c r="I1274" t="s">
        <v>4685</v>
      </c>
      <c r="J1274" t="str">
        <f t="shared" si="5"/>
        <v>normalweight</v>
      </c>
    </row>
    <row r="1275" spans="1:10" ht="15.75" customHeight="1">
      <c r="A1275" t="s">
        <v>2133</v>
      </c>
      <c r="B1275">
        <v>20.350000000000001</v>
      </c>
      <c r="C1275">
        <v>4.16</v>
      </c>
      <c r="E1275" t="s">
        <v>4685</v>
      </c>
      <c r="F1275" t="s">
        <v>4685</v>
      </c>
      <c r="G1275" t="s">
        <v>4685</v>
      </c>
      <c r="H1275" s="2">
        <v>0</v>
      </c>
      <c r="I1275" t="s">
        <v>4685</v>
      </c>
      <c r="J1275" t="str">
        <f t="shared" si="5"/>
        <v>normalweight</v>
      </c>
    </row>
    <row r="1276" spans="1:10" ht="15.75" customHeight="1">
      <c r="A1276" t="s">
        <v>2131</v>
      </c>
      <c r="B1276">
        <v>24.035</v>
      </c>
      <c r="C1276">
        <v>6.11</v>
      </c>
      <c r="E1276" t="s">
        <v>4685</v>
      </c>
      <c r="F1276" t="s">
        <v>4685</v>
      </c>
      <c r="G1276" t="s">
        <v>4685</v>
      </c>
      <c r="H1276" s="2">
        <v>0</v>
      </c>
      <c r="I1276" t="s">
        <v>4685</v>
      </c>
      <c r="J1276" t="str">
        <f t="shared" si="5"/>
        <v>normalweight</v>
      </c>
    </row>
    <row r="1277" spans="1:10" ht="15.75" customHeight="1">
      <c r="A1277" t="s">
        <v>2129</v>
      </c>
      <c r="B1277">
        <v>23.56</v>
      </c>
      <c r="C1277">
        <v>5.97</v>
      </c>
      <c r="E1277" t="s">
        <v>4685</v>
      </c>
      <c r="F1277" t="s">
        <v>4685</v>
      </c>
      <c r="G1277" t="s">
        <v>4685</v>
      </c>
      <c r="H1277" s="2">
        <v>0</v>
      </c>
      <c r="I1277" t="s">
        <v>4685</v>
      </c>
      <c r="J1277" t="str">
        <f t="shared" si="5"/>
        <v>normalweight</v>
      </c>
    </row>
    <row r="1278" spans="1:10" ht="15.75" customHeight="1">
      <c r="A1278" t="s">
        <v>2127</v>
      </c>
      <c r="B1278">
        <v>27.17</v>
      </c>
      <c r="C1278">
        <v>10.81</v>
      </c>
      <c r="D1278" s="6" t="s">
        <v>4684</v>
      </c>
      <c r="E1278" t="s">
        <v>4685</v>
      </c>
      <c r="F1278" t="s">
        <v>4685</v>
      </c>
      <c r="G1278" t="s">
        <v>4685</v>
      </c>
      <c r="H1278" s="2">
        <v>2</v>
      </c>
      <c r="I1278" t="s">
        <v>4685</v>
      </c>
      <c r="J1278" t="str">
        <f t="shared" si="5"/>
        <v>normalweight</v>
      </c>
    </row>
    <row r="1279" spans="1:10" ht="15.75" customHeight="1">
      <c r="A1279" t="s">
        <v>2125</v>
      </c>
      <c r="B1279">
        <v>34.32</v>
      </c>
      <c r="C1279">
        <v>5.7</v>
      </c>
      <c r="E1279" t="s">
        <v>4686</v>
      </c>
      <c r="F1279" t="s">
        <v>4685</v>
      </c>
      <c r="G1279" t="s">
        <v>4688</v>
      </c>
      <c r="H1279" s="2">
        <v>1</v>
      </c>
      <c r="I1279" t="s">
        <v>4685</v>
      </c>
      <c r="J1279" t="str">
        <f t="shared" si="5"/>
        <v>normalweight</v>
      </c>
    </row>
    <row r="1280" spans="1:10" ht="15.75" customHeight="1">
      <c r="A1280" t="s">
        <v>2123</v>
      </c>
      <c r="B1280">
        <v>23.87</v>
      </c>
      <c r="C1280">
        <v>4.7699999999999996</v>
      </c>
      <c r="E1280" t="s">
        <v>4686</v>
      </c>
      <c r="F1280" t="s">
        <v>4685</v>
      </c>
      <c r="G1280" t="s">
        <v>4688</v>
      </c>
      <c r="H1280" s="2">
        <v>1</v>
      </c>
      <c r="I1280" t="s">
        <v>4685</v>
      </c>
      <c r="J1280" t="str">
        <f t="shared" si="5"/>
        <v>normalweight</v>
      </c>
    </row>
    <row r="1281" spans="1:10" ht="15.75" customHeight="1">
      <c r="A1281" t="s">
        <v>2121</v>
      </c>
      <c r="B1281">
        <v>30.15</v>
      </c>
      <c r="C1281">
        <v>4.25</v>
      </c>
      <c r="E1281" t="s">
        <v>4685</v>
      </c>
      <c r="F1281" t="s">
        <v>4685</v>
      </c>
      <c r="G1281" t="s">
        <v>4685</v>
      </c>
      <c r="H1281" s="2">
        <v>1</v>
      </c>
      <c r="I1281" t="s">
        <v>4685</v>
      </c>
      <c r="J1281" t="str">
        <f t="shared" si="5"/>
        <v>normalweight</v>
      </c>
    </row>
    <row r="1282" spans="1:10" ht="15.75" customHeight="1">
      <c r="A1282" t="s">
        <v>2119</v>
      </c>
      <c r="B1282">
        <v>26.36</v>
      </c>
      <c r="C1282">
        <v>5.52</v>
      </c>
      <c r="E1282" t="s">
        <v>4685</v>
      </c>
      <c r="F1282" t="s">
        <v>4685</v>
      </c>
      <c r="G1282" t="s">
        <v>4685</v>
      </c>
      <c r="H1282" s="2">
        <v>0</v>
      </c>
      <c r="I1282" t="s">
        <v>4685</v>
      </c>
      <c r="J1282" t="str">
        <f t="shared" si="5"/>
        <v>normalweight</v>
      </c>
    </row>
    <row r="1283" spans="1:10" ht="15.75" customHeight="1">
      <c r="A1283" t="s">
        <v>2117</v>
      </c>
      <c r="B1283">
        <v>45.32</v>
      </c>
      <c r="C1283">
        <v>6.53</v>
      </c>
      <c r="E1283" t="s">
        <v>4686</v>
      </c>
      <c r="F1283" t="s">
        <v>4685</v>
      </c>
      <c r="G1283" t="s">
        <v>4685</v>
      </c>
      <c r="H1283" s="2">
        <v>1</v>
      </c>
      <c r="I1283" t="s">
        <v>4685</v>
      </c>
      <c r="J1283" t="str">
        <f t="shared" si="5"/>
        <v>normalweight</v>
      </c>
    </row>
    <row r="1284" spans="1:10" ht="15.75" customHeight="1">
      <c r="A1284" t="s">
        <v>2115</v>
      </c>
      <c r="B1284">
        <v>31.93</v>
      </c>
      <c r="C1284">
        <v>4.82</v>
      </c>
      <c r="E1284" t="s">
        <v>4686</v>
      </c>
      <c r="F1284" t="s">
        <v>4685</v>
      </c>
      <c r="G1284" t="s">
        <v>4685</v>
      </c>
      <c r="H1284" s="2">
        <v>1</v>
      </c>
      <c r="I1284" t="s">
        <v>4685</v>
      </c>
      <c r="J1284" t="str">
        <f t="shared" si="5"/>
        <v>normalweight</v>
      </c>
    </row>
    <row r="1285" spans="1:10" ht="15.75" customHeight="1">
      <c r="A1285" t="s">
        <v>2113</v>
      </c>
      <c r="B1285">
        <v>36</v>
      </c>
      <c r="C1285">
        <v>11.94</v>
      </c>
      <c r="D1285" s="6" t="s">
        <v>4684</v>
      </c>
      <c r="E1285" t="s">
        <v>4686</v>
      </c>
      <c r="F1285" t="s">
        <v>4685</v>
      </c>
      <c r="G1285" t="s">
        <v>4685</v>
      </c>
      <c r="H1285" s="2">
        <v>1</v>
      </c>
      <c r="I1285" t="s">
        <v>4685</v>
      </c>
      <c r="J1285" t="str">
        <f t="shared" si="5"/>
        <v>normalweight</v>
      </c>
    </row>
    <row r="1286" spans="1:10" ht="15.75" customHeight="1">
      <c r="A1286" t="s">
        <v>2111</v>
      </c>
      <c r="B1286">
        <v>32</v>
      </c>
      <c r="C1286">
        <v>7.85</v>
      </c>
      <c r="D1286" s="6" t="s">
        <v>4684</v>
      </c>
      <c r="E1286" t="s">
        <v>4686</v>
      </c>
      <c r="F1286" t="s">
        <v>4685</v>
      </c>
      <c r="G1286" t="s">
        <v>4685</v>
      </c>
      <c r="H1286" s="2">
        <v>1</v>
      </c>
      <c r="I1286" t="s">
        <v>4685</v>
      </c>
      <c r="J1286" t="str">
        <f t="shared" si="5"/>
        <v>normalweight</v>
      </c>
    </row>
    <row r="1287" spans="1:10" ht="15.75" customHeight="1">
      <c r="A1287" t="s">
        <v>2109</v>
      </c>
      <c r="B1287">
        <v>29.37</v>
      </c>
      <c r="C1287">
        <v>8.01</v>
      </c>
      <c r="D1287" s="6" t="s">
        <v>4684</v>
      </c>
      <c r="E1287" t="s">
        <v>4686</v>
      </c>
      <c r="F1287" t="s">
        <v>4685</v>
      </c>
      <c r="G1287" t="s">
        <v>4685</v>
      </c>
      <c r="H1287" s="2">
        <v>1</v>
      </c>
      <c r="I1287" t="s">
        <v>4685</v>
      </c>
      <c r="J1287" t="str">
        <f t="shared" si="5"/>
        <v>normalweight</v>
      </c>
    </row>
    <row r="1288" spans="1:10" ht="15.75" customHeight="1">
      <c r="A1288" t="s">
        <v>2107</v>
      </c>
      <c r="B1288">
        <v>23.6</v>
      </c>
      <c r="C1288">
        <v>7.4</v>
      </c>
      <c r="D1288" s="6" t="s">
        <v>4684</v>
      </c>
      <c r="E1288" t="s">
        <v>4686</v>
      </c>
      <c r="F1288" t="s">
        <v>4685</v>
      </c>
      <c r="G1288" t="s">
        <v>4685</v>
      </c>
      <c r="H1288" s="2">
        <v>1</v>
      </c>
      <c r="I1288" t="s">
        <v>4685</v>
      </c>
      <c r="J1288" t="str">
        <f t="shared" si="5"/>
        <v>normalweight</v>
      </c>
    </row>
    <row r="1289" spans="1:10" ht="15.75" customHeight="1">
      <c r="A1289" t="s">
        <v>2105</v>
      </c>
      <c r="B1289">
        <v>33.155000000000001</v>
      </c>
      <c r="C1289">
        <v>8.3800000000000008</v>
      </c>
      <c r="D1289" s="6" t="s">
        <v>4684</v>
      </c>
      <c r="E1289" t="s">
        <v>4686</v>
      </c>
      <c r="F1289" t="s">
        <v>4685</v>
      </c>
      <c r="G1289" t="s">
        <v>4685</v>
      </c>
      <c r="H1289" s="2">
        <v>0</v>
      </c>
      <c r="I1289" t="s">
        <v>4685</v>
      </c>
      <c r="J1289" t="str">
        <f t="shared" si="5"/>
        <v>normalweight</v>
      </c>
    </row>
    <row r="1290" spans="1:10" ht="15.75" customHeight="1">
      <c r="A1290" t="s">
        <v>2103</v>
      </c>
      <c r="B1290">
        <v>24.32</v>
      </c>
      <c r="C1290">
        <v>11.56</v>
      </c>
      <c r="D1290" s="6" t="s">
        <v>4684</v>
      </c>
      <c r="E1290" t="s">
        <v>4686</v>
      </c>
      <c r="F1290" t="s">
        <v>4685</v>
      </c>
      <c r="G1290" t="s">
        <v>4685</v>
      </c>
      <c r="H1290" s="2">
        <v>1</v>
      </c>
      <c r="I1290" t="s">
        <v>4685</v>
      </c>
      <c r="J1290" t="str">
        <f t="shared" si="5"/>
        <v>normalweight</v>
      </c>
    </row>
    <row r="1291" spans="1:10" ht="15.75" customHeight="1">
      <c r="A1291" t="s">
        <v>2101</v>
      </c>
      <c r="B1291">
        <v>36.299999999999997</v>
      </c>
      <c r="C1291">
        <v>4.6100000000000003</v>
      </c>
      <c r="E1291" t="s">
        <v>4685</v>
      </c>
      <c r="F1291" t="s">
        <v>4685</v>
      </c>
      <c r="G1291" t="s">
        <v>4685</v>
      </c>
      <c r="H1291" s="2">
        <v>0</v>
      </c>
      <c r="I1291" t="s">
        <v>4685</v>
      </c>
      <c r="J1291" t="str">
        <f t="shared" si="5"/>
        <v>normalweight</v>
      </c>
    </row>
    <row r="1292" spans="1:10" ht="15.75" customHeight="1">
      <c r="A1292" t="s">
        <v>2099</v>
      </c>
      <c r="B1292">
        <v>34.4</v>
      </c>
      <c r="C1292">
        <v>4.95</v>
      </c>
      <c r="E1292" t="s">
        <v>4685</v>
      </c>
      <c r="F1292" t="s">
        <v>4685</v>
      </c>
      <c r="G1292" t="s">
        <v>4688</v>
      </c>
      <c r="H1292" s="2">
        <v>1</v>
      </c>
      <c r="I1292" t="s">
        <v>4685</v>
      </c>
      <c r="J1292" t="str">
        <f t="shared" si="5"/>
        <v>normalweight</v>
      </c>
    </row>
    <row r="1293" spans="1:10" ht="15.75" customHeight="1">
      <c r="A1293" t="s">
        <v>2097</v>
      </c>
      <c r="B1293">
        <v>30.9</v>
      </c>
      <c r="C1293">
        <v>5.04</v>
      </c>
      <c r="E1293" t="s">
        <v>4685</v>
      </c>
      <c r="F1293" t="s">
        <v>4685</v>
      </c>
      <c r="G1293" t="s">
        <v>4685</v>
      </c>
      <c r="H1293" s="2">
        <v>0</v>
      </c>
      <c r="I1293" t="s">
        <v>4685</v>
      </c>
      <c r="J1293" t="str">
        <f t="shared" si="5"/>
        <v>normalweight</v>
      </c>
    </row>
    <row r="1294" spans="1:10" ht="15.75" customHeight="1">
      <c r="A1294" t="s">
        <v>2095</v>
      </c>
      <c r="B1294">
        <v>28.6</v>
      </c>
      <c r="C1294">
        <v>5.42</v>
      </c>
      <c r="E1294" t="s">
        <v>4685</v>
      </c>
      <c r="F1294" t="s">
        <v>4685</v>
      </c>
      <c r="G1294" t="s">
        <v>4685</v>
      </c>
      <c r="H1294" s="2">
        <v>0</v>
      </c>
      <c r="I1294" t="s">
        <v>4685</v>
      </c>
      <c r="J1294" t="str">
        <f t="shared" si="5"/>
        <v>normalweight</v>
      </c>
    </row>
    <row r="1295" spans="1:10" ht="15.75" customHeight="1">
      <c r="A1295" t="s">
        <v>2093</v>
      </c>
      <c r="B1295">
        <v>27.83</v>
      </c>
      <c r="C1295">
        <v>5.39</v>
      </c>
      <c r="E1295" t="s">
        <v>4685</v>
      </c>
      <c r="F1295" t="s">
        <v>4685</v>
      </c>
      <c r="G1295" t="s">
        <v>4685</v>
      </c>
      <c r="H1295" s="2">
        <v>0</v>
      </c>
      <c r="I1295" t="s">
        <v>4685</v>
      </c>
      <c r="J1295" t="str">
        <f t="shared" si="5"/>
        <v>normalweight</v>
      </c>
    </row>
    <row r="1296" spans="1:10" ht="15.75" customHeight="1">
      <c r="A1296" t="s">
        <v>2091</v>
      </c>
      <c r="B1296">
        <v>39.64</v>
      </c>
      <c r="C1296">
        <v>6</v>
      </c>
      <c r="E1296" t="s">
        <v>4685</v>
      </c>
      <c r="F1296" t="s">
        <v>4685</v>
      </c>
      <c r="G1296" t="s">
        <v>4688</v>
      </c>
      <c r="H1296" s="2">
        <v>1</v>
      </c>
      <c r="I1296" t="s">
        <v>4685</v>
      </c>
      <c r="J1296" t="str">
        <f t="shared" si="5"/>
        <v>normalweight</v>
      </c>
    </row>
    <row r="1297" spans="1:10" ht="15.75" customHeight="1">
      <c r="A1297" t="s">
        <v>2089</v>
      </c>
      <c r="B1297">
        <v>38.479999999999997</v>
      </c>
      <c r="C1297">
        <v>6.02</v>
      </c>
      <c r="E1297" t="s">
        <v>4685</v>
      </c>
      <c r="F1297" t="s">
        <v>4685</v>
      </c>
      <c r="G1297" t="s">
        <v>4685</v>
      </c>
      <c r="H1297" s="2">
        <v>1</v>
      </c>
      <c r="I1297" t="s">
        <v>4685</v>
      </c>
      <c r="J1297" t="str">
        <f t="shared" ref="J1297:J1551" si="6">IF(B1297&lt;=18.5,"underweight",IF(B1297&gt;=18.5-24.9,"normalweight",IF(B1297&gt;=25-29.9,"overweight","obesity")))</f>
        <v>normalweight</v>
      </c>
    </row>
    <row r="1298" spans="1:10" ht="15.75" customHeight="1">
      <c r="A1298" t="s">
        <v>2087</v>
      </c>
      <c r="B1298">
        <v>36.200000000000003</v>
      </c>
      <c r="C1298">
        <v>4.62</v>
      </c>
      <c r="E1298" t="s">
        <v>4685</v>
      </c>
      <c r="F1298" t="s">
        <v>4685</v>
      </c>
      <c r="G1298" t="s">
        <v>4685</v>
      </c>
      <c r="H1298" s="2">
        <v>2</v>
      </c>
      <c r="I1298" t="s">
        <v>4685</v>
      </c>
      <c r="J1298" t="str">
        <f t="shared" si="6"/>
        <v>normalweight</v>
      </c>
    </row>
    <row r="1299" spans="1:10" ht="15.75" customHeight="1">
      <c r="A1299" t="s">
        <v>2085</v>
      </c>
      <c r="B1299">
        <v>27.13</v>
      </c>
      <c r="C1299">
        <v>5.59</v>
      </c>
      <c r="E1299" t="s">
        <v>4685</v>
      </c>
      <c r="F1299" t="s">
        <v>4685</v>
      </c>
      <c r="G1299" t="s">
        <v>4685</v>
      </c>
      <c r="H1299" s="2">
        <v>1</v>
      </c>
      <c r="I1299" t="s">
        <v>4685</v>
      </c>
      <c r="J1299" t="str">
        <f t="shared" si="6"/>
        <v>normalweight</v>
      </c>
    </row>
    <row r="1300" spans="1:10" ht="15.75" customHeight="1">
      <c r="A1300" t="s">
        <v>2083</v>
      </c>
      <c r="B1300">
        <v>20.75</v>
      </c>
      <c r="C1300">
        <v>5.18</v>
      </c>
      <c r="E1300" t="s">
        <v>4686</v>
      </c>
      <c r="F1300" t="s">
        <v>4685</v>
      </c>
      <c r="G1300" t="s">
        <v>4685</v>
      </c>
      <c r="H1300" s="2">
        <v>2</v>
      </c>
      <c r="I1300" t="s">
        <v>4685</v>
      </c>
      <c r="J1300" t="str">
        <f t="shared" si="6"/>
        <v>normalweight</v>
      </c>
    </row>
    <row r="1301" spans="1:10" ht="15.75" customHeight="1">
      <c r="A1301" t="s">
        <v>2081</v>
      </c>
      <c r="B1301">
        <v>26.6</v>
      </c>
      <c r="C1301">
        <v>6.29</v>
      </c>
      <c r="E1301" t="s">
        <v>4685</v>
      </c>
      <c r="F1301" t="s">
        <v>4685</v>
      </c>
      <c r="G1301" t="s">
        <v>4685</v>
      </c>
      <c r="H1301" s="2">
        <v>2</v>
      </c>
      <c r="I1301" t="s">
        <v>4685</v>
      </c>
      <c r="J1301" t="str">
        <f t="shared" si="6"/>
        <v>normalweight</v>
      </c>
    </row>
    <row r="1302" spans="1:10" ht="15.75" customHeight="1">
      <c r="A1302" t="s">
        <v>2079</v>
      </c>
      <c r="B1302">
        <v>25.3</v>
      </c>
      <c r="C1302">
        <v>4.49</v>
      </c>
      <c r="E1302" t="s">
        <v>4685</v>
      </c>
      <c r="F1302" t="s">
        <v>4685</v>
      </c>
      <c r="G1302" t="s">
        <v>4685</v>
      </c>
      <c r="H1302" s="2">
        <v>2</v>
      </c>
      <c r="I1302" t="s">
        <v>4685</v>
      </c>
      <c r="J1302" t="str">
        <f t="shared" si="6"/>
        <v>normalweight</v>
      </c>
    </row>
    <row r="1303" spans="1:10" ht="15.75" customHeight="1">
      <c r="A1303" t="s">
        <v>2077</v>
      </c>
      <c r="B1303">
        <v>18.84</v>
      </c>
      <c r="C1303">
        <v>11.82</v>
      </c>
      <c r="D1303" s="6" t="s">
        <v>4684</v>
      </c>
      <c r="E1303" t="s">
        <v>4686</v>
      </c>
      <c r="F1303" t="s">
        <v>4685</v>
      </c>
      <c r="G1303" t="s">
        <v>4688</v>
      </c>
      <c r="H1303" s="2">
        <v>1</v>
      </c>
      <c r="I1303" t="s">
        <v>4685</v>
      </c>
      <c r="J1303" t="str">
        <f t="shared" si="6"/>
        <v>normalweight</v>
      </c>
    </row>
    <row r="1304" spans="1:10" ht="15.75" customHeight="1">
      <c r="A1304" t="s">
        <v>2075</v>
      </c>
      <c r="B1304">
        <v>19.57</v>
      </c>
      <c r="C1304">
        <v>7.41</v>
      </c>
      <c r="D1304" s="6" t="s">
        <v>4684</v>
      </c>
      <c r="E1304" t="s">
        <v>4686</v>
      </c>
      <c r="F1304" t="s">
        <v>4685</v>
      </c>
      <c r="G1304" t="s">
        <v>4685</v>
      </c>
      <c r="H1304" s="2">
        <v>1</v>
      </c>
      <c r="I1304" t="s">
        <v>4685</v>
      </c>
      <c r="J1304" t="str">
        <f t="shared" si="6"/>
        <v>normalweight</v>
      </c>
    </row>
    <row r="1305" spans="1:10" ht="15.75" customHeight="1">
      <c r="A1305" t="s">
        <v>2073</v>
      </c>
      <c r="B1305">
        <v>30.495000000000001</v>
      </c>
      <c r="C1305">
        <v>5.97</v>
      </c>
      <c r="E1305" t="s">
        <v>4685</v>
      </c>
      <c r="F1305" t="s">
        <v>4685</v>
      </c>
      <c r="G1305" t="s">
        <v>4685</v>
      </c>
      <c r="H1305" s="2">
        <v>0</v>
      </c>
      <c r="I1305" t="s">
        <v>4685</v>
      </c>
      <c r="J1305" t="str">
        <f t="shared" si="6"/>
        <v>normalweight</v>
      </c>
    </row>
    <row r="1306" spans="1:10" ht="15.75" customHeight="1">
      <c r="A1306" t="s">
        <v>2071</v>
      </c>
      <c r="B1306">
        <v>30.114999999999998</v>
      </c>
      <c r="C1306">
        <v>5.74</v>
      </c>
      <c r="E1306" t="s">
        <v>4685</v>
      </c>
      <c r="F1306" t="s">
        <v>4685</v>
      </c>
      <c r="G1306" t="s">
        <v>4688</v>
      </c>
      <c r="H1306" s="2">
        <v>1</v>
      </c>
      <c r="I1306" t="s">
        <v>4685</v>
      </c>
      <c r="J1306" t="str">
        <f t="shared" si="6"/>
        <v>normalweight</v>
      </c>
    </row>
    <row r="1307" spans="1:10" ht="15.75" customHeight="1">
      <c r="A1307" t="s">
        <v>2069</v>
      </c>
      <c r="B1307">
        <v>24.78</v>
      </c>
      <c r="C1307">
        <v>9.85</v>
      </c>
      <c r="D1307" s="6" t="s">
        <v>4684</v>
      </c>
      <c r="E1307" t="s">
        <v>4685</v>
      </c>
      <c r="F1307" t="s">
        <v>4685</v>
      </c>
      <c r="G1307" t="s">
        <v>4685</v>
      </c>
      <c r="H1307" s="2">
        <v>0</v>
      </c>
      <c r="I1307" t="s">
        <v>4685</v>
      </c>
      <c r="J1307" t="str">
        <f t="shared" si="6"/>
        <v>normalweight</v>
      </c>
    </row>
    <row r="1308" spans="1:10" ht="15.75" customHeight="1">
      <c r="A1308" t="s">
        <v>2067</v>
      </c>
      <c r="B1308">
        <v>24.77</v>
      </c>
      <c r="C1308">
        <v>7.59</v>
      </c>
      <c r="D1308" s="6" t="s">
        <v>4684</v>
      </c>
      <c r="E1308" t="s">
        <v>4685</v>
      </c>
      <c r="F1308" t="s">
        <v>4685</v>
      </c>
      <c r="G1308" t="s">
        <v>4685</v>
      </c>
      <c r="H1308" s="2">
        <v>0</v>
      </c>
      <c r="I1308" t="s">
        <v>4685</v>
      </c>
      <c r="J1308" t="str">
        <f t="shared" si="6"/>
        <v>normalweight</v>
      </c>
    </row>
    <row r="1309" spans="1:10" ht="15.75" customHeight="1">
      <c r="A1309" t="s">
        <v>2065</v>
      </c>
      <c r="B1309">
        <v>16.579999999999998</v>
      </c>
      <c r="C1309">
        <v>6.98</v>
      </c>
      <c r="D1309" s="6" t="s">
        <v>4684</v>
      </c>
      <c r="E1309" t="s">
        <v>4686</v>
      </c>
      <c r="F1309" t="s">
        <v>4685</v>
      </c>
      <c r="G1309" t="s">
        <v>4688</v>
      </c>
      <c r="H1309" s="2">
        <v>1</v>
      </c>
      <c r="I1309" t="s">
        <v>4685</v>
      </c>
      <c r="J1309" t="str">
        <f t="shared" si="6"/>
        <v>underweight</v>
      </c>
    </row>
    <row r="1310" spans="1:10" ht="15.75" customHeight="1">
      <c r="A1310" t="s">
        <v>2063</v>
      </c>
      <c r="B1310">
        <v>38.17</v>
      </c>
      <c r="C1310">
        <v>4.7300000000000004</v>
      </c>
      <c r="E1310" t="s">
        <v>4686</v>
      </c>
      <c r="F1310" t="s">
        <v>4685</v>
      </c>
      <c r="G1310" t="s">
        <v>4685</v>
      </c>
      <c r="H1310" s="2">
        <v>0</v>
      </c>
      <c r="I1310" t="s">
        <v>4685</v>
      </c>
      <c r="J1310" t="str">
        <f t="shared" si="6"/>
        <v>normalweight</v>
      </c>
    </row>
    <row r="1311" spans="1:10" ht="15.75" customHeight="1">
      <c r="A1311" t="s">
        <v>2061</v>
      </c>
      <c r="B1311">
        <v>39.424999999999997</v>
      </c>
      <c r="C1311">
        <v>4.76</v>
      </c>
      <c r="E1311" t="s">
        <v>4686</v>
      </c>
      <c r="F1311" t="s">
        <v>4685</v>
      </c>
      <c r="G1311" t="s">
        <v>4685</v>
      </c>
      <c r="H1311" s="2">
        <v>0</v>
      </c>
      <c r="I1311" t="s">
        <v>4685</v>
      </c>
      <c r="J1311" t="str">
        <f t="shared" si="6"/>
        <v>normalweight</v>
      </c>
    </row>
    <row r="1312" spans="1:10" ht="15.75" customHeight="1">
      <c r="A1312" t="s">
        <v>2059</v>
      </c>
      <c r="B1312">
        <v>33.44</v>
      </c>
      <c r="C1312">
        <v>6.24</v>
      </c>
      <c r="E1312" t="s">
        <v>4686</v>
      </c>
      <c r="F1312" t="s">
        <v>4685</v>
      </c>
      <c r="G1312" t="s">
        <v>4685</v>
      </c>
      <c r="H1312" s="2">
        <v>0</v>
      </c>
      <c r="I1312" t="s">
        <v>4685</v>
      </c>
      <c r="J1312" t="str">
        <f t="shared" si="6"/>
        <v>normalweight</v>
      </c>
    </row>
    <row r="1313" spans="1:10" ht="15.75" customHeight="1">
      <c r="A1313" t="s">
        <v>2057</v>
      </c>
      <c r="B1313">
        <v>33.344999999999999</v>
      </c>
      <c r="C1313">
        <v>5.44</v>
      </c>
      <c r="E1313" t="s">
        <v>4686</v>
      </c>
      <c r="F1313" t="s">
        <v>4685</v>
      </c>
      <c r="G1313" t="s">
        <v>4685</v>
      </c>
      <c r="H1313" s="2">
        <v>0</v>
      </c>
      <c r="I1313" t="s">
        <v>4685</v>
      </c>
      <c r="J1313" t="str">
        <f t="shared" si="6"/>
        <v>normalweight</v>
      </c>
    </row>
    <row r="1314" spans="1:10" ht="15.75" customHeight="1">
      <c r="A1314" t="s">
        <v>2055</v>
      </c>
      <c r="B1314">
        <v>38.79</v>
      </c>
      <c r="C1314">
        <v>5.08</v>
      </c>
      <c r="E1314" t="s">
        <v>4685</v>
      </c>
      <c r="F1314" t="s">
        <v>4685</v>
      </c>
      <c r="G1314" t="s">
        <v>4688</v>
      </c>
      <c r="H1314" s="2">
        <v>1</v>
      </c>
      <c r="I1314" t="s">
        <v>4685</v>
      </c>
      <c r="J1314" t="str">
        <f t="shared" si="6"/>
        <v>normalweight</v>
      </c>
    </row>
    <row r="1315" spans="1:10" ht="15.75" customHeight="1">
      <c r="A1315" t="s">
        <v>2053</v>
      </c>
      <c r="B1315">
        <v>30.684999999999999</v>
      </c>
      <c r="C1315">
        <v>4.87</v>
      </c>
      <c r="E1315" t="s">
        <v>4685</v>
      </c>
      <c r="F1315" t="s">
        <v>4685</v>
      </c>
      <c r="G1315" t="s">
        <v>4688</v>
      </c>
      <c r="H1315" s="2">
        <v>1</v>
      </c>
      <c r="I1315" t="s">
        <v>4685</v>
      </c>
      <c r="J1315" t="str">
        <f t="shared" si="6"/>
        <v>normalweight</v>
      </c>
    </row>
    <row r="1316" spans="1:10" ht="15.75" customHeight="1">
      <c r="A1316" t="s">
        <v>2051</v>
      </c>
      <c r="B1316">
        <v>22.135000000000002</v>
      </c>
      <c r="C1316">
        <v>8.17</v>
      </c>
      <c r="D1316" s="6" t="s">
        <v>4684</v>
      </c>
      <c r="E1316" t="s">
        <v>4685</v>
      </c>
      <c r="F1316" t="s">
        <v>4685</v>
      </c>
      <c r="G1316" t="s">
        <v>4685</v>
      </c>
      <c r="H1316" s="2">
        <v>0</v>
      </c>
      <c r="I1316" t="s">
        <v>4685</v>
      </c>
      <c r="J1316" t="str">
        <f t="shared" si="6"/>
        <v>normalweight</v>
      </c>
    </row>
    <row r="1317" spans="1:10" ht="15.75" customHeight="1">
      <c r="A1317" t="s">
        <v>2049</v>
      </c>
      <c r="B1317">
        <v>33.33</v>
      </c>
      <c r="C1317">
        <v>7.61</v>
      </c>
      <c r="D1317" s="6" t="s">
        <v>4684</v>
      </c>
      <c r="E1317" t="s">
        <v>4685</v>
      </c>
      <c r="F1317" t="s">
        <v>4685</v>
      </c>
      <c r="G1317" t="s">
        <v>4685</v>
      </c>
      <c r="H1317" s="2">
        <v>0</v>
      </c>
      <c r="I1317" t="s">
        <v>4685</v>
      </c>
      <c r="J1317" t="str">
        <f t="shared" si="6"/>
        <v>normalweight</v>
      </c>
    </row>
    <row r="1318" spans="1:10" ht="15.75" customHeight="1">
      <c r="A1318" t="s">
        <v>2047</v>
      </c>
      <c r="B1318">
        <v>31.13</v>
      </c>
      <c r="C1318">
        <v>10.1</v>
      </c>
      <c r="D1318" s="6" t="s">
        <v>4684</v>
      </c>
      <c r="E1318" t="s">
        <v>4685</v>
      </c>
      <c r="F1318" t="s">
        <v>4685</v>
      </c>
      <c r="G1318" t="s">
        <v>4685</v>
      </c>
      <c r="H1318" s="2">
        <v>0</v>
      </c>
      <c r="I1318" t="s">
        <v>4685</v>
      </c>
      <c r="J1318" t="str">
        <f t="shared" si="6"/>
        <v>normalweight</v>
      </c>
    </row>
    <row r="1319" spans="1:10" ht="15.75" customHeight="1">
      <c r="A1319" t="s">
        <v>2045</v>
      </c>
      <c r="B1319">
        <v>28.9</v>
      </c>
      <c r="C1319">
        <v>11.24</v>
      </c>
      <c r="D1319" s="6" t="s">
        <v>4684</v>
      </c>
      <c r="E1319" t="s">
        <v>4685</v>
      </c>
      <c r="F1319" t="s">
        <v>4685</v>
      </c>
      <c r="G1319" t="s">
        <v>4685</v>
      </c>
      <c r="H1319" s="2">
        <v>0</v>
      </c>
      <c r="I1319" t="s">
        <v>4685</v>
      </c>
      <c r="J1319" t="str">
        <f t="shared" si="6"/>
        <v>normalweight</v>
      </c>
    </row>
    <row r="1320" spans="1:10" ht="15.75" customHeight="1">
      <c r="A1320" t="s">
        <v>2043</v>
      </c>
      <c r="B1320">
        <v>43.31</v>
      </c>
      <c r="C1320">
        <v>6.1</v>
      </c>
      <c r="E1320" t="s">
        <v>4686</v>
      </c>
      <c r="F1320" t="s">
        <v>4686</v>
      </c>
      <c r="G1320" t="s">
        <v>4685</v>
      </c>
      <c r="H1320" s="2">
        <v>1</v>
      </c>
      <c r="I1320" t="s">
        <v>4685</v>
      </c>
      <c r="J1320" t="str">
        <f t="shared" si="6"/>
        <v>normalweight</v>
      </c>
    </row>
    <row r="1321" spans="1:10" ht="15.75" customHeight="1">
      <c r="A1321" t="s">
        <v>2041</v>
      </c>
      <c r="B1321">
        <v>22.8</v>
      </c>
      <c r="C1321">
        <v>6.98</v>
      </c>
      <c r="D1321" s="6" t="s">
        <v>4684</v>
      </c>
      <c r="E1321" t="s">
        <v>4685</v>
      </c>
      <c r="F1321" t="s">
        <v>4685</v>
      </c>
      <c r="G1321" t="s">
        <v>4685</v>
      </c>
      <c r="H1321" s="2">
        <v>0</v>
      </c>
      <c r="I1321" t="s">
        <v>4685</v>
      </c>
      <c r="J1321" t="str">
        <f t="shared" si="6"/>
        <v>normalweight</v>
      </c>
    </row>
    <row r="1322" spans="1:10" ht="15.75" customHeight="1">
      <c r="A1322" t="s">
        <v>2039</v>
      </c>
      <c r="B1322">
        <v>19.09</v>
      </c>
      <c r="C1322">
        <v>4</v>
      </c>
      <c r="E1322" t="s">
        <v>4686</v>
      </c>
      <c r="F1322" t="s">
        <v>4685</v>
      </c>
      <c r="G1322" t="s">
        <v>4685</v>
      </c>
      <c r="H1322" s="2">
        <v>1</v>
      </c>
      <c r="I1322" t="s">
        <v>4685</v>
      </c>
      <c r="J1322" t="str">
        <f t="shared" si="6"/>
        <v>normalweight</v>
      </c>
    </row>
    <row r="1323" spans="1:10" ht="15.75" customHeight="1">
      <c r="A1323" t="s">
        <v>2037</v>
      </c>
      <c r="B1323">
        <v>23.37</v>
      </c>
      <c r="C1323">
        <v>4.2300000000000004</v>
      </c>
      <c r="E1323" t="s">
        <v>4685</v>
      </c>
      <c r="F1323" t="s">
        <v>4685</v>
      </c>
      <c r="G1323" t="s">
        <v>4685</v>
      </c>
      <c r="H1323" s="2">
        <v>0</v>
      </c>
      <c r="I1323" t="s">
        <v>4685</v>
      </c>
      <c r="J1323" t="str">
        <f t="shared" si="6"/>
        <v>normalweight</v>
      </c>
    </row>
    <row r="1324" spans="1:10" ht="15.75" customHeight="1">
      <c r="A1324" t="s">
        <v>2035</v>
      </c>
      <c r="B1324">
        <v>33.44</v>
      </c>
      <c r="C1324">
        <v>4.72</v>
      </c>
      <c r="E1324" t="s">
        <v>4686</v>
      </c>
      <c r="F1324" t="s">
        <v>4685</v>
      </c>
      <c r="G1324" t="s">
        <v>4685</v>
      </c>
      <c r="H1324" s="2">
        <v>0</v>
      </c>
      <c r="I1324" t="s">
        <v>4685</v>
      </c>
      <c r="J1324" t="str">
        <f t="shared" si="6"/>
        <v>normalweight</v>
      </c>
    </row>
    <row r="1325" spans="1:10" ht="15.75" customHeight="1">
      <c r="A1325" t="s">
        <v>2033</v>
      </c>
      <c r="B1325">
        <v>28.05</v>
      </c>
      <c r="C1325">
        <v>5.63</v>
      </c>
      <c r="E1325" t="s">
        <v>4686</v>
      </c>
      <c r="F1325" t="s">
        <v>4685</v>
      </c>
      <c r="G1325" t="s">
        <v>4685</v>
      </c>
      <c r="H1325" s="2">
        <v>0</v>
      </c>
      <c r="I1325" t="s">
        <v>4685</v>
      </c>
      <c r="J1325" t="str">
        <f t="shared" si="6"/>
        <v>normalweight</v>
      </c>
    </row>
    <row r="1326" spans="1:10" ht="15.75" customHeight="1">
      <c r="A1326" t="s">
        <v>2031</v>
      </c>
      <c r="B1326">
        <v>27.72</v>
      </c>
      <c r="C1326">
        <v>5.83</v>
      </c>
      <c r="E1326" t="s">
        <v>4686</v>
      </c>
      <c r="F1326" t="s">
        <v>4685</v>
      </c>
      <c r="G1326" t="s">
        <v>4685</v>
      </c>
      <c r="H1326" s="2">
        <v>0</v>
      </c>
      <c r="I1326" t="s">
        <v>4685</v>
      </c>
      <c r="J1326" t="str">
        <f t="shared" si="6"/>
        <v>normalweight</v>
      </c>
    </row>
    <row r="1327" spans="1:10" ht="15.75" customHeight="1">
      <c r="A1327" t="s">
        <v>2029</v>
      </c>
      <c r="B1327">
        <v>29.81</v>
      </c>
      <c r="C1327">
        <v>9.23</v>
      </c>
      <c r="D1327" s="6" t="s">
        <v>4684</v>
      </c>
      <c r="E1327" t="s">
        <v>4685</v>
      </c>
      <c r="F1327" t="s">
        <v>4685</v>
      </c>
      <c r="G1327" t="s">
        <v>4685</v>
      </c>
      <c r="H1327" s="2">
        <v>0</v>
      </c>
      <c r="I1327" t="s">
        <v>4685</v>
      </c>
      <c r="J1327" t="str">
        <f t="shared" si="6"/>
        <v>normalweight</v>
      </c>
    </row>
    <row r="1328" spans="1:10" ht="15.75" customHeight="1">
      <c r="A1328" t="s">
        <v>2027</v>
      </c>
      <c r="B1328">
        <v>23.98</v>
      </c>
      <c r="C1328">
        <v>9.89</v>
      </c>
      <c r="D1328" s="6" t="s">
        <v>4684</v>
      </c>
      <c r="E1328" t="s">
        <v>4685</v>
      </c>
      <c r="F1328" t="s">
        <v>4685</v>
      </c>
      <c r="G1328" t="s">
        <v>4685</v>
      </c>
      <c r="H1328" s="2">
        <v>0</v>
      </c>
      <c r="I1328" t="s">
        <v>4685</v>
      </c>
      <c r="J1328" t="str">
        <f t="shared" si="6"/>
        <v>normalweight</v>
      </c>
    </row>
    <row r="1329" spans="1:10" ht="15.75" customHeight="1">
      <c r="A1329" t="s">
        <v>2025</v>
      </c>
      <c r="B1329">
        <v>17.34</v>
      </c>
      <c r="C1329">
        <v>12</v>
      </c>
      <c r="D1329" s="6" t="s">
        <v>4684</v>
      </c>
      <c r="E1329" t="s">
        <v>4685</v>
      </c>
      <c r="F1329" t="s">
        <v>4685</v>
      </c>
      <c r="G1329" t="s">
        <v>4685</v>
      </c>
      <c r="H1329" s="2">
        <v>0</v>
      </c>
      <c r="I1329" t="s">
        <v>4685</v>
      </c>
      <c r="J1329" t="str">
        <f t="shared" si="6"/>
        <v>underweight</v>
      </c>
    </row>
    <row r="1330" spans="1:10" ht="15.75" customHeight="1">
      <c r="A1330" t="s">
        <v>2023</v>
      </c>
      <c r="B1330">
        <v>40.39</v>
      </c>
      <c r="C1330">
        <v>4.24</v>
      </c>
      <c r="E1330" t="s">
        <v>4686</v>
      </c>
      <c r="F1330" t="s">
        <v>4685</v>
      </c>
      <c r="G1330" t="s">
        <v>4688</v>
      </c>
      <c r="H1330" s="2">
        <v>1</v>
      </c>
      <c r="I1330" t="s">
        <v>4685</v>
      </c>
      <c r="J1330" t="str">
        <f t="shared" si="6"/>
        <v>normalweight</v>
      </c>
    </row>
    <row r="1331" spans="1:10" ht="15.75" customHeight="1">
      <c r="A1331" t="s">
        <v>2021</v>
      </c>
      <c r="B1331">
        <v>25.96</v>
      </c>
      <c r="C1331">
        <v>4.68</v>
      </c>
      <c r="E1331" t="s">
        <v>4686</v>
      </c>
      <c r="F1331" t="s">
        <v>4685</v>
      </c>
      <c r="G1331" t="s">
        <v>4688</v>
      </c>
      <c r="H1331" s="2">
        <v>1</v>
      </c>
      <c r="I1331" t="s">
        <v>4685</v>
      </c>
      <c r="J1331" t="str">
        <f t="shared" si="6"/>
        <v>normalweight</v>
      </c>
    </row>
    <row r="1332" spans="1:10" ht="15.75" customHeight="1">
      <c r="A1332" t="s">
        <v>2019</v>
      </c>
      <c r="B1332">
        <v>17.68</v>
      </c>
      <c r="C1332">
        <v>8.57</v>
      </c>
      <c r="D1332" s="6" t="s">
        <v>4684</v>
      </c>
      <c r="E1332" t="s">
        <v>4686</v>
      </c>
      <c r="F1332" t="s">
        <v>4685</v>
      </c>
      <c r="G1332" t="s">
        <v>4688</v>
      </c>
      <c r="H1332" s="2">
        <v>1</v>
      </c>
      <c r="I1332" t="s">
        <v>4685</v>
      </c>
      <c r="J1332" t="str">
        <f t="shared" si="6"/>
        <v>underweight</v>
      </c>
    </row>
    <row r="1333" spans="1:10" ht="15.75" customHeight="1">
      <c r="A1333" t="s">
        <v>2017</v>
      </c>
      <c r="B1333">
        <v>30.875</v>
      </c>
      <c r="C1333">
        <v>4.0999999999999996</v>
      </c>
      <c r="E1333" t="s">
        <v>4685</v>
      </c>
      <c r="F1333" t="s">
        <v>4685</v>
      </c>
      <c r="G1333" t="s">
        <v>4685</v>
      </c>
      <c r="H1333" s="2">
        <v>0</v>
      </c>
      <c r="I1333" t="s">
        <v>4685</v>
      </c>
      <c r="J1333" t="str">
        <f t="shared" si="6"/>
        <v>normalweight</v>
      </c>
    </row>
    <row r="1334" spans="1:10" ht="15.75" customHeight="1">
      <c r="A1334" t="s">
        <v>2015</v>
      </c>
      <c r="B1334">
        <v>30.81</v>
      </c>
      <c r="C1334">
        <v>4.49</v>
      </c>
      <c r="E1334" t="s">
        <v>4685</v>
      </c>
      <c r="F1334" t="s">
        <v>4685</v>
      </c>
      <c r="G1334" t="s">
        <v>4685</v>
      </c>
      <c r="H1334" s="2">
        <v>0</v>
      </c>
      <c r="I1334" t="s">
        <v>4685</v>
      </c>
      <c r="J1334" t="str">
        <f t="shared" si="6"/>
        <v>normalweight</v>
      </c>
    </row>
    <row r="1335" spans="1:10" ht="15.75" customHeight="1">
      <c r="A1335" t="s">
        <v>2013</v>
      </c>
      <c r="B1335">
        <v>36.85</v>
      </c>
      <c r="C1335">
        <v>8.8000000000000007</v>
      </c>
      <c r="D1335" s="6" t="s">
        <v>4684</v>
      </c>
      <c r="E1335" t="s">
        <v>4685</v>
      </c>
      <c r="F1335" t="s">
        <v>4685</v>
      </c>
      <c r="G1335" t="s">
        <v>4685</v>
      </c>
      <c r="H1335" s="2">
        <v>2</v>
      </c>
      <c r="I1335" t="s">
        <v>4685</v>
      </c>
      <c r="J1335" t="str">
        <f t="shared" si="6"/>
        <v>normalweight</v>
      </c>
    </row>
    <row r="1336" spans="1:10" ht="15.75" customHeight="1">
      <c r="A1336" t="s">
        <v>2011</v>
      </c>
      <c r="B1336">
        <v>35.86</v>
      </c>
      <c r="C1336">
        <v>7.93</v>
      </c>
      <c r="D1336" s="6" t="s">
        <v>4684</v>
      </c>
      <c r="E1336" t="s">
        <v>4685</v>
      </c>
      <c r="F1336" t="s">
        <v>4685</v>
      </c>
      <c r="G1336" t="s">
        <v>4685</v>
      </c>
      <c r="H1336" s="2">
        <v>2</v>
      </c>
      <c r="I1336" t="s">
        <v>4685</v>
      </c>
      <c r="J1336" t="str">
        <f t="shared" si="6"/>
        <v>normalweight</v>
      </c>
    </row>
    <row r="1337" spans="1:10" ht="15.75" customHeight="1">
      <c r="A1337" t="s">
        <v>2009</v>
      </c>
      <c r="B1337">
        <v>30.3</v>
      </c>
      <c r="C1337">
        <v>9.4499999999999993</v>
      </c>
      <c r="D1337" s="6" t="s">
        <v>4684</v>
      </c>
      <c r="E1337" t="s">
        <v>4685</v>
      </c>
      <c r="F1337" t="s">
        <v>4685</v>
      </c>
      <c r="G1337" t="s">
        <v>4685</v>
      </c>
      <c r="H1337" s="2">
        <v>2</v>
      </c>
      <c r="I1337" t="s">
        <v>4685</v>
      </c>
      <c r="J1337" t="str">
        <f t="shared" si="6"/>
        <v>normalweight</v>
      </c>
    </row>
    <row r="1338" spans="1:10" ht="15.75" customHeight="1">
      <c r="A1338" t="s">
        <v>2007</v>
      </c>
      <c r="B1338">
        <v>32.015000000000001</v>
      </c>
      <c r="C1338">
        <v>7.67</v>
      </c>
      <c r="D1338" s="6" t="s">
        <v>4684</v>
      </c>
      <c r="E1338" t="s">
        <v>4685</v>
      </c>
      <c r="F1338" t="s">
        <v>4685</v>
      </c>
      <c r="G1338" t="s">
        <v>4685</v>
      </c>
      <c r="H1338" s="2">
        <v>0</v>
      </c>
      <c r="I1338" t="s">
        <v>4685</v>
      </c>
      <c r="J1338" t="str">
        <f t="shared" si="6"/>
        <v>normalweight</v>
      </c>
    </row>
    <row r="1339" spans="1:10" ht="15.75" customHeight="1">
      <c r="A1339" t="s">
        <v>2005</v>
      </c>
      <c r="B1339">
        <v>25.06</v>
      </c>
      <c r="C1339">
        <v>10.53</v>
      </c>
      <c r="D1339" s="6" t="s">
        <v>4684</v>
      </c>
      <c r="E1339" t="s">
        <v>4685</v>
      </c>
      <c r="F1339" t="s">
        <v>4685</v>
      </c>
      <c r="G1339" t="s">
        <v>4685</v>
      </c>
      <c r="H1339" s="2">
        <v>2</v>
      </c>
      <c r="I1339" t="s">
        <v>4685</v>
      </c>
      <c r="J1339" t="str">
        <f t="shared" si="6"/>
        <v>normalweight</v>
      </c>
    </row>
    <row r="1340" spans="1:10" ht="15.75" customHeight="1">
      <c r="A1340" t="s">
        <v>2003</v>
      </c>
      <c r="B1340">
        <v>18.829999999999998</v>
      </c>
      <c r="C1340">
        <v>10.08</v>
      </c>
      <c r="D1340" s="6" t="s">
        <v>4684</v>
      </c>
      <c r="E1340" t="s">
        <v>4686</v>
      </c>
      <c r="F1340" t="s">
        <v>4685</v>
      </c>
      <c r="G1340" t="s">
        <v>4685</v>
      </c>
      <c r="H1340" s="2">
        <v>0</v>
      </c>
      <c r="I1340" t="s">
        <v>4685</v>
      </c>
      <c r="J1340" t="str">
        <f t="shared" si="6"/>
        <v>normalweight</v>
      </c>
    </row>
    <row r="1341" spans="1:10" ht="15.75" customHeight="1">
      <c r="A1341" t="s">
        <v>2001</v>
      </c>
      <c r="B1341">
        <v>47.52</v>
      </c>
      <c r="C1341">
        <v>11.39</v>
      </c>
      <c r="D1341" s="6" t="s">
        <v>4684</v>
      </c>
      <c r="E1341" t="s">
        <v>4686</v>
      </c>
      <c r="F1341" t="s">
        <v>4685</v>
      </c>
      <c r="G1341" t="s">
        <v>4685</v>
      </c>
      <c r="H1341" s="2">
        <v>1</v>
      </c>
      <c r="I1341" t="s">
        <v>4685</v>
      </c>
      <c r="J1341" t="str">
        <f t="shared" si="6"/>
        <v>normalweight</v>
      </c>
    </row>
    <row r="1342" spans="1:10" ht="15.75" customHeight="1">
      <c r="A1342" t="s">
        <v>1999</v>
      </c>
      <c r="B1342">
        <v>37.82</v>
      </c>
      <c r="C1342">
        <v>6.36</v>
      </c>
      <c r="E1342" t="s">
        <v>4685</v>
      </c>
      <c r="F1342" t="s">
        <v>4685</v>
      </c>
      <c r="G1342" t="s">
        <v>4685</v>
      </c>
      <c r="H1342" s="2">
        <v>0</v>
      </c>
      <c r="I1342" t="s">
        <v>4685</v>
      </c>
      <c r="J1342" t="str">
        <f t="shared" si="6"/>
        <v>normalweight</v>
      </c>
    </row>
    <row r="1343" spans="1:10" ht="15.75" customHeight="1">
      <c r="A1343" t="s">
        <v>1997</v>
      </c>
      <c r="B1343">
        <v>44.16</v>
      </c>
      <c r="C1343">
        <v>5.31</v>
      </c>
      <c r="E1343" t="s">
        <v>4686</v>
      </c>
      <c r="F1343" t="s">
        <v>4685</v>
      </c>
      <c r="G1343" t="s">
        <v>4685</v>
      </c>
      <c r="H1343" s="2">
        <v>0</v>
      </c>
      <c r="I1343" t="s">
        <v>4685</v>
      </c>
      <c r="J1343" t="str">
        <f t="shared" si="6"/>
        <v>normalweight</v>
      </c>
    </row>
    <row r="1344" spans="1:10" ht="15.75" customHeight="1">
      <c r="A1344" t="s">
        <v>1995</v>
      </c>
      <c r="B1344">
        <v>37.049999999999997</v>
      </c>
      <c r="C1344">
        <v>4.74</v>
      </c>
      <c r="E1344" t="s">
        <v>4685</v>
      </c>
      <c r="F1344" t="s">
        <v>4685</v>
      </c>
      <c r="G1344" t="s">
        <v>4688</v>
      </c>
      <c r="H1344" s="2">
        <v>1</v>
      </c>
      <c r="I1344" t="s">
        <v>4685</v>
      </c>
      <c r="J1344" t="str">
        <f t="shared" si="6"/>
        <v>normalweight</v>
      </c>
    </row>
    <row r="1345" spans="1:10" ht="15.75" customHeight="1">
      <c r="A1345" t="s">
        <v>1993</v>
      </c>
      <c r="B1345">
        <v>18.66</v>
      </c>
      <c r="C1345">
        <v>11.35</v>
      </c>
      <c r="D1345" s="6" t="s">
        <v>4684</v>
      </c>
      <c r="E1345" t="s">
        <v>4685</v>
      </c>
      <c r="F1345" t="s">
        <v>4685</v>
      </c>
      <c r="G1345" t="s">
        <v>4685</v>
      </c>
      <c r="H1345" s="2">
        <v>0</v>
      </c>
      <c r="I1345" t="s">
        <v>4685</v>
      </c>
      <c r="J1345" t="str">
        <f t="shared" si="6"/>
        <v>normalweight</v>
      </c>
    </row>
    <row r="1346" spans="1:10" ht="15.75" customHeight="1">
      <c r="A1346" t="s">
        <v>1991</v>
      </c>
      <c r="B1346">
        <v>36.200000000000003</v>
      </c>
      <c r="C1346">
        <v>6.81</v>
      </c>
      <c r="D1346" s="6" t="s">
        <v>4684</v>
      </c>
      <c r="E1346" t="s">
        <v>4686</v>
      </c>
      <c r="F1346" t="s">
        <v>4685</v>
      </c>
      <c r="G1346" t="s">
        <v>4685</v>
      </c>
      <c r="H1346" s="2">
        <v>1</v>
      </c>
      <c r="I1346" t="s">
        <v>4685</v>
      </c>
      <c r="J1346" t="str">
        <f t="shared" si="6"/>
        <v>normalweight</v>
      </c>
    </row>
    <row r="1347" spans="1:10" ht="15.75" customHeight="1">
      <c r="A1347" t="s">
        <v>1989</v>
      </c>
      <c r="B1347">
        <v>18.87</v>
      </c>
      <c r="C1347">
        <v>8.06</v>
      </c>
      <c r="D1347" s="6" t="s">
        <v>4684</v>
      </c>
      <c r="E1347" t="s">
        <v>4685</v>
      </c>
      <c r="F1347" t="s">
        <v>4685</v>
      </c>
      <c r="G1347" t="s">
        <v>4685</v>
      </c>
      <c r="H1347" s="2">
        <v>0</v>
      </c>
      <c r="I1347" t="s">
        <v>4685</v>
      </c>
      <c r="J1347" t="str">
        <f t="shared" si="6"/>
        <v>normalweight</v>
      </c>
    </row>
    <row r="1348" spans="1:10" ht="15.75" customHeight="1">
      <c r="A1348" t="s">
        <v>1987</v>
      </c>
      <c r="B1348">
        <v>32.299999999999997</v>
      </c>
      <c r="C1348">
        <v>6.74</v>
      </c>
      <c r="D1348" s="6" t="s">
        <v>4684</v>
      </c>
      <c r="E1348" t="s">
        <v>4686</v>
      </c>
      <c r="F1348" t="s">
        <v>4685</v>
      </c>
      <c r="G1348" t="s">
        <v>4685</v>
      </c>
      <c r="H1348" s="2">
        <v>1</v>
      </c>
      <c r="I1348" t="s">
        <v>4685</v>
      </c>
      <c r="J1348" t="str">
        <f t="shared" si="6"/>
        <v>normalweight</v>
      </c>
    </row>
    <row r="1349" spans="1:10" ht="15.75" customHeight="1">
      <c r="A1349" t="s">
        <v>1985</v>
      </c>
      <c r="B1349">
        <v>22.64</v>
      </c>
      <c r="C1349">
        <v>6.54</v>
      </c>
      <c r="E1349" t="s">
        <v>4686</v>
      </c>
      <c r="F1349" t="s">
        <v>4685</v>
      </c>
      <c r="G1349" t="s">
        <v>4685</v>
      </c>
      <c r="H1349" s="2">
        <v>2</v>
      </c>
      <c r="I1349" t="s">
        <v>4685</v>
      </c>
      <c r="J1349" t="str">
        <f t="shared" si="6"/>
        <v>normalweight</v>
      </c>
    </row>
    <row r="1350" spans="1:10" ht="15.75" customHeight="1">
      <c r="A1350" t="s">
        <v>1983</v>
      </c>
      <c r="B1350">
        <v>28.69</v>
      </c>
      <c r="C1350">
        <v>5.4</v>
      </c>
      <c r="E1350" t="s">
        <v>4685</v>
      </c>
      <c r="F1350" t="s">
        <v>4685</v>
      </c>
      <c r="G1350" t="s">
        <v>4685</v>
      </c>
      <c r="H1350" s="2">
        <v>0</v>
      </c>
      <c r="I1350" t="s">
        <v>4685</v>
      </c>
      <c r="J1350" t="str">
        <f t="shared" si="6"/>
        <v>normalweight</v>
      </c>
    </row>
    <row r="1351" spans="1:10" ht="15.75" customHeight="1">
      <c r="A1351" t="s">
        <v>1981</v>
      </c>
      <c r="B1351">
        <v>28.16</v>
      </c>
      <c r="C1351">
        <v>5.58</v>
      </c>
      <c r="E1351" t="s">
        <v>4686</v>
      </c>
      <c r="F1351" t="s">
        <v>4685</v>
      </c>
      <c r="G1351" t="s">
        <v>4685</v>
      </c>
      <c r="H1351" s="2">
        <v>0</v>
      </c>
      <c r="I1351" t="s">
        <v>4685</v>
      </c>
      <c r="J1351" t="str">
        <f t="shared" si="6"/>
        <v>normalweight</v>
      </c>
    </row>
    <row r="1352" spans="1:10" ht="15.75" customHeight="1">
      <c r="A1352" t="s">
        <v>1979</v>
      </c>
      <c r="B1352">
        <v>45.54</v>
      </c>
      <c r="C1352">
        <v>5.84</v>
      </c>
      <c r="E1352" t="s">
        <v>4685</v>
      </c>
      <c r="F1352" t="s">
        <v>4685</v>
      </c>
      <c r="G1352" t="s">
        <v>4688</v>
      </c>
      <c r="H1352" s="2">
        <v>1</v>
      </c>
      <c r="I1352" t="s">
        <v>4685</v>
      </c>
      <c r="J1352" t="str">
        <f t="shared" si="6"/>
        <v>normalweight</v>
      </c>
    </row>
    <row r="1353" spans="1:10" ht="15.75" customHeight="1">
      <c r="A1353" t="s">
        <v>1977</v>
      </c>
      <c r="B1353">
        <v>28.7</v>
      </c>
      <c r="C1353">
        <v>4.2</v>
      </c>
      <c r="E1353" t="s">
        <v>4685</v>
      </c>
      <c r="F1353" t="s">
        <v>4685</v>
      </c>
      <c r="G1353" t="s">
        <v>4685</v>
      </c>
      <c r="H1353" s="2">
        <v>0</v>
      </c>
      <c r="I1353" t="s">
        <v>4685</v>
      </c>
      <c r="J1353" t="str">
        <f t="shared" si="6"/>
        <v>normalweight</v>
      </c>
    </row>
    <row r="1354" spans="1:10" ht="15.75" customHeight="1">
      <c r="A1354" t="s">
        <v>1975</v>
      </c>
      <c r="B1354">
        <v>27.74</v>
      </c>
      <c r="C1354">
        <v>6.06</v>
      </c>
      <c r="E1354" t="s">
        <v>4686</v>
      </c>
      <c r="F1354" t="s">
        <v>4685</v>
      </c>
      <c r="G1354" t="s">
        <v>4685</v>
      </c>
      <c r="H1354" s="2">
        <v>0</v>
      </c>
      <c r="I1354" t="s">
        <v>4685</v>
      </c>
      <c r="J1354" t="str">
        <f t="shared" si="6"/>
        <v>normalweight</v>
      </c>
    </row>
    <row r="1355" spans="1:10" ht="15.75" customHeight="1">
      <c r="A1355" t="s">
        <v>1973</v>
      </c>
      <c r="B1355">
        <v>36.954999999999998</v>
      </c>
      <c r="C1355">
        <v>7.57</v>
      </c>
      <c r="D1355" s="6" t="s">
        <v>4684</v>
      </c>
      <c r="E1355" t="s">
        <v>4685</v>
      </c>
      <c r="F1355" t="s">
        <v>4685</v>
      </c>
      <c r="G1355" t="s">
        <v>4685</v>
      </c>
      <c r="H1355" s="2">
        <v>0</v>
      </c>
      <c r="I1355" t="s">
        <v>4685</v>
      </c>
      <c r="J1355" t="str">
        <f t="shared" si="6"/>
        <v>normalweight</v>
      </c>
    </row>
    <row r="1356" spans="1:10" ht="15.75" customHeight="1">
      <c r="A1356" t="s">
        <v>1971</v>
      </c>
      <c r="B1356">
        <v>30.69</v>
      </c>
      <c r="C1356">
        <v>6.15</v>
      </c>
      <c r="E1356" t="s">
        <v>4685</v>
      </c>
      <c r="F1356" t="s">
        <v>4685</v>
      </c>
      <c r="G1356" t="s">
        <v>4685</v>
      </c>
      <c r="H1356" s="2">
        <v>0</v>
      </c>
      <c r="I1356" t="s">
        <v>4685</v>
      </c>
      <c r="J1356" t="str">
        <f t="shared" si="6"/>
        <v>normalweight</v>
      </c>
    </row>
    <row r="1357" spans="1:10" ht="15.75" customHeight="1">
      <c r="A1357" t="s">
        <v>1969</v>
      </c>
      <c r="B1357">
        <v>24.984999999999999</v>
      </c>
      <c r="C1357">
        <v>4.5599999999999996</v>
      </c>
      <c r="E1357" t="s">
        <v>4685</v>
      </c>
      <c r="F1357" t="s">
        <v>4685</v>
      </c>
      <c r="G1357" t="s">
        <v>4685</v>
      </c>
      <c r="H1357" s="2">
        <v>0</v>
      </c>
      <c r="I1357" t="s">
        <v>4685</v>
      </c>
      <c r="J1357" t="str">
        <f t="shared" si="6"/>
        <v>normalweight</v>
      </c>
    </row>
    <row r="1358" spans="1:10" ht="15.75" customHeight="1">
      <c r="A1358" t="s">
        <v>1967</v>
      </c>
      <c r="B1358">
        <v>39.42</v>
      </c>
      <c r="C1358">
        <v>4.72</v>
      </c>
      <c r="E1358" t="s">
        <v>4686</v>
      </c>
      <c r="F1358" t="s">
        <v>4685</v>
      </c>
      <c r="G1358" t="s">
        <v>4685</v>
      </c>
      <c r="H1358" s="2">
        <v>1</v>
      </c>
      <c r="I1358" t="s">
        <v>4685</v>
      </c>
      <c r="J1358" t="str">
        <f t="shared" si="6"/>
        <v>normalweight</v>
      </c>
    </row>
    <row r="1359" spans="1:10" ht="15.75" customHeight="1">
      <c r="A1359" t="s">
        <v>1965</v>
      </c>
      <c r="B1359">
        <v>16.8</v>
      </c>
      <c r="C1359">
        <v>7.98</v>
      </c>
      <c r="D1359" s="6" t="s">
        <v>4684</v>
      </c>
      <c r="E1359" t="s">
        <v>4685</v>
      </c>
      <c r="F1359" t="s">
        <v>4685</v>
      </c>
      <c r="G1359" t="s">
        <v>4685</v>
      </c>
      <c r="H1359" s="2">
        <v>0</v>
      </c>
      <c r="I1359" t="s">
        <v>4685</v>
      </c>
      <c r="J1359" t="str">
        <f t="shared" si="6"/>
        <v>underweight</v>
      </c>
    </row>
    <row r="1360" spans="1:10" ht="15.75" customHeight="1">
      <c r="A1360" t="s">
        <v>1963</v>
      </c>
      <c r="B1360">
        <v>23.274999999999999</v>
      </c>
      <c r="C1360">
        <v>6.26</v>
      </c>
      <c r="E1360" t="s">
        <v>4686</v>
      </c>
      <c r="F1360" t="s">
        <v>4685</v>
      </c>
      <c r="G1360" t="s">
        <v>4688</v>
      </c>
      <c r="H1360" s="2">
        <v>1</v>
      </c>
      <c r="I1360" t="s">
        <v>4685</v>
      </c>
      <c r="J1360" t="str">
        <f t="shared" si="6"/>
        <v>normalweight</v>
      </c>
    </row>
    <row r="1361" spans="1:10" ht="15.75" customHeight="1">
      <c r="A1361" t="s">
        <v>1961</v>
      </c>
      <c r="B1361">
        <v>22.8</v>
      </c>
      <c r="C1361">
        <v>4.29</v>
      </c>
      <c r="E1361" t="s">
        <v>4686</v>
      </c>
      <c r="F1361" t="s">
        <v>4685</v>
      </c>
      <c r="G1361" t="s">
        <v>4688</v>
      </c>
      <c r="H1361" s="2">
        <v>1</v>
      </c>
      <c r="I1361" t="s">
        <v>4685</v>
      </c>
      <c r="J1361" t="str">
        <f t="shared" si="6"/>
        <v>normalweight</v>
      </c>
    </row>
    <row r="1362" spans="1:10" ht="15.75" customHeight="1">
      <c r="A1362" t="s">
        <v>1959</v>
      </c>
      <c r="B1362">
        <v>24.3</v>
      </c>
      <c r="C1362">
        <v>5.43</v>
      </c>
      <c r="E1362" t="s">
        <v>4685</v>
      </c>
      <c r="F1362" t="s">
        <v>4685</v>
      </c>
      <c r="G1362" t="s">
        <v>4685</v>
      </c>
      <c r="H1362" s="2">
        <v>2</v>
      </c>
      <c r="I1362" t="s">
        <v>4685</v>
      </c>
      <c r="J1362" t="str">
        <f t="shared" si="6"/>
        <v>normalweight</v>
      </c>
    </row>
    <row r="1363" spans="1:10" ht="15.75" customHeight="1">
      <c r="A1363" t="s">
        <v>1957</v>
      </c>
      <c r="B1363">
        <v>25.13</v>
      </c>
      <c r="C1363">
        <v>8</v>
      </c>
      <c r="D1363" s="6" t="s">
        <v>4684</v>
      </c>
      <c r="E1363" t="s">
        <v>4686</v>
      </c>
      <c r="F1363" t="s">
        <v>4685</v>
      </c>
      <c r="G1363" t="s">
        <v>4685</v>
      </c>
      <c r="H1363" s="2">
        <v>1</v>
      </c>
      <c r="I1363" t="s">
        <v>4685</v>
      </c>
      <c r="J1363" t="str">
        <f t="shared" si="6"/>
        <v>normalweight</v>
      </c>
    </row>
    <row r="1364" spans="1:10" ht="15.75" customHeight="1">
      <c r="A1364" t="s">
        <v>1955</v>
      </c>
      <c r="B1364">
        <v>22.72</v>
      </c>
      <c r="C1364">
        <v>9.9600000000000009</v>
      </c>
      <c r="D1364" s="6" t="s">
        <v>4684</v>
      </c>
      <c r="E1364" t="s">
        <v>4686</v>
      </c>
      <c r="F1364" t="s">
        <v>4685</v>
      </c>
      <c r="G1364" t="s">
        <v>4685</v>
      </c>
      <c r="H1364" s="2">
        <v>2</v>
      </c>
      <c r="I1364" t="s">
        <v>4685</v>
      </c>
      <c r="J1364" t="str">
        <f t="shared" si="6"/>
        <v>normalweight</v>
      </c>
    </row>
    <row r="1365" spans="1:10" ht="15.75" customHeight="1">
      <c r="A1365" t="s">
        <v>1953</v>
      </c>
      <c r="B1365">
        <v>32.6</v>
      </c>
      <c r="C1365">
        <v>6.8</v>
      </c>
      <c r="E1365" t="s">
        <v>4686</v>
      </c>
      <c r="F1365" t="s">
        <v>4685</v>
      </c>
      <c r="G1365" t="s">
        <v>4685</v>
      </c>
      <c r="H1365" s="2">
        <v>0</v>
      </c>
      <c r="I1365" t="s">
        <v>4685</v>
      </c>
      <c r="J1365" t="str">
        <f t="shared" si="6"/>
        <v>normalweight</v>
      </c>
    </row>
    <row r="1366" spans="1:10" ht="15.75" customHeight="1">
      <c r="A1366" t="s">
        <v>1951</v>
      </c>
      <c r="B1366">
        <v>17.28</v>
      </c>
      <c r="C1366">
        <v>6.22</v>
      </c>
      <c r="E1366" t="s">
        <v>4686</v>
      </c>
      <c r="F1366" t="s">
        <v>4685</v>
      </c>
      <c r="G1366" t="s">
        <v>4685</v>
      </c>
      <c r="H1366" s="2">
        <v>2</v>
      </c>
      <c r="I1366" t="s">
        <v>4685</v>
      </c>
      <c r="J1366" t="str">
        <f t="shared" si="6"/>
        <v>underweight</v>
      </c>
    </row>
    <row r="1367" spans="1:10" ht="15.75" customHeight="1">
      <c r="A1367" t="s">
        <v>1949</v>
      </c>
      <c r="B1367">
        <v>27.92</v>
      </c>
      <c r="C1367">
        <v>5.79</v>
      </c>
      <c r="E1367" t="s">
        <v>4685</v>
      </c>
      <c r="F1367" t="s">
        <v>4685</v>
      </c>
      <c r="G1367" t="s">
        <v>4685</v>
      </c>
      <c r="H1367" s="2">
        <v>1</v>
      </c>
      <c r="I1367" t="s">
        <v>4685</v>
      </c>
      <c r="J1367" t="str">
        <f t="shared" si="6"/>
        <v>normalweight</v>
      </c>
    </row>
    <row r="1368" spans="1:10" ht="15.75" customHeight="1">
      <c r="A1368" t="s">
        <v>1947</v>
      </c>
      <c r="B1368">
        <v>38.284999999999997</v>
      </c>
      <c r="C1368">
        <v>5.41</v>
      </c>
      <c r="E1368" t="s">
        <v>4685</v>
      </c>
      <c r="F1368" t="s">
        <v>4685</v>
      </c>
      <c r="G1368" t="s">
        <v>4685</v>
      </c>
      <c r="H1368" s="2">
        <v>0</v>
      </c>
      <c r="I1368" t="s">
        <v>4685</v>
      </c>
      <c r="J1368" t="str">
        <f t="shared" si="6"/>
        <v>normalweight</v>
      </c>
    </row>
    <row r="1369" spans="1:10" ht="15.75" customHeight="1">
      <c r="A1369" t="s">
        <v>1945</v>
      </c>
      <c r="B1369">
        <v>16.48</v>
      </c>
      <c r="C1369">
        <v>11.05</v>
      </c>
      <c r="D1369" s="6" t="s">
        <v>4684</v>
      </c>
      <c r="E1369" t="s">
        <v>4685</v>
      </c>
      <c r="F1369" t="s">
        <v>4685</v>
      </c>
      <c r="G1369" t="s">
        <v>4685</v>
      </c>
      <c r="H1369" s="2">
        <v>0</v>
      </c>
      <c r="I1369" t="s">
        <v>4685</v>
      </c>
      <c r="J1369" t="str">
        <f t="shared" si="6"/>
        <v>underweight</v>
      </c>
    </row>
    <row r="1370" spans="1:10" ht="15.75" customHeight="1">
      <c r="A1370" t="s">
        <v>1943</v>
      </c>
      <c r="B1370">
        <v>38.57</v>
      </c>
      <c r="C1370">
        <v>6.27</v>
      </c>
      <c r="E1370" t="s">
        <v>4685</v>
      </c>
      <c r="F1370" t="s">
        <v>4685</v>
      </c>
      <c r="G1370" t="s">
        <v>4685</v>
      </c>
      <c r="H1370" s="2">
        <v>0</v>
      </c>
      <c r="I1370" t="s">
        <v>4685</v>
      </c>
      <c r="J1370" t="str">
        <f t="shared" si="6"/>
        <v>normalweight</v>
      </c>
    </row>
    <row r="1371" spans="1:10" ht="15.75" customHeight="1">
      <c r="A1371" t="s">
        <v>1941</v>
      </c>
      <c r="B1371">
        <v>43.85</v>
      </c>
      <c r="C1371">
        <v>4.7699999999999996</v>
      </c>
      <c r="E1371" t="s">
        <v>4686</v>
      </c>
      <c r="F1371" t="s">
        <v>4685</v>
      </c>
      <c r="G1371" t="s">
        <v>4685</v>
      </c>
      <c r="H1371" s="2">
        <v>0</v>
      </c>
      <c r="I1371" t="s">
        <v>4685</v>
      </c>
      <c r="J1371" t="str">
        <f t="shared" si="6"/>
        <v>normalweight</v>
      </c>
    </row>
    <row r="1372" spans="1:10" ht="15.75" customHeight="1">
      <c r="A1372" t="s">
        <v>1939</v>
      </c>
      <c r="B1372">
        <v>30.11</v>
      </c>
      <c r="C1372">
        <v>4.08</v>
      </c>
      <c r="E1372" t="s">
        <v>4685</v>
      </c>
      <c r="F1372" t="s">
        <v>4685</v>
      </c>
      <c r="G1372" t="s">
        <v>4685</v>
      </c>
      <c r="H1372" s="2">
        <v>0</v>
      </c>
      <c r="I1372" t="s">
        <v>4685</v>
      </c>
      <c r="J1372" t="str">
        <f t="shared" si="6"/>
        <v>normalweight</v>
      </c>
    </row>
    <row r="1373" spans="1:10" ht="15.75" customHeight="1">
      <c r="A1373" t="s">
        <v>1937</v>
      </c>
      <c r="B1373">
        <v>31.59</v>
      </c>
      <c r="C1373">
        <v>6.01</v>
      </c>
      <c r="E1373" t="s">
        <v>4685</v>
      </c>
      <c r="F1373" t="s">
        <v>4685</v>
      </c>
      <c r="G1373" t="s">
        <v>4685</v>
      </c>
      <c r="H1373" s="2">
        <v>0</v>
      </c>
      <c r="I1373" t="s">
        <v>4685</v>
      </c>
      <c r="J1373" t="str">
        <f t="shared" si="6"/>
        <v>normalweight</v>
      </c>
    </row>
    <row r="1374" spans="1:10" ht="15.75" customHeight="1">
      <c r="A1374" t="s">
        <v>1935</v>
      </c>
      <c r="B1374">
        <v>40.15</v>
      </c>
      <c r="C1374">
        <v>11.84</v>
      </c>
      <c r="D1374" s="6" t="s">
        <v>4684</v>
      </c>
      <c r="E1374" t="s">
        <v>4685</v>
      </c>
      <c r="F1374" t="s">
        <v>4685</v>
      </c>
      <c r="G1374" t="s">
        <v>4685</v>
      </c>
      <c r="H1374" s="2">
        <v>0</v>
      </c>
      <c r="I1374" t="s">
        <v>4685</v>
      </c>
      <c r="J1374" t="str">
        <f t="shared" si="6"/>
        <v>normalweight</v>
      </c>
    </row>
    <row r="1375" spans="1:10" ht="15.75" customHeight="1">
      <c r="A1375" t="s">
        <v>1933</v>
      </c>
      <c r="B1375">
        <v>40.700000000000003</v>
      </c>
      <c r="C1375">
        <v>6.27</v>
      </c>
      <c r="E1375" t="s">
        <v>4686</v>
      </c>
      <c r="F1375" t="s">
        <v>4685</v>
      </c>
      <c r="G1375" t="s">
        <v>4688</v>
      </c>
      <c r="H1375" s="2">
        <v>1</v>
      </c>
      <c r="I1375" t="s">
        <v>4685</v>
      </c>
      <c r="J1375" t="str">
        <f t="shared" si="6"/>
        <v>normalweight</v>
      </c>
    </row>
    <row r="1376" spans="1:10" ht="15.75" customHeight="1">
      <c r="A1376" t="s">
        <v>1931</v>
      </c>
      <c r="B1376">
        <v>40.76</v>
      </c>
      <c r="C1376">
        <v>5.28</v>
      </c>
      <c r="E1376" t="s">
        <v>4685</v>
      </c>
      <c r="F1376" t="s">
        <v>4685</v>
      </c>
      <c r="G1376" t="s">
        <v>4685</v>
      </c>
      <c r="H1376" s="2">
        <v>0</v>
      </c>
      <c r="I1376" t="s">
        <v>4685</v>
      </c>
      <c r="J1376" t="str">
        <f t="shared" si="6"/>
        <v>normalweight</v>
      </c>
    </row>
    <row r="1377" spans="1:10" ht="15.75" customHeight="1">
      <c r="A1377" t="s">
        <v>1929</v>
      </c>
      <c r="B1377">
        <v>29.7</v>
      </c>
      <c r="C1377">
        <v>7.03</v>
      </c>
      <c r="D1377" s="6" t="s">
        <v>4684</v>
      </c>
      <c r="E1377" t="s">
        <v>4685</v>
      </c>
      <c r="F1377" t="s">
        <v>4685</v>
      </c>
      <c r="G1377" t="s">
        <v>4685</v>
      </c>
      <c r="H1377" s="2">
        <v>0</v>
      </c>
      <c r="I1377" t="s">
        <v>4685</v>
      </c>
      <c r="J1377" t="str">
        <f t="shared" si="6"/>
        <v>normalweight</v>
      </c>
    </row>
    <row r="1378" spans="1:10" ht="15.75" customHeight="1">
      <c r="A1378" t="s">
        <v>1927</v>
      </c>
      <c r="B1378">
        <v>40.58</v>
      </c>
      <c r="C1378">
        <v>5.32</v>
      </c>
      <c r="E1378" t="s">
        <v>4686</v>
      </c>
      <c r="F1378" t="s">
        <v>4685</v>
      </c>
      <c r="G1378" t="s">
        <v>4688</v>
      </c>
      <c r="H1378" s="2">
        <v>1</v>
      </c>
      <c r="I1378" t="s">
        <v>4685</v>
      </c>
      <c r="J1378" t="str">
        <f t="shared" si="6"/>
        <v>normalweight</v>
      </c>
    </row>
    <row r="1379" spans="1:10" ht="15.75" customHeight="1">
      <c r="A1379" t="s">
        <v>1925</v>
      </c>
      <c r="B1379">
        <v>33.06</v>
      </c>
      <c r="C1379">
        <v>9.59</v>
      </c>
      <c r="D1379" s="6" t="s">
        <v>4684</v>
      </c>
      <c r="E1379" t="s">
        <v>4686</v>
      </c>
      <c r="F1379" t="s">
        <v>4685</v>
      </c>
      <c r="G1379" t="s">
        <v>4685</v>
      </c>
      <c r="H1379" s="2">
        <v>0</v>
      </c>
      <c r="I1379" t="s">
        <v>4685</v>
      </c>
      <c r="J1379" t="str">
        <f t="shared" si="6"/>
        <v>normalweight</v>
      </c>
    </row>
    <row r="1380" spans="1:10" ht="15.75" customHeight="1">
      <c r="A1380" t="s">
        <v>1923</v>
      </c>
      <c r="B1380">
        <v>26.62</v>
      </c>
      <c r="C1380">
        <v>6.15</v>
      </c>
      <c r="E1380" t="s">
        <v>4686</v>
      </c>
      <c r="F1380" t="s">
        <v>4685</v>
      </c>
      <c r="G1380" t="s">
        <v>4685</v>
      </c>
      <c r="H1380" s="2">
        <v>0</v>
      </c>
      <c r="I1380" t="s">
        <v>4685</v>
      </c>
      <c r="J1380" t="str">
        <f t="shared" si="6"/>
        <v>normalweight</v>
      </c>
    </row>
    <row r="1381" spans="1:10" ht="15.75" customHeight="1">
      <c r="A1381" t="s">
        <v>1921</v>
      </c>
      <c r="B1381">
        <v>37.1</v>
      </c>
      <c r="C1381">
        <v>11.08</v>
      </c>
      <c r="D1381" s="6" t="s">
        <v>4684</v>
      </c>
      <c r="E1381" t="s">
        <v>4685</v>
      </c>
      <c r="F1381" t="s">
        <v>4685</v>
      </c>
      <c r="G1381" t="s">
        <v>4685</v>
      </c>
      <c r="H1381" s="2">
        <v>0</v>
      </c>
      <c r="I1381" t="s">
        <v>4685</v>
      </c>
      <c r="J1381" t="str">
        <f t="shared" si="6"/>
        <v>normalweight</v>
      </c>
    </row>
    <row r="1382" spans="1:10" ht="15.75" customHeight="1">
      <c r="A1382" t="s">
        <v>1919</v>
      </c>
      <c r="B1382">
        <v>18.28</v>
      </c>
      <c r="C1382">
        <v>7.95</v>
      </c>
      <c r="D1382" s="6" t="s">
        <v>4684</v>
      </c>
      <c r="E1382" t="s">
        <v>4685</v>
      </c>
      <c r="F1382" t="s">
        <v>4685</v>
      </c>
      <c r="G1382" t="s">
        <v>4685</v>
      </c>
      <c r="H1382" s="2">
        <v>0</v>
      </c>
      <c r="I1382" t="s">
        <v>4685</v>
      </c>
      <c r="J1382" t="str">
        <f t="shared" si="6"/>
        <v>underweight</v>
      </c>
    </row>
    <row r="1383" spans="1:10" ht="15.75" customHeight="1">
      <c r="A1383" t="s">
        <v>1917</v>
      </c>
      <c r="B1383">
        <v>35.814999999999998</v>
      </c>
      <c r="C1383">
        <v>6.23</v>
      </c>
      <c r="E1383" t="s">
        <v>4685</v>
      </c>
      <c r="F1383" t="s">
        <v>4685</v>
      </c>
      <c r="G1383" t="s">
        <v>4685</v>
      </c>
      <c r="H1383" s="2">
        <v>0</v>
      </c>
      <c r="I1383" t="s">
        <v>4685</v>
      </c>
      <c r="J1383" t="str">
        <f t="shared" si="6"/>
        <v>normalweight</v>
      </c>
    </row>
    <row r="1384" spans="1:10" ht="15.75" customHeight="1">
      <c r="A1384" t="s">
        <v>1915</v>
      </c>
      <c r="B1384">
        <v>30.69</v>
      </c>
      <c r="C1384">
        <v>6.5</v>
      </c>
      <c r="E1384" t="s">
        <v>4685</v>
      </c>
      <c r="F1384" t="s">
        <v>4685</v>
      </c>
      <c r="G1384" t="s">
        <v>4685</v>
      </c>
      <c r="H1384" s="2">
        <v>0</v>
      </c>
      <c r="I1384" t="s">
        <v>4685</v>
      </c>
      <c r="J1384" t="str">
        <f t="shared" si="6"/>
        <v>normalweight</v>
      </c>
    </row>
    <row r="1385" spans="1:10" ht="15.75" customHeight="1">
      <c r="A1385" t="s">
        <v>1913</v>
      </c>
      <c r="B1385">
        <v>26.125</v>
      </c>
      <c r="C1385">
        <v>5.22</v>
      </c>
      <c r="E1385" t="s">
        <v>4685</v>
      </c>
      <c r="F1385" t="s">
        <v>4685</v>
      </c>
      <c r="G1385" t="s">
        <v>4685</v>
      </c>
      <c r="H1385" s="2">
        <v>0</v>
      </c>
      <c r="I1385" t="s">
        <v>4685</v>
      </c>
      <c r="J1385" t="str">
        <f t="shared" si="6"/>
        <v>normalweight</v>
      </c>
    </row>
    <row r="1386" spans="1:10" ht="15.75" customHeight="1">
      <c r="A1386" t="s">
        <v>1911</v>
      </c>
      <c r="B1386">
        <v>34.58</v>
      </c>
      <c r="C1386">
        <v>6.3</v>
      </c>
      <c r="E1386" t="s">
        <v>4685</v>
      </c>
      <c r="F1386" t="s">
        <v>4685</v>
      </c>
      <c r="G1386" t="s">
        <v>4688</v>
      </c>
      <c r="H1386" s="2">
        <v>1</v>
      </c>
      <c r="I1386" t="s">
        <v>4685</v>
      </c>
      <c r="J1386" t="str">
        <f t="shared" si="6"/>
        <v>normalweight</v>
      </c>
    </row>
    <row r="1387" spans="1:10" ht="15.75" customHeight="1">
      <c r="A1387" t="s">
        <v>1909</v>
      </c>
      <c r="B1387">
        <v>27.4</v>
      </c>
      <c r="C1387">
        <v>8.84</v>
      </c>
      <c r="D1387" s="6" t="s">
        <v>4684</v>
      </c>
      <c r="E1387" t="s">
        <v>4685</v>
      </c>
      <c r="F1387" t="s">
        <v>4685</v>
      </c>
      <c r="G1387" t="s">
        <v>4685</v>
      </c>
      <c r="H1387" s="2">
        <v>0</v>
      </c>
      <c r="I1387" t="s">
        <v>4685</v>
      </c>
      <c r="J1387" t="str">
        <f t="shared" si="6"/>
        <v>normalweight</v>
      </c>
    </row>
    <row r="1388" spans="1:10" ht="15.75" customHeight="1">
      <c r="A1388" t="s">
        <v>1907</v>
      </c>
      <c r="B1388">
        <v>27.53</v>
      </c>
      <c r="C1388">
        <v>4.1100000000000003</v>
      </c>
      <c r="E1388" t="s">
        <v>4685</v>
      </c>
      <c r="F1388" t="s">
        <v>4685</v>
      </c>
      <c r="G1388" t="s">
        <v>4685</v>
      </c>
      <c r="H1388" s="2">
        <v>1</v>
      </c>
      <c r="I1388" t="s">
        <v>4685</v>
      </c>
      <c r="J1388" t="str">
        <f t="shared" si="6"/>
        <v>normalweight</v>
      </c>
    </row>
    <row r="1389" spans="1:10" ht="15.75" customHeight="1">
      <c r="A1389" t="s">
        <v>1905</v>
      </c>
      <c r="B1389">
        <v>33</v>
      </c>
      <c r="C1389">
        <v>4.57</v>
      </c>
      <c r="E1389" t="s">
        <v>4685</v>
      </c>
      <c r="F1389" t="s">
        <v>4685</v>
      </c>
      <c r="G1389" t="s">
        <v>4685</v>
      </c>
      <c r="H1389" s="2">
        <v>0</v>
      </c>
      <c r="I1389" t="s">
        <v>4685</v>
      </c>
      <c r="J1389" t="str">
        <f t="shared" si="6"/>
        <v>normalweight</v>
      </c>
    </row>
    <row r="1390" spans="1:10" ht="15.75" customHeight="1">
      <c r="A1390" t="s">
        <v>1903</v>
      </c>
      <c r="B1390">
        <v>25.78</v>
      </c>
      <c r="C1390">
        <v>11.06</v>
      </c>
      <c r="D1390" s="6" t="s">
        <v>4684</v>
      </c>
      <c r="E1390" t="s">
        <v>4686</v>
      </c>
      <c r="F1390" t="s">
        <v>4685</v>
      </c>
      <c r="G1390" t="s">
        <v>4685</v>
      </c>
      <c r="H1390" s="2">
        <v>0</v>
      </c>
      <c r="I1390" t="s">
        <v>4685</v>
      </c>
      <c r="J1390" t="str">
        <f t="shared" si="6"/>
        <v>normalweight</v>
      </c>
    </row>
    <row r="1391" spans="1:10" ht="15.75" customHeight="1">
      <c r="A1391" t="s">
        <v>1901</v>
      </c>
      <c r="B1391">
        <v>22.66</v>
      </c>
      <c r="C1391">
        <v>10.68</v>
      </c>
      <c r="D1391" s="6" t="s">
        <v>4684</v>
      </c>
      <c r="E1391" t="s">
        <v>4685</v>
      </c>
      <c r="F1391" t="s">
        <v>4685</v>
      </c>
      <c r="G1391" t="s">
        <v>4685</v>
      </c>
      <c r="H1391" s="2">
        <v>0</v>
      </c>
      <c r="I1391" t="s">
        <v>4685</v>
      </c>
      <c r="J1391" t="str">
        <f t="shared" si="6"/>
        <v>normalweight</v>
      </c>
    </row>
    <row r="1392" spans="1:10" ht="15.75" customHeight="1">
      <c r="A1392" t="s">
        <v>1899</v>
      </c>
      <c r="B1392">
        <v>38.81</v>
      </c>
      <c r="C1392">
        <v>6.14</v>
      </c>
      <c r="E1392" t="s">
        <v>4686</v>
      </c>
      <c r="F1392" t="s">
        <v>4685</v>
      </c>
      <c r="G1392" t="s">
        <v>4685</v>
      </c>
      <c r="H1392" s="2">
        <v>1</v>
      </c>
      <c r="I1392" t="s">
        <v>4685</v>
      </c>
      <c r="J1392" t="str">
        <f t="shared" si="6"/>
        <v>normalweight</v>
      </c>
    </row>
    <row r="1393" spans="1:10" ht="15.75" customHeight="1">
      <c r="A1393" t="s">
        <v>1897</v>
      </c>
      <c r="B1393">
        <v>38.51</v>
      </c>
      <c r="C1393">
        <v>5.45</v>
      </c>
      <c r="E1393" t="s">
        <v>4686</v>
      </c>
      <c r="F1393" t="s">
        <v>4685</v>
      </c>
      <c r="G1393" t="s">
        <v>4685</v>
      </c>
      <c r="H1393" s="2">
        <v>0</v>
      </c>
      <c r="I1393" t="s">
        <v>4685</v>
      </c>
      <c r="J1393" t="str">
        <f t="shared" si="6"/>
        <v>normalweight</v>
      </c>
    </row>
    <row r="1394" spans="1:10" ht="15.75" customHeight="1">
      <c r="A1394" t="s">
        <v>1895</v>
      </c>
      <c r="B1394">
        <v>22.98</v>
      </c>
      <c r="C1394">
        <v>6.14</v>
      </c>
      <c r="E1394" t="s">
        <v>4686</v>
      </c>
      <c r="F1394" t="s">
        <v>4685</v>
      </c>
      <c r="G1394" t="s">
        <v>4685</v>
      </c>
      <c r="H1394" s="2">
        <v>0</v>
      </c>
      <c r="I1394" t="s">
        <v>4685</v>
      </c>
      <c r="J1394" t="str">
        <f t="shared" si="6"/>
        <v>normalweight</v>
      </c>
    </row>
    <row r="1395" spans="1:10" ht="15.75" customHeight="1">
      <c r="A1395" t="s">
        <v>1893</v>
      </c>
      <c r="B1395">
        <v>15.65</v>
      </c>
      <c r="C1395">
        <v>7.85</v>
      </c>
      <c r="D1395" s="6" t="s">
        <v>4684</v>
      </c>
      <c r="E1395" t="s">
        <v>4685</v>
      </c>
      <c r="F1395" t="s">
        <v>4685</v>
      </c>
      <c r="G1395" t="s">
        <v>4685</v>
      </c>
      <c r="H1395" s="2">
        <v>0</v>
      </c>
      <c r="I1395" t="s">
        <v>4685</v>
      </c>
      <c r="J1395" t="str">
        <f t="shared" si="6"/>
        <v>underweight</v>
      </c>
    </row>
    <row r="1396" spans="1:10" ht="15.75" customHeight="1">
      <c r="A1396" t="s">
        <v>1891</v>
      </c>
      <c r="B1396">
        <v>39.97</v>
      </c>
      <c r="C1396">
        <v>4.09</v>
      </c>
      <c r="E1396" t="s">
        <v>4685</v>
      </c>
      <c r="F1396" t="s">
        <v>4685</v>
      </c>
      <c r="G1396" t="s">
        <v>4685</v>
      </c>
      <c r="H1396" s="2">
        <v>1</v>
      </c>
      <c r="I1396" t="s">
        <v>4685</v>
      </c>
      <c r="J1396" t="str">
        <f t="shared" si="6"/>
        <v>normalweight</v>
      </c>
    </row>
    <row r="1397" spans="1:10" ht="15.75" customHeight="1">
      <c r="A1397" t="s">
        <v>1889</v>
      </c>
      <c r="B1397">
        <v>37.22</v>
      </c>
      <c r="C1397">
        <v>4.62</v>
      </c>
      <c r="E1397" t="s">
        <v>4685</v>
      </c>
      <c r="F1397" t="s">
        <v>4685</v>
      </c>
      <c r="G1397" t="s">
        <v>4688</v>
      </c>
      <c r="H1397" s="2">
        <v>1</v>
      </c>
      <c r="I1397" t="s">
        <v>4685</v>
      </c>
      <c r="J1397" t="str">
        <f t="shared" si="6"/>
        <v>normalweight</v>
      </c>
    </row>
    <row r="1398" spans="1:10" ht="15.75" customHeight="1">
      <c r="A1398" t="s">
        <v>1887</v>
      </c>
      <c r="B1398">
        <v>41.325000000000003</v>
      </c>
      <c r="C1398">
        <v>5.77</v>
      </c>
      <c r="E1398" t="s">
        <v>4685</v>
      </c>
      <c r="F1398" t="s">
        <v>4685</v>
      </c>
      <c r="G1398" t="s">
        <v>4685</v>
      </c>
      <c r="H1398" s="2">
        <v>0</v>
      </c>
      <c r="I1398" t="s">
        <v>4685</v>
      </c>
      <c r="J1398" t="str">
        <f t="shared" si="6"/>
        <v>normalweight</v>
      </c>
    </row>
    <row r="1399" spans="1:10" ht="15.75" customHeight="1">
      <c r="A1399" t="s">
        <v>1885</v>
      </c>
      <c r="B1399">
        <v>40.31</v>
      </c>
      <c r="C1399">
        <v>5.84</v>
      </c>
      <c r="E1399" t="s">
        <v>4685</v>
      </c>
      <c r="F1399" t="s">
        <v>4685</v>
      </c>
      <c r="G1399" t="s">
        <v>4685</v>
      </c>
      <c r="H1399" s="2">
        <v>0</v>
      </c>
      <c r="I1399" t="s">
        <v>4685</v>
      </c>
      <c r="J1399" t="str">
        <f t="shared" si="6"/>
        <v>normalweight</v>
      </c>
    </row>
    <row r="1400" spans="1:10" ht="15.75" customHeight="1">
      <c r="A1400" t="s">
        <v>1883</v>
      </c>
      <c r="B1400">
        <v>29.48</v>
      </c>
      <c r="C1400">
        <v>4.91</v>
      </c>
      <c r="E1400" t="s">
        <v>4685</v>
      </c>
      <c r="F1400" t="s">
        <v>4685</v>
      </c>
      <c r="G1400" t="s">
        <v>4685</v>
      </c>
      <c r="H1400" s="2">
        <v>0</v>
      </c>
      <c r="I1400" t="s">
        <v>4685</v>
      </c>
      <c r="J1400" t="str">
        <f t="shared" si="6"/>
        <v>normalweight</v>
      </c>
    </row>
    <row r="1401" spans="1:10" ht="15.75" customHeight="1">
      <c r="A1401" t="s">
        <v>1881</v>
      </c>
      <c r="B1401">
        <v>33.155000000000001</v>
      </c>
      <c r="C1401">
        <v>5.07</v>
      </c>
      <c r="E1401" t="s">
        <v>4685</v>
      </c>
      <c r="F1401" t="s">
        <v>4685</v>
      </c>
      <c r="G1401" t="s">
        <v>4685</v>
      </c>
      <c r="H1401" s="2">
        <v>0</v>
      </c>
      <c r="I1401" t="s">
        <v>4685</v>
      </c>
      <c r="J1401" t="str">
        <f t="shared" si="6"/>
        <v>normalweight</v>
      </c>
    </row>
    <row r="1402" spans="1:10" ht="15.75" customHeight="1">
      <c r="A1402" t="s">
        <v>1879</v>
      </c>
      <c r="B1402">
        <v>42.85</v>
      </c>
      <c r="C1402">
        <v>5.81</v>
      </c>
      <c r="E1402" t="s">
        <v>4686</v>
      </c>
      <c r="F1402" t="s">
        <v>4685</v>
      </c>
      <c r="G1402" t="s">
        <v>4685</v>
      </c>
      <c r="H1402" s="2">
        <v>0</v>
      </c>
      <c r="I1402" t="s">
        <v>4685</v>
      </c>
      <c r="J1402" t="str">
        <f t="shared" si="6"/>
        <v>normalweight</v>
      </c>
    </row>
    <row r="1403" spans="1:10" ht="15.75" customHeight="1">
      <c r="A1403" t="s">
        <v>1877</v>
      </c>
      <c r="B1403">
        <v>32.340000000000003</v>
      </c>
      <c r="C1403">
        <v>11.2</v>
      </c>
      <c r="D1403" s="6" t="s">
        <v>4684</v>
      </c>
      <c r="E1403" t="s">
        <v>4685</v>
      </c>
      <c r="F1403" t="s">
        <v>4685</v>
      </c>
      <c r="G1403" t="s">
        <v>4685</v>
      </c>
      <c r="H1403" s="2">
        <v>0</v>
      </c>
      <c r="I1403" t="s">
        <v>4685</v>
      </c>
      <c r="J1403" t="str">
        <f t="shared" si="6"/>
        <v>normalweight</v>
      </c>
    </row>
    <row r="1404" spans="1:10" ht="15.75" customHeight="1">
      <c r="A1404" t="s">
        <v>1875</v>
      </c>
      <c r="B1404">
        <v>27.5</v>
      </c>
      <c r="C1404">
        <v>10.75</v>
      </c>
      <c r="D1404" s="6" t="s">
        <v>4684</v>
      </c>
      <c r="E1404" t="s">
        <v>4685</v>
      </c>
      <c r="F1404" t="s">
        <v>4685</v>
      </c>
      <c r="G1404" t="s">
        <v>4685</v>
      </c>
      <c r="H1404" s="2">
        <v>0</v>
      </c>
      <c r="I1404" t="s">
        <v>4685</v>
      </c>
      <c r="J1404" t="str">
        <f t="shared" si="6"/>
        <v>normalweight</v>
      </c>
    </row>
    <row r="1405" spans="1:10" ht="15.75" customHeight="1">
      <c r="A1405" t="s">
        <v>1873</v>
      </c>
      <c r="B1405">
        <v>25.8</v>
      </c>
      <c r="C1405">
        <v>7.8</v>
      </c>
      <c r="D1405" s="6" t="s">
        <v>4684</v>
      </c>
      <c r="E1405" t="s">
        <v>4685</v>
      </c>
      <c r="F1405" t="s">
        <v>4685</v>
      </c>
      <c r="G1405" t="s">
        <v>4685</v>
      </c>
      <c r="H1405" s="2">
        <v>0</v>
      </c>
      <c r="I1405" t="s">
        <v>4685</v>
      </c>
      <c r="J1405" t="str">
        <f t="shared" si="6"/>
        <v>normalweight</v>
      </c>
    </row>
    <row r="1406" spans="1:10" ht="15.75" customHeight="1">
      <c r="A1406" t="s">
        <v>1871</v>
      </c>
      <c r="B1406">
        <v>25</v>
      </c>
      <c r="C1406">
        <v>7.04</v>
      </c>
      <c r="D1406" s="6" t="s">
        <v>4684</v>
      </c>
      <c r="E1406" t="s">
        <v>4685</v>
      </c>
      <c r="F1406" t="s">
        <v>4685</v>
      </c>
      <c r="G1406" t="s">
        <v>4685</v>
      </c>
      <c r="H1406" s="2">
        <v>0</v>
      </c>
      <c r="I1406" t="s">
        <v>4685</v>
      </c>
      <c r="J1406" t="str">
        <f t="shared" si="6"/>
        <v>normalweight</v>
      </c>
    </row>
    <row r="1407" spans="1:10" ht="15.75" customHeight="1">
      <c r="A1407" t="s">
        <v>1869</v>
      </c>
      <c r="B1407">
        <v>41.2</v>
      </c>
      <c r="C1407">
        <v>4.18</v>
      </c>
      <c r="E1407" t="s">
        <v>4686</v>
      </c>
      <c r="F1407" t="s">
        <v>4685</v>
      </c>
      <c r="G1407" t="s">
        <v>4685</v>
      </c>
      <c r="H1407" s="2">
        <v>0</v>
      </c>
      <c r="I1407" t="s">
        <v>4685</v>
      </c>
      <c r="J1407" t="str">
        <f t="shared" si="6"/>
        <v>normalweight</v>
      </c>
    </row>
    <row r="1408" spans="1:10" ht="15.75" customHeight="1">
      <c r="A1408" t="s">
        <v>1867</v>
      </c>
      <c r="B1408">
        <v>17.78</v>
      </c>
      <c r="C1408">
        <v>8.19</v>
      </c>
      <c r="D1408" s="6" t="s">
        <v>4684</v>
      </c>
      <c r="E1408" t="s">
        <v>4685</v>
      </c>
      <c r="F1408" t="s">
        <v>4685</v>
      </c>
      <c r="G1408" t="s">
        <v>4685</v>
      </c>
      <c r="H1408" s="2">
        <v>0</v>
      </c>
      <c r="I1408" t="s">
        <v>4685</v>
      </c>
      <c r="J1408" t="str">
        <f t="shared" si="6"/>
        <v>underweight</v>
      </c>
    </row>
    <row r="1409" spans="1:10" ht="15.75" customHeight="1">
      <c r="A1409" t="s">
        <v>1865</v>
      </c>
      <c r="B1409">
        <v>40.119999999999997</v>
      </c>
      <c r="C1409">
        <v>6.22</v>
      </c>
      <c r="E1409" t="s">
        <v>4686</v>
      </c>
      <c r="F1409" t="s">
        <v>4685</v>
      </c>
      <c r="G1409" t="s">
        <v>4688</v>
      </c>
      <c r="H1409" s="2">
        <v>1</v>
      </c>
      <c r="I1409" t="s">
        <v>4685</v>
      </c>
      <c r="J1409" t="str">
        <f t="shared" si="6"/>
        <v>normalweight</v>
      </c>
    </row>
    <row r="1410" spans="1:10" ht="15.75" customHeight="1">
      <c r="A1410" t="s">
        <v>1863</v>
      </c>
      <c r="B1410">
        <v>19.350000000000001</v>
      </c>
      <c r="C1410">
        <v>8.2200000000000006</v>
      </c>
      <c r="D1410" s="6" t="s">
        <v>4684</v>
      </c>
      <c r="E1410" t="s">
        <v>4686</v>
      </c>
      <c r="F1410" t="s">
        <v>4685</v>
      </c>
      <c r="G1410" t="s">
        <v>4685</v>
      </c>
      <c r="H1410" s="2">
        <v>0</v>
      </c>
      <c r="I1410" t="s">
        <v>4685</v>
      </c>
      <c r="J1410" t="str">
        <f t="shared" si="6"/>
        <v>normalweight</v>
      </c>
    </row>
    <row r="1411" spans="1:10" ht="15.75" customHeight="1">
      <c r="A1411" t="s">
        <v>1861</v>
      </c>
      <c r="B1411">
        <v>36.69</v>
      </c>
      <c r="C1411">
        <v>6.15</v>
      </c>
      <c r="E1411" t="s">
        <v>4685</v>
      </c>
      <c r="F1411" t="s">
        <v>4685</v>
      </c>
      <c r="G1411" t="s">
        <v>4685</v>
      </c>
      <c r="H1411" s="2">
        <v>0</v>
      </c>
      <c r="I1411" t="s">
        <v>4685</v>
      </c>
      <c r="J1411" t="str">
        <f t="shared" si="6"/>
        <v>normalweight</v>
      </c>
    </row>
    <row r="1412" spans="1:10" ht="15.75" customHeight="1">
      <c r="A1412" t="s">
        <v>1859</v>
      </c>
      <c r="B1412">
        <v>28.51</v>
      </c>
      <c r="C1412">
        <v>5.65</v>
      </c>
      <c r="E1412" t="s">
        <v>4686</v>
      </c>
      <c r="F1412" t="s">
        <v>4685</v>
      </c>
      <c r="G1412" t="s">
        <v>4685</v>
      </c>
      <c r="H1412" s="2">
        <v>1</v>
      </c>
      <c r="I1412" t="s">
        <v>4685</v>
      </c>
      <c r="J1412" t="str">
        <f t="shared" si="6"/>
        <v>normalweight</v>
      </c>
    </row>
    <row r="1413" spans="1:10" ht="15.75" customHeight="1">
      <c r="A1413" t="s">
        <v>1857</v>
      </c>
      <c r="B1413">
        <v>30.21</v>
      </c>
      <c r="C1413">
        <v>5.5</v>
      </c>
      <c r="E1413" t="s">
        <v>4685</v>
      </c>
      <c r="F1413" t="s">
        <v>4685</v>
      </c>
      <c r="G1413" t="s">
        <v>4685</v>
      </c>
      <c r="H1413" s="2">
        <v>1</v>
      </c>
      <c r="I1413" t="s">
        <v>4685</v>
      </c>
      <c r="J1413" t="str">
        <f t="shared" si="6"/>
        <v>normalweight</v>
      </c>
    </row>
    <row r="1414" spans="1:10" ht="15.75" customHeight="1">
      <c r="A1414" t="s">
        <v>1855</v>
      </c>
      <c r="B1414">
        <v>24.33</v>
      </c>
      <c r="C1414">
        <v>8</v>
      </c>
      <c r="D1414" s="6" t="s">
        <v>4684</v>
      </c>
      <c r="E1414" t="s">
        <v>4685</v>
      </c>
      <c r="F1414" t="s">
        <v>4685</v>
      </c>
      <c r="G1414" t="s">
        <v>4685</v>
      </c>
      <c r="H1414" s="2">
        <v>0</v>
      </c>
      <c r="I1414" t="s">
        <v>4685</v>
      </c>
      <c r="J1414" t="str">
        <f t="shared" si="6"/>
        <v>normalweight</v>
      </c>
    </row>
    <row r="1415" spans="1:10" ht="15.75" customHeight="1">
      <c r="A1415" t="s">
        <v>1853</v>
      </c>
      <c r="B1415">
        <v>19.855</v>
      </c>
      <c r="C1415">
        <v>5.71</v>
      </c>
      <c r="E1415" t="s">
        <v>4686</v>
      </c>
      <c r="F1415" t="s">
        <v>4685</v>
      </c>
      <c r="G1415" t="s">
        <v>4685</v>
      </c>
      <c r="H1415" s="2">
        <v>0</v>
      </c>
      <c r="I1415" t="s">
        <v>4685</v>
      </c>
      <c r="J1415" t="str">
        <f t="shared" si="6"/>
        <v>normalweight</v>
      </c>
    </row>
    <row r="1416" spans="1:10" ht="15.75" customHeight="1">
      <c r="A1416" t="s">
        <v>1851</v>
      </c>
      <c r="B1416">
        <v>25.364999999999998</v>
      </c>
      <c r="C1416">
        <v>11.71</v>
      </c>
      <c r="D1416" s="6" t="s">
        <v>4684</v>
      </c>
      <c r="E1416" t="s">
        <v>4685</v>
      </c>
      <c r="F1416" t="s">
        <v>4685</v>
      </c>
      <c r="G1416" t="s">
        <v>4685</v>
      </c>
      <c r="H1416" s="2">
        <v>0</v>
      </c>
      <c r="I1416" t="s">
        <v>4685</v>
      </c>
      <c r="J1416" t="str">
        <f t="shared" si="6"/>
        <v>normalweight</v>
      </c>
    </row>
    <row r="1417" spans="1:10" ht="15.75" customHeight="1">
      <c r="A1417" t="s">
        <v>1849</v>
      </c>
      <c r="B1417">
        <v>29.6</v>
      </c>
      <c r="C1417">
        <v>6.17</v>
      </c>
      <c r="E1417" t="s">
        <v>4686</v>
      </c>
      <c r="F1417" t="s">
        <v>4685</v>
      </c>
      <c r="G1417" t="s">
        <v>4688</v>
      </c>
      <c r="H1417" s="2">
        <v>1</v>
      </c>
      <c r="I1417" t="s">
        <v>4685</v>
      </c>
      <c r="J1417" t="str">
        <f t="shared" si="6"/>
        <v>normalweight</v>
      </c>
    </row>
    <row r="1418" spans="1:10" ht="15.75" customHeight="1">
      <c r="A1418" t="s">
        <v>1847</v>
      </c>
      <c r="B1418">
        <v>39.43</v>
      </c>
      <c r="C1418">
        <v>6.1</v>
      </c>
      <c r="E1418" t="s">
        <v>4686</v>
      </c>
      <c r="F1418" t="s">
        <v>4685</v>
      </c>
      <c r="G1418" t="s">
        <v>4688</v>
      </c>
      <c r="H1418" s="2">
        <v>1</v>
      </c>
      <c r="I1418" t="s">
        <v>4685</v>
      </c>
      <c r="J1418" t="str">
        <f t="shared" si="6"/>
        <v>normalweight</v>
      </c>
    </row>
    <row r="1419" spans="1:10" ht="15.75" customHeight="1">
      <c r="A1419" t="s">
        <v>1845</v>
      </c>
      <c r="B1419">
        <v>27.34</v>
      </c>
      <c r="C1419">
        <v>5.19</v>
      </c>
      <c r="E1419" t="s">
        <v>4686</v>
      </c>
      <c r="F1419" t="s">
        <v>4685</v>
      </c>
      <c r="G1419" t="s">
        <v>4685</v>
      </c>
      <c r="H1419" s="2">
        <v>1</v>
      </c>
      <c r="I1419" t="s">
        <v>4685</v>
      </c>
      <c r="J1419" t="str">
        <f t="shared" si="6"/>
        <v>normalweight</v>
      </c>
    </row>
    <row r="1420" spans="1:10" ht="15.75" customHeight="1">
      <c r="A1420" t="s">
        <v>1843</v>
      </c>
      <c r="B1420">
        <v>39.01</v>
      </c>
      <c r="C1420">
        <v>5.37</v>
      </c>
      <c r="E1420" t="s">
        <v>4686</v>
      </c>
      <c r="F1420" t="s">
        <v>4685</v>
      </c>
      <c r="G1420" t="s">
        <v>4685</v>
      </c>
      <c r="H1420" s="2">
        <v>0</v>
      </c>
      <c r="I1420" t="s">
        <v>4685</v>
      </c>
      <c r="J1420" t="str">
        <f t="shared" si="6"/>
        <v>normalweight</v>
      </c>
    </row>
    <row r="1421" spans="1:10" ht="15.75" customHeight="1">
      <c r="A1421" t="s">
        <v>1841</v>
      </c>
      <c r="B1421">
        <v>18.989999999999998</v>
      </c>
      <c r="C1421">
        <v>10.82</v>
      </c>
      <c r="D1421" s="6" t="s">
        <v>4684</v>
      </c>
      <c r="E1421" t="s">
        <v>4686</v>
      </c>
      <c r="F1421" t="s">
        <v>4685</v>
      </c>
      <c r="G1421" t="s">
        <v>4685</v>
      </c>
      <c r="H1421" s="2">
        <v>0</v>
      </c>
      <c r="I1421" t="s">
        <v>4685</v>
      </c>
      <c r="J1421" t="str">
        <f t="shared" si="6"/>
        <v>normalweight</v>
      </c>
    </row>
    <row r="1422" spans="1:10" ht="15.75" customHeight="1">
      <c r="A1422" t="s">
        <v>1839</v>
      </c>
      <c r="B1422">
        <v>42.3</v>
      </c>
      <c r="C1422">
        <v>6.06</v>
      </c>
      <c r="E1422" t="s">
        <v>4686</v>
      </c>
      <c r="F1422" t="s">
        <v>4685</v>
      </c>
      <c r="G1422" t="s">
        <v>4685</v>
      </c>
      <c r="H1422" s="2">
        <v>0</v>
      </c>
      <c r="I1422" t="s">
        <v>4685</v>
      </c>
      <c r="J1422" t="str">
        <f t="shared" si="6"/>
        <v>normalweight</v>
      </c>
    </row>
    <row r="1423" spans="1:10" ht="15.75" customHeight="1">
      <c r="A1423" t="s">
        <v>1837</v>
      </c>
      <c r="B1423">
        <v>39.805</v>
      </c>
      <c r="C1423">
        <v>5.91</v>
      </c>
      <c r="E1423" t="s">
        <v>4685</v>
      </c>
      <c r="F1423" t="s">
        <v>4685</v>
      </c>
      <c r="G1423" t="s">
        <v>4685</v>
      </c>
      <c r="H1423" s="2">
        <v>0</v>
      </c>
      <c r="I1423" t="s">
        <v>4685</v>
      </c>
      <c r="J1423" t="str">
        <f t="shared" si="6"/>
        <v>normalweight</v>
      </c>
    </row>
    <row r="1424" spans="1:10" ht="15.75" customHeight="1">
      <c r="A1424" t="s">
        <v>1835</v>
      </c>
      <c r="B1424">
        <v>33.700000000000003</v>
      </c>
      <c r="C1424">
        <v>5.87</v>
      </c>
      <c r="E1424" t="s">
        <v>4685</v>
      </c>
      <c r="F1424" t="s">
        <v>4685</v>
      </c>
      <c r="G1424" t="s">
        <v>4685</v>
      </c>
      <c r="H1424" s="2">
        <v>0</v>
      </c>
      <c r="I1424" t="s">
        <v>4685</v>
      </c>
      <c r="J1424" t="str">
        <f t="shared" si="6"/>
        <v>normalweight</v>
      </c>
    </row>
    <row r="1425" spans="1:10" ht="15.75" customHeight="1">
      <c r="A1425" t="s">
        <v>1833</v>
      </c>
      <c r="B1425">
        <v>36.195</v>
      </c>
      <c r="C1425">
        <v>6.22</v>
      </c>
      <c r="E1425" t="s">
        <v>4685</v>
      </c>
      <c r="F1425" t="s">
        <v>4685</v>
      </c>
      <c r="G1425" t="s">
        <v>4685</v>
      </c>
      <c r="H1425" s="2">
        <v>0</v>
      </c>
      <c r="I1425" t="s">
        <v>4685</v>
      </c>
      <c r="J1425" t="str">
        <f t="shared" si="6"/>
        <v>normalweight</v>
      </c>
    </row>
    <row r="1426" spans="1:10" ht="15.75" customHeight="1">
      <c r="A1426" t="s">
        <v>1831</v>
      </c>
      <c r="B1426">
        <v>32.6</v>
      </c>
      <c r="C1426">
        <v>5.73</v>
      </c>
      <c r="E1426" t="s">
        <v>4685</v>
      </c>
      <c r="F1426" t="s">
        <v>4685</v>
      </c>
      <c r="G1426" t="s">
        <v>4688</v>
      </c>
      <c r="H1426" s="2">
        <v>1</v>
      </c>
      <c r="I1426" t="s">
        <v>4685</v>
      </c>
      <c r="J1426" t="str">
        <f t="shared" si="6"/>
        <v>normalweight</v>
      </c>
    </row>
    <row r="1427" spans="1:10" ht="15.75" customHeight="1">
      <c r="A1427" t="s">
        <v>1829</v>
      </c>
      <c r="B1427">
        <v>30.2</v>
      </c>
      <c r="C1427">
        <v>5.7</v>
      </c>
      <c r="E1427" t="s">
        <v>4685</v>
      </c>
      <c r="F1427" t="s">
        <v>4685</v>
      </c>
      <c r="G1427" t="s">
        <v>4685</v>
      </c>
      <c r="H1427" s="2">
        <v>0</v>
      </c>
      <c r="I1427" t="s">
        <v>4685</v>
      </c>
      <c r="J1427" t="str">
        <f t="shared" si="6"/>
        <v>normalweight</v>
      </c>
    </row>
    <row r="1428" spans="1:10" ht="15.75" customHeight="1">
      <c r="A1428" t="s">
        <v>1827</v>
      </c>
      <c r="B1428">
        <v>27.645</v>
      </c>
      <c r="C1428">
        <v>9.91</v>
      </c>
      <c r="D1428" s="6" t="s">
        <v>4684</v>
      </c>
      <c r="E1428" t="s">
        <v>4685</v>
      </c>
      <c r="F1428" t="s">
        <v>4685</v>
      </c>
      <c r="G1428" t="s">
        <v>4685</v>
      </c>
      <c r="H1428" s="2">
        <v>0</v>
      </c>
      <c r="I1428" t="s">
        <v>4685</v>
      </c>
      <c r="J1428" t="str">
        <f t="shared" si="6"/>
        <v>normalweight</v>
      </c>
    </row>
    <row r="1429" spans="1:10" ht="15.75" customHeight="1">
      <c r="A1429" t="s">
        <v>1825</v>
      </c>
      <c r="B1429">
        <v>26.41</v>
      </c>
      <c r="C1429">
        <v>11.4</v>
      </c>
      <c r="D1429" s="6" t="s">
        <v>4684</v>
      </c>
      <c r="E1429" t="s">
        <v>4685</v>
      </c>
      <c r="F1429" t="s">
        <v>4685</v>
      </c>
      <c r="G1429" t="s">
        <v>4685</v>
      </c>
      <c r="H1429" s="2">
        <v>0</v>
      </c>
      <c r="I1429" t="s">
        <v>4685</v>
      </c>
      <c r="J1429" t="str">
        <f t="shared" si="6"/>
        <v>normalweight</v>
      </c>
    </row>
    <row r="1430" spans="1:10" ht="15.75" customHeight="1">
      <c r="A1430" t="s">
        <v>1823</v>
      </c>
      <c r="B1430">
        <v>34.1</v>
      </c>
      <c r="C1430">
        <v>6.29</v>
      </c>
      <c r="E1430" t="s">
        <v>4686</v>
      </c>
      <c r="F1430" t="s">
        <v>4685</v>
      </c>
      <c r="G1430" t="s">
        <v>4688</v>
      </c>
      <c r="H1430" s="2">
        <v>1</v>
      </c>
      <c r="I1430" t="s">
        <v>4685</v>
      </c>
      <c r="J1430" t="str">
        <f t="shared" si="6"/>
        <v>normalweight</v>
      </c>
    </row>
    <row r="1431" spans="1:10" ht="15.75" customHeight="1">
      <c r="A1431" t="s">
        <v>1821</v>
      </c>
      <c r="B1431">
        <v>17.3</v>
      </c>
      <c r="C1431">
        <v>9.2799999999999994</v>
      </c>
      <c r="D1431" s="6" t="s">
        <v>4684</v>
      </c>
      <c r="E1431" t="s">
        <v>4685</v>
      </c>
      <c r="F1431" t="s">
        <v>4685</v>
      </c>
      <c r="G1431" t="s">
        <v>4685</v>
      </c>
      <c r="H1431" s="2">
        <v>0</v>
      </c>
      <c r="I1431" t="s">
        <v>4685</v>
      </c>
      <c r="J1431" t="str">
        <f t="shared" si="6"/>
        <v>underweight</v>
      </c>
    </row>
    <row r="1432" spans="1:10" ht="15.75" customHeight="1">
      <c r="A1432" t="s">
        <v>1819</v>
      </c>
      <c r="B1432">
        <v>35.020000000000003</v>
      </c>
      <c r="C1432">
        <v>4.78</v>
      </c>
      <c r="E1432" t="s">
        <v>4685</v>
      </c>
      <c r="F1432" t="s">
        <v>4685</v>
      </c>
      <c r="G1432" t="s">
        <v>4688</v>
      </c>
      <c r="H1432" s="2">
        <v>1</v>
      </c>
      <c r="I1432" t="s">
        <v>4685</v>
      </c>
      <c r="J1432" t="str">
        <f t="shared" si="6"/>
        <v>normalweight</v>
      </c>
    </row>
    <row r="1433" spans="1:10" ht="15.75" customHeight="1">
      <c r="A1433" t="s">
        <v>1817</v>
      </c>
      <c r="B1433">
        <v>37.1</v>
      </c>
      <c r="C1433">
        <v>8.8699999999999992</v>
      </c>
      <c r="D1433" s="6" t="s">
        <v>4684</v>
      </c>
      <c r="E1433" t="s">
        <v>4686</v>
      </c>
      <c r="F1433" t="s">
        <v>4685</v>
      </c>
      <c r="G1433" t="s">
        <v>4685</v>
      </c>
      <c r="H1433" s="2">
        <v>0</v>
      </c>
      <c r="I1433" t="s">
        <v>4685</v>
      </c>
      <c r="J1433" t="str">
        <f t="shared" si="6"/>
        <v>normalweight</v>
      </c>
    </row>
    <row r="1434" spans="1:10" ht="15.75" customHeight="1">
      <c r="A1434" t="s">
        <v>1815</v>
      </c>
      <c r="B1434">
        <v>16.79</v>
      </c>
      <c r="C1434">
        <v>11.4</v>
      </c>
      <c r="D1434" s="6" t="s">
        <v>4684</v>
      </c>
      <c r="E1434" t="s">
        <v>4685</v>
      </c>
      <c r="F1434" t="s">
        <v>4685</v>
      </c>
      <c r="G1434" t="s">
        <v>4685</v>
      </c>
      <c r="H1434" s="2">
        <v>0</v>
      </c>
      <c r="I1434" t="s">
        <v>4685</v>
      </c>
      <c r="J1434" t="str">
        <f t="shared" si="6"/>
        <v>underweight</v>
      </c>
    </row>
    <row r="1435" spans="1:10" ht="15.75" customHeight="1">
      <c r="A1435" t="s">
        <v>1813</v>
      </c>
      <c r="B1435">
        <v>31.635000000000002</v>
      </c>
      <c r="C1435">
        <v>9.1300000000000008</v>
      </c>
      <c r="D1435" s="6" t="s">
        <v>4684</v>
      </c>
      <c r="E1435" t="s">
        <v>4686</v>
      </c>
      <c r="F1435" t="s">
        <v>4685</v>
      </c>
      <c r="G1435" t="s">
        <v>4685</v>
      </c>
      <c r="H1435" s="2">
        <v>0</v>
      </c>
      <c r="I1435" t="s">
        <v>4685</v>
      </c>
      <c r="J1435" t="str">
        <f t="shared" si="6"/>
        <v>normalweight</v>
      </c>
    </row>
    <row r="1436" spans="1:10" ht="15.75" customHeight="1">
      <c r="A1436" t="s">
        <v>1811</v>
      </c>
      <c r="B1436">
        <v>24.19</v>
      </c>
      <c r="C1436">
        <v>6.22</v>
      </c>
      <c r="E1436" t="s">
        <v>4686</v>
      </c>
      <c r="F1436" t="s">
        <v>4685</v>
      </c>
      <c r="G1436" t="s">
        <v>4688</v>
      </c>
      <c r="H1436" s="2">
        <v>1</v>
      </c>
      <c r="I1436" t="s">
        <v>4685</v>
      </c>
      <c r="J1436" t="str">
        <f t="shared" si="6"/>
        <v>normalweight</v>
      </c>
    </row>
    <row r="1437" spans="1:10" ht="15.75" customHeight="1">
      <c r="A1437" t="s">
        <v>1809</v>
      </c>
      <c r="B1437">
        <v>35.29</v>
      </c>
      <c r="C1437">
        <v>5.9</v>
      </c>
      <c r="E1437" t="s">
        <v>4685</v>
      </c>
      <c r="F1437" t="s">
        <v>4685</v>
      </c>
      <c r="G1437" t="s">
        <v>4688</v>
      </c>
      <c r="H1437" s="2">
        <v>1</v>
      </c>
      <c r="I1437" t="s">
        <v>4685</v>
      </c>
      <c r="J1437" t="str">
        <f t="shared" si="6"/>
        <v>normalweight</v>
      </c>
    </row>
    <row r="1438" spans="1:10" ht="15.75" customHeight="1">
      <c r="A1438" t="s">
        <v>1807</v>
      </c>
      <c r="B1438">
        <v>35.299999999999997</v>
      </c>
      <c r="C1438">
        <v>4.45</v>
      </c>
      <c r="E1438" t="s">
        <v>4685</v>
      </c>
      <c r="F1438" t="s">
        <v>4685</v>
      </c>
      <c r="G1438" t="s">
        <v>4685</v>
      </c>
      <c r="H1438" s="2">
        <v>0</v>
      </c>
      <c r="I1438" t="s">
        <v>4685</v>
      </c>
      <c r="J1438" t="str">
        <f t="shared" si="6"/>
        <v>normalweight</v>
      </c>
    </row>
    <row r="1439" spans="1:10" ht="15.75" customHeight="1">
      <c r="A1439" t="s">
        <v>1805</v>
      </c>
      <c r="B1439">
        <v>35.64</v>
      </c>
      <c r="C1439">
        <v>6.17</v>
      </c>
      <c r="E1439" t="s">
        <v>4685</v>
      </c>
      <c r="F1439" t="s">
        <v>4685</v>
      </c>
      <c r="G1439" t="s">
        <v>4688</v>
      </c>
      <c r="H1439" s="2">
        <v>1</v>
      </c>
      <c r="I1439" t="s">
        <v>4685</v>
      </c>
      <c r="J1439" t="str">
        <f t="shared" si="6"/>
        <v>normalweight</v>
      </c>
    </row>
    <row r="1440" spans="1:10" ht="15.75" customHeight="1">
      <c r="A1440" t="s">
        <v>1803</v>
      </c>
      <c r="B1440">
        <v>33.1</v>
      </c>
      <c r="C1440">
        <v>4.93</v>
      </c>
      <c r="E1440" t="s">
        <v>4685</v>
      </c>
      <c r="F1440" t="s">
        <v>4685</v>
      </c>
      <c r="G1440" t="s">
        <v>4685</v>
      </c>
      <c r="H1440" s="2">
        <v>0</v>
      </c>
      <c r="I1440" t="s">
        <v>4685</v>
      </c>
      <c r="J1440" t="str">
        <f t="shared" si="6"/>
        <v>normalweight</v>
      </c>
    </row>
    <row r="1441" spans="1:10" ht="15.75" customHeight="1">
      <c r="A1441" t="s">
        <v>1801</v>
      </c>
      <c r="B1441">
        <v>26.41</v>
      </c>
      <c r="C1441">
        <v>7.32</v>
      </c>
      <c r="D1441" s="6" t="s">
        <v>4684</v>
      </c>
      <c r="E1441" t="s">
        <v>4686</v>
      </c>
      <c r="F1441" t="s">
        <v>4685</v>
      </c>
      <c r="G1441" t="s">
        <v>4685</v>
      </c>
      <c r="H1441" s="2">
        <v>1</v>
      </c>
      <c r="I1441" t="s">
        <v>4685</v>
      </c>
      <c r="J1441" t="str">
        <f t="shared" si="6"/>
        <v>normalweight</v>
      </c>
    </row>
    <row r="1442" spans="1:10" ht="15.75" customHeight="1">
      <c r="A1442" t="s">
        <v>1799</v>
      </c>
      <c r="B1442">
        <v>29.9</v>
      </c>
      <c r="C1442">
        <v>5.27</v>
      </c>
      <c r="E1442" t="s">
        <v>4685</v>
      </c>
      <c r="F1442" t="s">
        <v>4685</v>
      </c>
      <c r="G1442" t="s">
        <v>4688</v>
      </c>
      <c r="H1442" s="2">
        <v>1</v>
      </c>
      <c r="I1442" t="s">
        <v>4685</v>
      </c>
      <c r="J1442" t="str">
        <f t="shared" si="6"/>
        <v>normalweight</v>
      </c>
    </row>
    <row r="1443" spans="1:10" ht="15.75" customHeight="1">
      <c r="A1443" t="s">
        <v>1797</v>
      </c>
      <c r="B1443">
        <v>25.24</v>
      </c>
      <c r="C1443">
        <v>5.82</v>
      </c>
      <c r="E1443" t="s">
        <v>4685</v>
      </c>
      <c r="F1443" t="s">
        <v>4685</v>
      </c>
      <c r="G1443" t="s">
        <v>4685</v>
      </c>
      <c r="H1443" s="2">
        <v>1</v>
      </c>
      <c r="I1443" t="s">
        <v>4685</v>
      </c>
      <c r="J1443" t="str">
        <f t="shared" si="6"/>
        <v>normalweight</v>
      </c>
    </row>
    <row r="1444" spans="1:10" ht="15.75" customHeight="1">
      <c r="A1444" t="s">
        <v>1795</v>
      </c>
      <c r="B1444">
        <v>25.08</v>
      </c>
      <c r="C1444">
        <v>5.8</v>
      </c>
      <c r="E1444" t="s">
        <v>4685</v>
      </c>
      <c r="F1444" t="s">
        <v>4685</v>
      </c>
      <c r="G1444" t="s">
        <v>4688</v>
      </c>
      <c r="H1444" s="2">
        <v>1</v>
      </c>
      <c r="I1444" t="s">
        <v>4685</v>
      </c>
      <c r="J1444" t="str">
        <f t="shared" si="6"/>
        <v>normalweight</v>
      </c>
    </row>
    <row r="1445" spans="1:10" ht="15.75" customHeight="1">
      <c r="A1445" t="s">
        <v>1793</v>
      </c>
      <c r="B1445">
        <v>29.164999999999999</v>
      </c>
      <c r="C1445">
        <v>4.87</v>
      </c>
      <c r="E1445" t="s">
        <v>4685</v>
      </c>
      <c r="F1445" t="s">
        <v>4686</v>
      </c>
      <c r="G1445" t="s">
        <v>4685</v>
      </c>
      <c r="H1445" s="2">
        <v>1</v>
      </c>
      <c r="I1445" t="s">
        <v>4685</v>
      </c>
      <c r="J1445" t="str">
        <f t="shared" si="6"/>
        <v>normalweight</v>
      </c>
    </row>
    <row r="1446" spans="1:10" ht="15.75" customHeight="1">
      <c r="A1446" t="s">
        <v>1791</v>
      </c>
      <c r="B1446">
        <v>15.05</v>
      </c>
      <c r="C1446">
        <v>8.1199999999999992</v>
      </c>
      <c r="D1446" s="6" t="s">
        <v>4684</v>
      </c>
      <c r="E1446" t="s">
        <v>4685</v>
      </c>
      <c r="F1446" t="s">
        <v>4685</v>
      </c>
      <c r="G1446" t="s">
        <v>4685</v>
      </c>
      <c r="H1446" s="2">
        <v>0</v>
      </c>
      <c r="I1446" t="s">
        <v>4685</v>
      </c>
      <c r="J1446" t="str">
        <f t="shared" si="6"/>
        <v>underweight</v>
      </c>
    </row>
    <row r="1447" spans="1:10" ht="15.75" customHeight="1">
      <c r="A1447" t="s">
        <v>1789</v>
      </c>
      <c r="B1447">
        <v>19.95</v>
      </c>
      <c r="C1447">
        <v>4.3600000000000003</v>
      </c>
      <c r="E1447" t="s">
        <v>4685</v>
      </c>
      <c r="F1447" t="s">
        <v>4685</v>
      </c>
      <c r="G1447" t="s">
        <v>4685</v>
      </c>
      <c r="H1447" s="2">
        <v>2</v>
      </c>
      <c r="I1447" t="s">
        <v>4685</v>
      </c>
      <c r="J1447" t="str">
        <f t="shared" si="6"/>
        <v>normalweight</v>
      </c>
    </row>
    <row r="1448" spans="1:10" ht="15.75" customHeight="1">
      <c r="A1448" t="s">
        <v>1787</v>
      </c>
      <c r="B1448">
        <v>16.66</v>
      </c>
      <c r="C1448">
        <v>9.16</v>
      </c>
      <c r="D1448" s="6" t="s">
        <v>4684</v>
      </c>
      <c r="E1448" t="s">
        <v>4685</v>
      </c>
      <c r="F1448" t="s">
        <v>4685</v>
      </c>
      <c r="G1448" t="s">
        <v>4685</v>
      </c>
      <c r="H1448" s="2">
        <v>0</v>
      </c>
      <c r="I1448" t="s">
        <v>4685</v>
      </c>
      <c r="J1448" t="str">
        <f t="shared" si="6"/>
        <v>underweight</v>
      </c>
    </row>
    <row r="1449" spans="1:10" ht="15.75" customHeight="1">
      <c r="A1449" t="s">
        <v>1785</v>
      </c>
      <c r="B1449">
        <v>16.62</v>
      </c>
      <c r="C1449">
        <v>9.14</v>
      </c>
      <c r="D1449" s="6" t="s">
        <v>4684</v>
      </c>
      <c r="E1449" t="s">
        <v>4685</v>
      </c>
      <c r="F1449" t="s">
        <v>4685</v>
      </c>
      <c r="G1449" t="s">
        <v>4685</v>
      </c>
      <c r="H1449" s="2">
        <v>0</v>
      </c>
      <c r="I1449" t="s">
        <v>4685</v>
      </c>
      <c r="J1449" t="str">
        <f t="shared" si="6"/>
        <v>underweight</v>
      </c>
    </row>
    <row r="1450" spans="1:10" ht="15.75" customHeight="1">
      <c r="A1450" t="s">
        <v>1783</v>
      </c>
      <c r="B1450">
        <v>15.36</v>
      </c>
      <c r="C1450">
        <v>5.49</v>
      </c>
      <c r="E1450" t="s">
        <v>4686</v>
      </c>
      <c r="F1450" t="s">
        <v>4685</v>
      </c>
      <c r="G1450" t="s">
        <v>4685</v>
      </c>
      <c r="H1450" s="2">
        <v>2</v>
      </c>
      <c r="I1450" t="s">
        <v>4685</v>
      </c>
      <c r="J1450" t="str">
        <f t="shared" si="6"/>
        <v>underweight</v>
      </c>
    </row>
    <row r="1451" spans="1:10" ht="15.75" customHeight="1">
      <c r="A1451" t="s">
        <v>1781</v>
      </c>
      <c r="B1451">
        <v>27.74</v>
      </c>
      <c r="C1451">
        <v>5.96</v>
      </c>
      <c r="E1451" t="s">
        <v>4686</v>
      </c>
      <c r="F1451" t="s">
        <v>4685</v>
      </c>
      <c r="G1451" t="s">
        <v>4685</v>
      </c>
      <c r="H1451" s="2">
        <v>0</v>
      </c>
      <c r="I1451" t="s">
        <v>4685</v>
      </c>
      <c r="J1451" t="str">
        <f t="shared" si="6"/>
        <v>normalweight</v>
      </c>
    </row>
    <row r="1452" spans="1:10" ht="15.75" customHeight="1">
      <c r="A1452" t="s">
        <v>1779</v>
      </c>
      <c r="B1452">
        <v>22.44</v>
      </c>
      <c r="C1452">
        <v>4.62</v>
      </c>
      <c r="E1452" t="s">
        <v>4686</v>
      </c>
      <c r="F1452" t="s">
        <v>4685</v>
      </c>
      <c r="G1452" t="s">
        <v>4685</v>
      </c>
      <c r="H1452" s="2">
        <v>0</v>
      </c>
      <c r="I1452" t="s">
        <v>4685</v>
      </c>
      <c r="J1452" t="str">
        <f t="shared" si="6"/>
        <v>normalweight</v>
      </c>
    </row>
    <row r="1453" spans="1:10" ht="15.75" customHeight="1">
      <c r="A1453" t="s">
        <v>1777</v>
      </c>
      <c r="B1453">
        <v>37.049999999999997</v>
      </c>
      <c r="C1453">
        <v>9.9600000000000009</v>
      </c>
      <c r="D1453" s="6" t="s">
        <v>4684</v>
      </c>
      <c r="E1453" t="s">
        <v>4686</v>
      </c>
      <c r="F1453" t="s">
        <v>4685</v>
      </c>
      <c r="G1453" t="s">
        <v>4685</v>
      </c>
      <c r="H1453" s="2">
        <v>0</v>
      </c>
      <c r="I1453" t="s">
        <v>4685</v>
      </c>
      <c r="J1453" t="str">
        <f t="shared" si="6"/>
        <v>normalweight</v>
      </c>
    </row>
    <row r="1454" spans="1:10" ht="15.75" customHeight="1">
      <c r="A1454" t="s">
        <v>1775</v>
      </c>
      <c r="B1454">
        <v>22.95</v>
      </c>
      <c r="C1454">
        <v>10.53</v>
      </c>
      <c r="D1454" s="6" t="s">
        <v>4684</v>
      </c>
      <c r="E1454" t="s">
        <v>4685</v>
      </c>
      <c r="F1454" t="s">
        <v>4685</v>
      </c>
      <c r="G1454" t="s">
        <v>4685</v>
      </c>
      <c r="H1454" s="2">
        <v>2</v>
      </c>
      <c r="I1454" t="s">
        <v>4685</v>
      </c>
      <c r="J1454" t="str">
        <f t="shared" si="6"/>
        <v>normalweight</v>
      </c>
    </row>
    <row r="1455" spans="1:10" ht="15.75" customHeight="1">
      <c r="A1455" t="s">
        <v>1773</v>
      </c>
      <c r="B1455">
        <v>34.200000000000003</v>
      </c>
      <c r="C1455">
        <v>6.69</v>
      </c>
      <c r="D1455" s="6" t="s">
        <v>4684</v>
      </c>
      <c r="E1455" t="s">
        <v>4686</v>
      </c>
      <c r="F1455" t="s">
        <v>4685</v>
      </c>
      <c r="G1455" t="s">
        <v>4685</v>
      </c>
      <c r="H1455" s="2">
        <v>0</v>
      </c>
      <c r="I1455" t="s">
        <v>4685</v>
      </c>
      <c r="J1455" t="str">
        <f t="shared" si="6"/>
        <v>normalweight</v>
      </c>
    </row>
    <row r="1456" spans="1:10" ht="15.75" customHeight="1">
      <c r="A1456" t="s">
        <v>1771</v>
      </c>
      <c r="B1456">
        <v>30.59</v>
      </c>
      <c r="C1456">
        <v>9.5500000000000007</v>
      </c>
      <c r="D1456" s="6" t="s">
        <v>4684</v>
      </c>
      <c r="E1456" t="s">
        <v>4686</v>
      </c>
      <c r="F1456" t="s">
        <v>4685</v>
      </c>
      <c r="G1456" t="s">
        <v>4685</v>
      </c>
      <c r="H1456" s="2">
        <v>0</v>
      </c>
      <c r="I1456" t="s">
        <v>4685</v>
      </c>
      <c r="J1456" t="str">
        <f t="shared" si="6"/>
        <v>normalweight</v>
      </c>
    </row>
    <row r="1457" spans="1:10" ht="15.75" customHeight="1">
      <c r="A1457" t="s">
        <v>1769</v>
      </c>
      <c r="B1457">
        <v>25.51</v>
      </c>
      <c r="C1457">
        <v>6.05</v>
      </c>
      <c r="E1457" t="s">
        <v>4685</v>
      </c>
      <c r="F1457" t="s">
        <v>4685</v>
      </c>
      <c r="G1457" t="s">
        <v>4685</v>
      </c>
      <c r="H1457" s="2">
        <v>0</v>
      </c>
      <c r="I1457" t="s">
        <v>4685</v>
      </c>
      <c r="J1457" t="str">
        <f t="shared" si="6"/>
        <v>normalweight</v>
      </c>
    </row>
    <row r="1458" spans="1:10" ht="15.75" customHeight="1">
      <c r="A1458" t="s">
        <v>1767</v>
      </c>
      <c r="B1458">
        <v>29.04</v>
      </c>
      <c r="C1458">
        <v>10.56</v>
      </c>
      <c r="D1458" s="6" t="s">
        <v>4684</v>
      </c>
      <c r="E1458" t="s">
        <v>4686</v>
      </c>
      <c r="F1458" t="s">
        <v>4685</v>
      </c>
      <c r="G1458" t="s">
        <v>4685</v>
      </c>
      <c r="H1458" s="2">
        <v>1</v>
      </c>
      <c r="I1458" t="s">
        <v>4685</v>
      </c>
      <c r="J1458" t="str">
        <f t="shared" si="6"/>
        <v>normalweight</v>
      </c>
    </row>
    <row r="1459" spans="1:10" ht="15.75" customHeight="1">
      <c r="A1459" t="s">
        <v>1765</v>
      </c>
      <c r="B1459">
        <v>22.135000000000002</v>
      </c>
      <c r="C1459">
        <v>10.81</v>
      </c>
      <c r="D1459" s="6" t="s">
        <v>4684</v>
      </c>
      <c r="E1459" t="s">
        <v>4686</v>
      </c>
      <c r="F1459" t="s">
        <v>4685</v>
      </c>
      <c r="G1459" t="s">
        <v>4685</v>
      </c>
      <c r="H1459" s="2">
        <v>1</v>
      </c>
      <c r="I1459" t="s">
        <v>4685</v>
      </c>
      <c r="J1459" t="str">
        <f t="shared" si="6"/>
        <v>normalweight</v>
      </c>
    </row>
    <row r="1460" spans="1:10" ht="15.75" customHeight="1">
      <c r="A1460" t="s">
        <v>1763</v>
      </c>
      <c r="B1460">
        <v>21.375</v>
      </c>
      <c r="C1460">
        <v>4.32</v>
      </c>
      <c r="E1460" t="s">
        <v>4685</v>
      </c>
      <c r="F1460" t="s">
        <v>4685</v>
      </c>
      <c r="G1460" t="s">
        <v>4685</v>
      </c>
      <c r="H1460" s="2">
        <v>0</v>
      </c>
      <c r="I1460" t="s">
        <v>4685</v>
      </c>
      <c r="J1460" t="str">
        <f t="shared" si="6"/>
        <v>normalweight</v>
      </c>
    </row>
    <row r="1461" spans="1:10" ht="15.75" customHeight="1">
      <c r="A1461" t="s">
        <v>1761</v>
      </c>
      <c r="B1461">
        <v>29.19</v>
      </c>
      <c r="C1461">
        <v>4.37</v>
      </c>
      <c r="E1461" t="s">
        <v>4685</v>
      </c>
      <c r="F1461" t="s">
        <v>4685</v>
      </c>
      <c r="G1461" t="s">
        <v>4685</v>
      </c>
      <c r="H1461" s="2">
        <v>0</v>
      </c>
      <c r="I1461" t="s">
        <v>4685</v>
      </c>
      <c r="J1461" t="str">
        <f t="shared" si="6"/>
        <v>normalweight</v>
      </c>
    </row>
    <row r="1462" spans="1:10" ht="15.75" customHeight="1">
      <c r="A1462" t="s">
        <v>1759</v>
      </c>
      <c r="B1462">
        <v>31.92</v>
      </c>
      <c r="C1462">
        <v>4.8099999999999996</v>
      </c>
      <c r="E1462" t="s">
        <v>4686</v>
      </c>
      <c r="F1462" t="s">
        <v>4685</v>
      </c>
      <c r="G1462" t="s">
        <v>4688</v>
      </c>
      <c r="H1462" s="2">
        <v>1</v>
      </c>
      <c r="I1462" t="s">
        <v>4685</v>
      </c>
      <c r="J1462" t="str">
        <f t="shared" si="6"/>
        <v>normalweight</v>
      </c>
    </row>
    <row r="1463" spans="1:10" ht="15.75" customHeight="1">
      <c r="A1463" t="s">
        <v>1757</v>
      </c>
      <c r="B1463">
        <v>26.315000000000001</v>
      </c>
      <c r="C1463">
        <v>4.5599999999999996</v>
      </c>
      <c r="E1463" t="s">
        <v>4686</v>
      </c>
      <c r="F1463" t="s">
        <v>4685</v>
      </c>
      <c r="G1463" t="s">
        <v>4688</v>
      </c>
      <c r="H1463" s="2">
        <v>1</v>
      </c>
      <c r="I1463" t="s">
        <v>4685</v>
      </c>
      <c r="J1463" t="str">
        <f t="shared" si="6"/>
        <v>normalweight</v>
      </c>
    </row>
    <row r="1464" spans="1:10" ht="15.75" customHeight="1">
      <c r="A1464" t="s">
        <v>1755</v>
      </c>
      <c r="B1464">
        <v>35.299999999999997</v>
      </c>
      <c r="C1464">
        <v>4.3899999999999997</v>
      </c>
      <c r="E1464" t="s">
        <v>4685</v>
      </c>
      <c r="F1464" t="s">
        <v>4685</v>
      </c>
      <c r="G1464" t="s">
        <v>4685</v>
      </c>
      <c r="H1464" s="2">
        <v>0</v>
      </c>
      <c r="I1464" t="s">
        <v>4685</v>
      </c>
      <c r="J1464" t="str">
        <f t="shared" si="6"/>
        <v>normalweight</v>
      </c>
    </row>
    <row r="1465" spans="1:10" ht="15.75" customHeight="1">
      <c r="A1465" t="s">
        <v>1753</v>
      </c>
      <c r="B1465">
        <v>18.91</v>
      </c>
      <c r="C1465">
        <v>11.44</v>
      </c>
      <c r="D1465" s="6" t="s">
        <v>4684</v>
      </c>
      <c r="E1465" t="s">
        <v>4685</v>
      </c>
      <c r="F1465" t="s">
        <v>4685</v>
      </c>
      <c r="G1465" t="s">
        <v>4685</v>
      </c>
      <c r="H1465" s="2">
        <v>0</v>
      </c>
      <c r="I1465" t="s">
        <v>4685</v>
      </c>
      <c r="J1465" t="str">
        <f t="shared" si="6"/>
        <v>normalweight</v>
      </c>
    </row>
    <row r="1466" spans="1:10" ht="15.75" customHeight="1">
      <c r="A1466" t="s">
        <v>1751</v>
      </c>
      <c r="B1466">
        <v>22.41</v>
      </c>
      <c r="C1466">
        <v>11.37</v>
      </c>
      <c r="D1466" s="6" t="s">
        <v>4684</v>
      </c>
      <c r="E1466" t="s">
        <v>4686</v>
      </c>
      <c r="F1466" t="s">
        <v>4685</v>
      </c>
      <c r="G1466" t="s">
        <v>4685</v>
      </c>
      <c r="H1466" s="2">
        <v>1</v>
      </c>
      <c r="I1466" t="s">
        <v>4685</v>
      </c>
      <c r="J1466" t="str">
        <f t="shared" si="6"/>
        <v>normalweight</v>
      </c>
    </row>
    <row r="1467" spans="1:10" ht="15.75" customHeight="1">
      <c r="A1467" t="s">
        <v>1749</v>
      </c>
      <c r="B1467">
        <v>22.704999999999998</v>
      </c>
      <c r="C1467">
        <v>6.14</v>
      </c>
      <c r="E1467" t="s">
        <v>4685</v>
      </c>
      <c r="F1467" t="s">
        <v>4685</v>
      </c>
      <c r="G1467" t="s">
        <v>4685</v>
      </c>
      <c r="H1467" s="2">
        <v>0</v>
      </c>
      <c r="I1467" t="s">
        <v>4685</v>
      </c>
      <c r="J1467" t="str">
        <f t="shared" si="6"/>
        <v>normalweight</v>
      </c>
    </row>
    <row r="1468" spans="1:10" ht="15.75" customHeight="1">
      <c r="A1468" t="s">
        <v>1747</v>
      </c>
      <c r="B1468">
        <v>37.18</v>
      </c>
      <c r="C1468">
        <v>4.8899999999999997</v>
      </c>
      <c r="E1468" t="s">
        <v>4685</v>
      </c>
      <c r="F1468" t="s">
        <v>4685</v>
      </c>
      <c r="G1468" t="s">
        <v>4685</v>
      </c>
      <c r="H1468" s="2">
        <v>0</v>
      </c>
      <c r="I1468" t="s">
        <v>4685</v>
      </c>
      <c r="J1468" t="str">
        <f t="shared" si="6"/>
        <v>normalweight</v>
      </c>
    </row>
    <row r="1469" spans="1:10" ht="15.75" customHeight="1">
      <c r="A1469" t="s">
        <v>1745</v>
      </c>
      <c r="B1469">
        <v>35.97</v>
      </c>
      <c r="C1469">
        <v>4.5999999999999996</v>
      </c>
      <c r="E1469" t="s">
        <v>4685</v>
      </c>
      <c r="F1469" t="s">
        <v>4685</v>
      </c>
      <c r="G1469" t="s">
        <v>4685</v>
      </c>
      <c r="H1469" s="2">
        <v>0</v>
      </c>
      <c r="I1469" t="s">
        <v>4685</v>
      </c>
      <c r="J1469" t="str">
        <f t="shared" si="6"/>
        <v>normalweight</v>
      </c>
    </row>
    <row r="1470" spans="1:10" ht="15.75" customHeight="1">
      <c r="A1470" t="s">
        <v>1743</v>
      </c>
      <c r="B1470">
        <v>35.799999999999997</v>
      </c>
      <c r="C1470">
        <v>4.42</v>
      </c>
      <c r="E1470" t="s">
        <v>4685</v>
      </c>
      <c r="F1470" t="s">
        <v>4685</v>
      </c>
      <c r="G1470" t="s">
        <v>4685</v>
      </c>
      <c r="H1470" s="2">
        <v>0</v>
      </c>
      <c r="I1470" t="s">
        <v>4685</v>
      </c>
      <c r="J1470" t="str">
        <f t="shared" si="6"/>
        <v>normalweight</v>
      </c>
    </row>
    <row r="1471" spans="1:10" ht="15.75" customHeight="1">
      <c r="A1471" t="s">
        <v>1741</v>
      </c>
      <c r="B1471">
        <v>28.31</v>
      </c>
      <c r="C1471">
        <v>7.48</v>
      </c>
      <c r="D1471" s="6" t="s">
        <v>4684</v>
      </c>
      <c r="E1471" t="s">
        <v>4686</v>
      </c>
      <c r="F1471" t="s">
        <v>4685</v>
      </c>
      <c r="G1471" t="s">
        <v>4685</v>
      </c>
      <c r="H1471" s="2">
        <v>0</v>
      </c>
      <c r="I1471" t="s">
        <v>4685</v>
      </c>
      <c r="J1471" t="str">
        <f t="shared" si="6"/>
        <v>normalweight</v>
      </c>
    </row>
    <row r="1472" spans="1:10" ht="15.75" customHeight="1">
      <c r="A1472" t="s">
        <v>1739</v>
      </c>
      <c r="B1472">
        <v>38.06</v>
      </c>
      <c r="C1472">
        <v>10.74</v>
      </c>
      <c r="D1472" s="6" t="s">
        <v>4684</v>
      </c>
      <c r="E1472" t="s">
        <v>4685</v>
      </c>
      <c r="F1472" t="s">
        <v>4685</v>
      </c>
      <c r="G1472" t="s">
        <v>4685</v>
      </c>
      <c r="H1472" s="2">
        <v>0</v>
      </c>
      <c r="I1472" t="s">
        <v>4685</v>
      </c>
      <c r="J1472" t="str">
        <f t="shared" si="6"/>
        <v>normalweight</v>
      </c>
    </row>
    <row r="1473" spans="1:10" ht="15.75" customHeight="1">
      <c r="A1473" t="s">
        <v>1737</v>
      </c>
      <c r="B1473">
        <v>28</v>
      </c>
      <c r="C1473">
        <v>5.19</v>
      </c>
      <c r="E1473" t="s">
        <v>4685</v>
      </c>
      <c r="F1473" t="s">
        <v>4685</v>
      </c>
      <c r="G1473" t="s">
        <v>4685</v>
      </c>
      <c r="H1473" s="2">
        <v>1</v>
      </c>
      <c r="I1473" t="s">
        <v>4685</v>
      </c>
      <c r="J1473" t="str">
        <f t="shared" si="6"/>
        <v>normalweight</v>
      </c>
    </row>
    <row r="1474" spans="1:10" ht="15.75" customHeight="1">
      <c r="A1474" t="s">
        <v>1735</v>
      </c>
      <c r="B1474">
        <v>34.32</v>
      </c>
      <c r="C1474">
        <v>9.17</v>
      </c>
      <c r="D1474" s="6" t="s">
        <v>4684</v>
      </c>
      <c r="E1474" t="s">
        <v>4685</v>
      </c>
      <c r="F1474" t="s">
        <v>4685</v>
      </c>
      <c r="G1474" t="s">
        <v>4685</v>
      </c>
      <c r="H1474" s="2">
        <v>0</v>
      </c>
      <c r="I1474" t="s">
        <v>4685</v>
      </c>
      <c r="J1474" t="str">
        <f t="shared" si="6"/>
        <v>normalweight</v>
      </c>
    </row>
    <row r="1475" spans="1:10" ht="15.75" customHeight="1">
      <c r="A1475" t="s">
        <v>1733</v>
      </c>
      <c r="B1475">
        <v>22.3</v>
      </c>
      <c r="C1475">
        <v>4.95</v>
      </c>
      <c r="E1475" t="s">
        <v>4686</v>
      </c>
      <c r="F1475" t="s">
        <v>4685</v>
      </c>
      <c r="G1475" t="s">
        <v>4685</v>
      </c>
      <c r="H1475" s="2">
        <v>0</v>
      </c>
      <c r="I1475" t="s">
        <v>4685</v>
      </c>
      <c r="J1475" t="str">
        <f t="shared" si="6"/>
        <v>normalweight</v>
      </c>
    </row>
    <row r="1476" spans="1:10" ht="15.75" customHeight="1">
      <c r="A1476" t="s">
        <v>1731</v>
      </c>
      <c r="B1476">
        <v>27.835000000000001</v>
      </c>
      <c r="C1476">
        <v>6.03</v>
      </c>
      <c r="E1476" t="s">
        <v>4685</v>
      </c>
      <c r="F1476" t="s">
        <v>4685</v>
      </c>
      <c r="G1476" t="s">
        <v>4685</v>
      </c>
      <c r="H1476" s="2">
        <v>1</v>
      </c>
      <c r="I1476" t="s">
        <v>4685</v>
      </c>
      <c r="J1476" t="str">
        <f t="shared" si="6"/>
        <v>normalweight</v>
      </c>
    </row>
    <row r="1477" spans="1:10" ht="15.75" customHeight="1">
      <c r="A1477" t="s">
        <v>1729</v>
      </c>
      <c r="B1477">
        <v>39.229999999999997</v>
      </c>
      <c r="C1477">
        <v>5.36</v>
      </c>
      <c r="E1477" t="s">
        <v>4685</v>
      </c>
      <c r="F1477" t="s">
        <v>4685</v>
      </c>
      <c r="G1477" t="s">
        <v>4685</v>
      </c>
      <c r="H1477" s="2">
        <v>0</v>
      </c>
      <c r="I1477" t="s">
        <v>4685</v>
      </c>
      <c r="J1477" t="str">
        <f t="shared" si="6"/>
        <v>normalweight</v>
      </c>
    </row>
    <row r="1478" spans="1:10" ht="15.75" customHeight="1">
      <c r="A1478" t="s">
        <v>1727</v>
      </c>
      <c r="B1478">
        <v>19.95</v>
      </c>
      <c r="C1478">
        <v>6.11</v>
      </c>
      <c r="E1478" t="s">
        <v>4685</v>
      </c>
      <c r="F1478" t="s">
        <v>4685</v>
      </c>
      <c r="G1478" t="s">
        <v>4685</v>
      </c>
      <c r="H1478" s="2">
        <v>1</v>
      </c>
      <c r="I1478" t="s">
        <v>4685</v>
      </c>
      <c r="J1478" t="str">
        <f t="shared" si="6"/>
        <v>normalweight</v>
      </c>
    </row>
    <row r="1479" spans="1:10" ht="15.75" customHeight="1">
      <c r="A1479" t="s">
        <v>1725</v>
      </c>
      <c r="B1479">
        <v>34.64</v>
      </c>
      <c r="C1479">
        <v>4.88</v>
      </c>
      <c r="E1479" t="s">
        <v>4685</v>
      </c>
      <c r="F1479" t="s">
        <v>4685</v>
      </c>
      <c r="G1479" t="s">
        <v>4688</v>
      </c>
      <c r="H1479" s="2">
        <v>1</v>
      </c>
      <c r="I1479" t="s">
        <v>4685</v>
      </c>
      <c r="J1479" t="str">
        <f t="shared" si="6"/>
        <v>normalweight</v>
      </c>
    </row>
    <row r="1480" spans="1:10" ht="15.75" customHeight="1">
      <c r="A1480" t="s">
        <v>1723</v>
      </c>
      <c r="B1480">
        <v>18.75</v>
      </c>
      <c r="C1480">
        <v>6.72</v>
      </c>
      <c r="D1480" s="6" t="s">
        <v>4684</v>
      </c>
      <c r="E1480" t="s">
        <v>4685</v>
      </c>
      <c r="F1480" t="s">
        <v>4685</v>
      </c>
      <c r="G1480" t="s">
        <v>4685</v>
      </c>
      <c r="H1480" s="2">
        <v>0</v>
      </c>
      <c r="I1480" t="s">
        <v>4685</v>
      </c>
      <c r="J1480" t="str">
        <f t="shared" si="6"/>
        <v>normalweight</v>
      </c>
    </row>
    <row r="1481" spans="1:10" ht="15.75" customHeight="1">
      <c r="A1481" t="s">
        <v>1721</v>
      </c>
      <c r="B1481">
        <v>26.48</v>
      </c>
      <c r="C1481">
        <v>4.2</v>
      </c>
      <c r="E1481" t="s">
        <v>4685</v>
      </c>
      <c r="F1481" t="s">
        <v>4685</v>
      </c>
      <c r="G1481" t="s">
        <v>4685</v>
      </c>
      <c r="H1481" s="2">
        <v>1</v>
      </c>
      <c r="I1481" t="s">
        <v>4685</v>
      </c>
      <c r="J1481" t="str">
        <f t="shared" si="6"/>
        <v>normalweight</v>
      </c>
    </row>
    <row r="1482" spans="1:10" ht="15.75" customHeight="1">
      <c r="A1482" t="s">
        <v>1719</v>
      </c>
      <c r="B1482">
        <v>34.83</v>
      </c>
      <c r="C1482">
        <v>5.79</v>
      </c>
      <c r="E1482" t="s">
        <v>4685</v>
      </c>
      <c r="F1482" t="s">
        <v>4685</v>
      </c>
      <c r="G1482" t="s">
        <v>4685</v>
      </c>
      <c r="H1482" s="2">
        <v>1</v>
      </c>
      <c r="I1482" t="s">
        <v>4685</v>
      </c>
      <c r="J1482" t="str">
        <f t="shared" si="6"/>
        <v>normalweight</v>
      </c>
    </row>
    <row r="1483" spans="1:10" ht="15.75" customHeight="1">
      <c r="A1483" t="s">
        <v>1717</v>
      </c>
      <c r="B1483">
        <v>25.46</v>
      </c>
      <c r="C1483">
        <v>4.29</v>
      </c>
      <c r="E1483" t="s">
        <v>4685</v>
      </c>
      <c r="F1483" t="s">
        <v>4685</v>
      </c>
      <c r="G1483" t="s">
        <v>4685</v>
      </c>
      <c r="H1483" s="2">
        <v>0</v>
      </c>
      <c r="I1483" t="s">
        <v>4685</v>
      </c>
      <c r="J1483" t="str">
        <f t="shared" si="6"/>
        <v>normalweight</v>
      </c>
    </row>
    <row r="1484" spans="1:10" ht="15.75" customHeight="1">
      <c r="A1484" t="s">
        <v>1715</v>
      </c>
      <c r="B1484">
        <v>23.31</v>
      </c>
      <c r="C1484">
        <v>8.27</v>
      </c>
      <c r="D1484" s="6" t="s">
        <v>4684</v>
      </c>
      <c r="E1484" t="s">
        <v>4685</v>
      </c>
      <c r="F1484" t="s">
        <v>4685</v>
      </c>
      <c r="G1484" t="s">
        <v>4685</v>
      </c>
      <c r="H1484" s="2">
        <v>0</v>
      </c>
      <c r="I1484" t="s">
        <v>4685</v>
      </c>
      <c r="J1484" t="str">
        <f t="shared" si="6"/>
        <v>normalweight</v>
      </c>
    </row>
    <row r="1485" spans="1:10" ht="15.75" customHeight="1">
      <c r="A1485" t="s">
        <v>1713</v>
      </c>
      <c r="B1485">
        <v>29</v>
      </c>
      <c r="C1485">
        <v>4.5599999999999996</v>
      </c>
      <c r="E1485" t="s">
        <v>4685</v>
      </c>
      <c r="F1485" t="s">
        <v>4685</v>
      </c>
      <c r="G1485" t="s">
        <v>4685</v>
      </c>
      <c r="H1485" s="2">
        <v>0</v>
      </c>
      <c r="I1485" t="s">
        <v>4685</v>
      </c>
      <c r="J1485" t="str">
        <f t="shared" si="6"/>
        <v>normalweight</v>
      </c>
    </row>
    <row r="1486" spans="1:10" ht="15.75" customHeight="1">
      <c r="A1486" t="s">
        <v>1711</v>
      </c>
      <c r="B1486">
        <v>32.869999999999997</v>
      </c>
      <c r="C1486">
        <v>5.33</v>
      </c>
      <c r="E1486" t="s">
        <v>4685</v>
      </c>
      <c r="F1486" t="s">
        <v>4685</v>
      </c>
      <c r="G1486" t="s">
        <v>4685</v>
      </c>
      <c r="H1486" s="2">
        <v>0</v>
      </c>
      <c r="I1486" t="s">
        <v>4685</v>
      </c>
      <c r="J1486" t="str">
        <f t="shared" si="6"/>
        <v>normalweight</v>
      </c>
    </row>
    <row r="1487" spans="1:10" ht="15.75" customHeight="1">
      <c r="A1487" t="s">
        <v>1709</v>
      </c>
      <c r="B1487">
        <v>26.18</v>
      </c>
      <c r="C1487">
        <v>5.63</v>
      </c>
      <c r="E1487" t="s">
        <v>4685</v>
      </c>
      <c r="F1487" t="s">
        <v>4685</v>
      </c>
      <c r="G1487" t="s">
        <v>4685</v>
      </c>
      <c r="H1487" s="2">
        <v>0</v>
      </c>
      <c r="I1487" t="s">
        <v>4685</v>
      </c>
      <c r="J1487" t="str">
        <f t="shared" si="6"/>
        <v>normalweight</v>
      </c>
    </row>
    <row r="1488" spans="1:10" ht="15.75" customHeight="1">
      <c r="A1488" t="s">
        <v>1707</v>
      </c>
      <c r="B1488">
        <v>25.3</v>
      </c>
      <c r="C1488">
        <v>5.12</v>
      </c>
      <c r="E1488" t="s">
        <v>4685</v>
      </c>
      <c r="F1488" t="s">
        <v>4685</v>
      </c>
      <c r="G1488" t="s">
        <v>4685</v>
      </c>
      <c r="H1488" s="2">
        <v>0</v>
      </c>
      <c r="I1488" t="s">
        <v>4685</v>
      </c>
      <c r="J1488" t="str">
        <f t="shared" si="6"/>
        <v>normalweight</v>
      </c>
    </row>
    <row r="1489" spans="1:10" ht="15.75" customHeight="1">
      <c r="A1489" t="s">
        <v>1705</v>
      </c>
      <c r="B1489">
        <v>36.94</v>
      </c>
      <c r="C1489">
        <v>5.15</v>
      </c>
      <c r="E1489" t="s">
        <v>4686</v>
      </c>
      <c r="F1489" t="s">
        <v>4685</v>
      </c>
      <c r="G1489" t="s">
        <v>4685</v>
      </c>
      <c r="H1489" s="2">
        <v>1</v>
      </c>
      <c r="I1489" t="s">
        <v>4685</v>
      </c>
      <c r="J1489" t="str">
        <f t="shared" si="6"/>
        <v>normalweight</v>
      </c>
    </row>
    <row r="1490" spans="1:10" ht="15.75" customHeight="1">
      <c r="A1490" t="s">
        <v>1703</v>
      </c>
      <c r="B1490">
        <v>22.86</v>
      </c>
      <c r="C1490">
        <v>7.5</v>
      </c>
      <c r="D1490" s="6" t="s">
        <v>4684</v>
      </c>
      <c r="E1490" t="s">
        <v>4685</v>
      </c>
      <c r="F1490" t="s">
        <v>4685</v>
      </c>
      <c r="G1490" t="s">
        <v>4685</v>
      </c>
      <c r="H1490" s="2">
        <v>0</v>
      </c>
      <c r="I1490" t="s">
        <v>4685</v>
      </c>
      <c r="J1490" t="str">
        <f t="shared" si="6"/>
        <v>normalweight</v>
      </c>
    </row>
    <row r="1491" spans="1:10" ht="15.75" customHeight="1">
      <c r="A1491" t="s">
        <v>1701</v>
      </c>
      <c r="B1491">
        <v>18.760000000000002</v>
      </c>
      <c r="C1491">
        <v>4.88</v>
      </c>
      <c r="E1491" t="s">
        <v>4686</v>
      </c>
      <c r="F1491" t="s">
        <v>4685</v>
      </c>
      <c r="G1491" t="s">
        <v>4688</v>
      </c>
      <c r="H1491" s="2">
        <v>1</v>
      </c>
      <c r="I1491" t="s">
        <v>4685</v>
      </c>
      <c r="J1491" t="str">
        <f t="shared" si="6"/>
        <v>normalweight</v>
      </c>
    </row>
    <row r="1492" spans="1:10" ht="15.75" customHeight="1">
      <c r="A1492" t="s">
        <v>1699</v>
      </c>
      <c r="B1492">
        <v>24.36</v>
      </c>
      <c r="C1492">
        <v>5.57</v>
      </c>
      <c r="E1492" t="s">
        <v>4685</v>
      </c>
      <c r="F1492" t="s">
        <v>4685</v>
      </c>
      <c r="G1492" t="s">
        <v>4685</v>
      </c>
      <c r="H1492" s="2">
        <v>0</v>
      </c>
      <c r="I1492" t="s">
        <v>4685</v>
      </c>
      <c r="J1492" t="str">
        <f t="shared" si="6"/>
        <v>normalweight</v>
      </c>
    </row>
    <row r="1493" spans="1:10" ht="15.75" customHeight="1">
      <c r="A1493" t="s">
        <v>1697</v>
      </c>
      <c r="B1493">
        <v>32.299999999999997</v>
      </c>
      <c r="C1493">
        <v>5.31</v>
      </c>
      <c r="E1493" t="s">
        <v>4685</v>
      </c>
      <c r="F1493" t="s">
        <v>4685</v>
      </c>
      <c r="G1493" t="s">
        <v>4685</v>
      </c>
      <c r="H1493" s="2">
        <v>0</v>
      </c>
      <c r="I1493" t="s">
        <v>4685</v>
      </c>
      <c r="J1493" t="str">
        <f t="shared" si="6"/>
        <v>normalweight</v>
      </c>
    </row>
    <row r="1494" spans="1:10" ht="15.75" customHeight="1">
      <c r="A1494" t="s">
        <v>1695</v>
      </c>
      <c r="B1494">
        <v>22.704999999999998</v>
      </c>
      <c r="C1494">
        <v>4.57</v>
      </c>
      <c r="E1494" t="s">
        <v>4686</v>
      </c>
      <c r="F1494" t="s">
        <v>4685</v>
      </c>
      <c r="G1494" t="s">
        <v>4685</v>
      </c>
      <c r="H1494" s="2">
        <v>0</v>
      </c>
      <c r="I1494" t="s">
        <v>4685</v>
      </c>
      <c r="J1494" t="str">
        <f t="shared" si="6"/>
        <v>normalweight</v>
      </c>
    </row>
    <row r="1495" spans="1:10" ht="15.75" customHeight="1">
      <c r="A1495" t="s">
        <v>1693</v>
      </c>
      <c r="B1495">
        <v>21.79</v>
      </c>
      <c r="C1495">
        <v>8.6999999999999993</v>
      </c>
      <c r="D1495" s="6" t="s">
        <v>4684</v>
      </c>
      <c r="E1495" t="s">
        <v>4686</v>
      </c>
      <c r="F1495" t="s">
        <v>4685</v>
      </c>
      <c r="G1495" t="s">
        <v>4685</v>
      </c>
      <c r="H1495" s="2">
        <v>1</v>
      </c>
      <c r="I1495" t="s">
        <v>4685</v>
      </c>
      <c r="J1495" t="str">
        <f t="shared" si="6"/>
        <v>normalweight</v>
      </c>
    </row>
    <row r="1496" spans="1:10" ht="15.75" customHeight="1">
      <c r="A1496" t="s">
        <v>1691</v>
      </c>
      <c r="B1496">
        <v>24.52</v>
      </c>
      <c r="C1496">
        <v>4.76</v>
      </c>
      <c r="E1496" t="s">
        <v>4685</v>
      </c>
      <c r="F1496" t="s">
        <v>4685</v>
      </c>
      <c r="G1496" t="s">
        <v>4685</v>
      </c>
      <c r="H1496" s="2">
        <v>0</v>
      </c>
      <c r="I1496" t="s">
        <v>4685</v>
      </c>
      <c r="J1496" t="str">
        <f t="shared" si="6"/>
        <v>normalweight</v>
      </c>
    </row>
    <row r="1497" spans="1:10" ht="15.75" customHeight="1">
      <c r="A1497" t="s">
        <v>1689</v>
      </c>
      <c r="B1497">
        <v>39.520000000000003</v>
      </c>
      <c r="C1497">
        <v>11.81</v>
      </c>
      <c r="D1497" s="6" t="s">
        <v>4684</v>
      </c>
      <c r="E1497" t="s">
        <v>4685</v>
      </c>
      <c r="F1497" t="s">
        <v>4685</v>
      </c>
      <c r="G1497" t="s">
        <v>4685</v>
      </c>
      <c r="H1497" s="2">
        <v>0</v>
      </c>
      <c r="I1497" t="s">
        <v>4685</v>
      </c>
      <c r="J1497" t="str">
        <f t="shared" si="6"/>
        <v>normalweight</v>
      </c>
    </row>
    <row r="1498" spans="1:10" ht="15.75" customHeight="1">
      <c r="A1498" t="s">
        <v>1687</v>
      </c>
      <c r="B1498">
        <v>24.49</v>
      </c>
      <c r="C1498">
        <v>4.67</v>
      </c>
      <c r="E1498" t="s">
        <v>4685</v>
      </c>
      <c r="F1498" t="s">
        <v>4685</v>
      </c>
      <c r="G1498" t="s">
        <v>4685</v>
      </c>
      <c r="H1498" s="2">
        <v>0</v>
      </c>
      <c r="I1498" t="s">
        <v>4685</v>
      </c>
      <c r="J1498" t="str">
        <f t="shared" si="6"/>
        <v>normalweight</v>
      </c>
    </row>
    <row r="1499" spans="1:10" ht="15.75" customHeight="1">
      <c r="A1499" t="s">
        <v>1685</v>
      </c>
      <c r="B1499">
        <v>26.315000000000001</v>
      </c>
      <c r="C1499">
        <v>6.02</v>
      </c>
      <c r="E1499" t="s">
        <v>4685</v>
      </c>
      <c r="F1499" t="s">
        <v>4685</v>
      </c>
      <c r="G1499" t="s">
        <v>4685</v>
      </c>
      <c r="H1499" s="2">
        <v>0</v>
      </c>
      <c r="I1499" t="s">
        <v>4685</v>
      </c>
      <c r="J1499" t="str">
        <f t="shared" si="6"/>
        <v>normalweight</v>
      </c>
    </row>
    <row r="1500" spans="1:10" ht="15.75" customHeight="1">
      <c r="A1500" t="s">
        <v>1683</v>
      </c>
      <c r="B1500">
        <v>22.58</v>
      </c>
      <c r="C1500">
        <v>7.46</v>
      </c>
      <c r="D1500" s="6" t="s">
        <v>4684</v>
      </c>
      <c r="E1500" t="s">
        <v>4685</v>
      </c>
      <c r="F1500" t="s">
        <v>4685</v>
      </c>
      <c r="G1500" t="s">
        <v>4685</v>
      </c>
      <c r="H1500" s="2">
        <v>0</v>
      </c>
      <c r="I1500" t="s">
        <v>4685</v>
      </c>
      <c r="J1500" t="str">
        <f t="shared" si="6"/>
        <v>normalweight</v>
      </c>
    </row>
    <row r="1501" spans="1:10" ht="15.75" customHeight="1">
      <c r="A1501" t="s">
        <v>1681</v>
      </c>
      <c r="B1501">
        <v>19.475000000000001</v>
      </c>
      <c r="C1501">
        <v>4.74</v>
      </c>
      <c r="E1501" t="s">
        <v>4685</v>
      </c>
      <c r="F1501" t="s">
        <v>4685</v>
      </c>
      <c r="G1501" t="s">
        <v>4685</v>
      </c>
      <c r="H1501" s="2">
        <v>1</v>
      </c>
      <c r="I1501" t="s">
        <v>4685</v>
      </c>
      <c r="J1501" t="str">
        <f t="shared" si="6"/>
        <v>normalweight</v>
      </c>
    </row>
    <row r="1502" spans="1:10" ht="15.75" customHeight="1">
      <c r="A1502" t="s">
        <v>1679</v>
      </c>
      <c r="B1502">
        <v>26.33</v>
      </c>
      <c r="C1502">
        <v>4.79</v>
      </c>
      <c r="E1502" t="s">
        <v>4685</v>
      </c>
      <c r="F1502" t="s">
        <v>4685</v>
      </c>
      <c r="G1502" t="s">
        <v>4685</v>
      </c>
      <c r="H1502" s="2">
        <v>0</v>
      </c>
      <c r="I1502" t="s">
        <v>4685</v>
      </c>
      <c r="J1502" t="str">
        <f t="shared" si="6"/>
        <v>normalweight</v>
      </c>
    </row>
    <row r="1503" spans="1:10" ht="15.75" customHeight="1">
      <c r="A1503" t="s">
        <v>1677</v>
      </c>
      <c r="B1503">
        <v>17.29</v>
      </c>
      <c r="C1503">
        <v>5.35</v>
      </c>
      <c r="E1503" t="s">
        <v>4686</v>
      </c>
      <c r="F1503" t="s">
        <v>4685</v>
      </c>
      <c r="G1503" t="s">
        <v>4685</v>
      </c>
      <c r="H1503" s="2">
        <v>0</v>
      </c>
      <c r="I1503" t="s">
        <v>4685</v>
      </c>
      <c r="J1503" t="str">
        <f t="shared" si="6"/>
        <v>underweight</v>
      </c>
    </row>
    <row r="1504" spans="1:10" ht="15.75" customHeight="1">
      <c r="A1504" t="s">
        <v>1675</v>
      </c>
      <c r="B1504">
        <v>42.88</v>
      </c>
      <c r="C1504">
        <v>4.87</v>
      </c>
      <c r="E1504" t="s">
        <v>4685</v>
      </c>
      <c r="F1504" t="s">
        <v>4686</v>
      </c>
      <c r="G1504" t="s">
        <v>4685</v>
      </c>
      <c r="H1504" s="2">
        <v>1</v>
      </c>
      <c r="I1504" t="s">
        <v>4685</v>
      </c>
      <c r="J1504" t="str">
        <f t="shared" si="6"/>
        <v>normalweight</v>
      </c>
    </row>
    <row r="1505" spans="1:10" ht="15.75" customHeight="1">
      <c r="A1505" t="s">
        <v>1673</v>
      </c>
      <c r="B1505">
        <v>32.200000000000003</v>
      </c>
      <c r="C1505">
        <v>10.09</v>
      </c>
      <c r="D1505" s="6" t="s">
        <v>4684</v>
      </c>
      <c r="E1505" t="s">
        <v>4686</v>
      </c>
      <c r="F1505" t="s">
        <v>4685</v>
      </c>
      <c r="G1505" t="s">
        <v>4685</v>
      </c>
      <c r="H1505" s="2">
        <v>0</v>
      </c>
      <c r="I1505" t="s">
        <v>4685</v>
      </c>
      <c r="J1505" t="str">
        <f t="shared" si="6"/>
        <v>normalweight</v>
      </c>
    </row>
    <row r="1506" spans="1:10" ht="15.75" customHeight="1">
      <c r="A1506" t="s">
        <v>1671</v>
      </c>
      <c r="B1506">
        <v>18.75</v>
      </c>
      <c r="C1506">
        <v>5.47</v>
      </c>
      <c r="E1506" t="s">
        <v>4686</v>
      </c>
      <c r="F1506" t="s">
        <v>4685</v>
      </c>
      <c r="G1506" t="s">
        <v>4688</v>
      </c>
      <c r="H1506" s="2">
        <v>1</v>
      </c>
      <c r="I1506" t="s">
        <v>4685</v>
      </c>
      <c r="J1506" t="str">
        <f t="shared" si="6"/>
        <v>normalweight</v>
      </c>
    </row>
    <row r="1507" spans="1:10" ht="15.75" customHeight="1">
      <c r="A1507" t="s">
        <v>1669</v>
      </c>
      <c r="B1507">
        <v>22.36</v>
      </c>
      <c r="C1507">
        <v>8.6</v>
      </c>
      <c r="D1507" s="6" t="s">
        <v>4684</v>
      </c>
      <c r="E1507" t="s">
        <v>4685</v>
      </c>
      <c r="F1507" t="s">
        <v>4685</v>
      </c>
      <c r="G1507" t="s">
        <v>4685</v>
      </c>
      <c r="H1507" s="2">
        <v>0</v>
      </c>
      <c r="I1507" t="s">
        <v>4685</v>
      </c>
      <c r="J1507" t="str">
        <f t="shared" si="6"/>
        <v>normalweight</v>
      </c>
    </row>
    <row r="1508" spans="1:10" ht="15.75" customHeight="1">
      <c r="A1508" t="s">
        <v>1667</v>
      </c>
      <c r="B1508">
        <v>23.94</v>
      </c>
      <c r="C1508">
        <v>10.74</v>
      </c>
      <c r="D1508" s="6" t="s">
        <v>4684</v>
      </c>
      <c r="E1508" t="s">
        <v>4686</v>
      </c>
      <c r="F1508" t="s">
        <v>4685</v>
      </c>
      <c r="G1508" t="s">
        <v>4685</v>
      </c>
      <c r="H1508" s="2">
        <v>0</v>
      </c>
      <c r="I1508" t="s">
        <v>4685</v>
      </c>
      <c r="J1508" t="str">
        <f t="shared" si="6"/>
        <v>normalweight</v>
      </c>
    </row>
    <row r="1509" spans="1:10" ht="15.75" customHeight="1">
      <c r="A1509" t="s">
        <v>1665</v>
      </c>
      <c r="B1509">
        <v>30.1</v>
      </c>
      <c r="C1509">
        <v>4.3899999999999997</v>
      </c>
      <c r="E1509" t="s">
        <v>4685</v>
      </c>
      <c r="F1509" t="s">
        <v>4685</v>
      </c>
      <c r="G1509" t="s">
        <v>4688</v>
      </c>
      <c r="H1509" s="2">
        <v>1</v>
      </c>
      <c r="I1509" t="s">
        <v>4685</v>
      </c>
      <c r="J1509" t="str">
        <f t="shared" si="6"/>
        <v>normalweight</v>
      </c>
    </row>
    <row r="1510" spans="1:10" ht="15.75" customHeight="1">
      <c r="A1510" t="s">
        <v>1663</v>
      </c>
      <c r="B1510">
        <v>21.93</v>
      </c>
      <c r="C1510">
        <v>6.3</v>
      </c>
      <c r="E1510" t="s">
        <v>4685</v>
      </c>
      <c r="F1510" t="s">
        <v>4685</v>
      </c>
      <c r="G1510" t="s">
        <v>4685</v>
      </c>
      <c r="H1510" s="2">
        <v>0</v>
      </c>
      <c r="I1510" t="s">
        <v>4685</v>
      </c>
      <c r="J1510" t="str">
        <f t="shared" si="6"/>
        <v>normalweight</v>
      </c>
    </row>
    <row r="1511" spans="1:10" ht="15.75" customHeight="1">
      <c r="A1511" t="s">
        <v>1661</v>
      </c>
      <c r="B1511">
        <v>39.75</v>
      </c>
      <c r="C1511">
        <v>5.41</v>
      </c>
      <c r="E1511" t="s">
        <v>4685</v>
      </c>
      <c r="F1511" t="s">
        <v>4686</v>
      </c>
      <c r="G1511" t="s">
        <v>4685</v>
      </c>
      <c r="H1511" s="2">
        <v>1</v>
      </c>
      <c r="I1511" t="s">
        <v>4685</v>
      </c>
      <c r="J1511" t="str">
        <f t="shared" si="6"/>
        <v>normalweight</v>
      </c>
    </row>
    <row r="1512" spans="1:10" ht="15.75" customHeight="1">
      <c r="A1512" t="s">
        <v>1659</v>
      </c>
      <c r="B1512">
        <v>26.03</v>
      </c>
      <c r="C1512">
        <v>4.47</v>
      </c>
      <c r="E1512" t="s">
        <v>4685</v>
      </c>
      <c r="F1512" t="s">
        <v>4685</v>
      </c>
      <c r="G1512" t="s">
        <v>4688</v>
      </c>
      <c r="H1512" s="2">
        <v>1</v>
      </c>
      <c r="I1512" t="s">
        <v>4685</v>
      </c>
      <c r="J1512" t="str">
        <f t="shared" si="6"/>
        <v>normalweight</v>
      </c>
    </row>
    <row r="1513" spans="1:10" ht="15.75" customHeight="1">
      <c r="A1513" t="s">
        <v>1657</v>
      </c>
      <c r="B1513">
        <v>34.51</v>
      </c>
      <c r="C1513">
        <v>6.26</v>
      </c>
      <c r="E1513" t="s">
        <v>4685</v>
      </c>
      <c r="F1513" t="s">
        <v>4685</v>
      </c>
      <c r="G1513" t="s">
        <v>4685</v>
      </c>
      <c r="H1513" s="2">
        <v>0</v>
      </c>
      <c r="I1513" t="s">
        <v>4685</v>
      </c>
      <c r="J1513" t="str">
        <f t="shared" si="6"/>
        <v>normalweight</v>
      </c>
    </row>
    <row r="1514" spans="1:10" ht="15.75" customHeight="1">
      <c r="A1514" t="s">
        <v>1655</v>
      </c>
      <c r="B1514">
        <v>19.32</v>
      </c>
      <c r="C1514">
        <v>11.58</v>
      </c>
      <c r="D1514" s="6" t="s">
        <v>4684</v>
      </c>
      <c r="E1514" t="s">
        <v>4686</v>
      </c>
      <c r="F1514" t="s">
        <v>4685</v>
      </c>
      <c r="G1514" t="s">
        <v>4685</v>
      </c>
      <c r="H1514" s="2">
        <v>1</v>
      </c>
      <c r="I1514" t="s">
        <v>4685</v>
      </c>
      <c r="J1514" t="str">
        <f t="shared" si="6"/>
        <v>normalweight</v>
      </c>
    </row>
    <row r="1515" spans="1:10" ht="15.75" customHeight="1">
      <c r="A1515" t="s">
        <v>1653</v>
      </c>
      <c r="B1515">
        <v>28.5</v>
      </c>
      <c r="C1515">
        <v>4.3600000000000003</v>
      </c>
      <c r="E1515" t="s">
        <v>4685</v>
      </c>
      <c r="F1515" t="s">
        <v>4685</v>
      </c>
      <c r="G1515" t="s">
        <v>4685</v>
      </c>
      <c r="H1515" s="2">
        <v>0</v>
      </c>
      <c r="I1515" t="s">
        <v>4685</v>
      </c>
      <c r="J1515" t="str">
        <f t="shared" si="6"/>
        <v>normalweight</v>
      </c>
    </row>
    <row r="1516" spans="1:10" ht="15.75" customHeight="1">
      <c r="A1516" t="s">
        <v>1651</v>
      </c>
      <c r="B1516">
        <v>30.875</v>
      </c>
      <c r="C1516">
        <v>4.1399999999999997</v>
      </c>
      <c r="E1516" t="s">
        <v>4686</v>
      </c>
      <c r="F1516" t="s">
        <v>4685</v>
      </c>
      <c r="G1516" t="s">
        <v>4685</v>
      </c>
      <c r="H1516" s="2">
        <v>0</v>
      </c>
      <c r="I1516" t="s">
        <v>4685</v>
      </c>
      <c r="J1516" t="str">
        <f t="shared" si="6"/>
        <v>normalweight</v>
      </c>
    </row>
    <row r="1517" spans="1:10" ht="15.75" customHeight="1">
      <c r="A1517" t="s">
        <v>1649</v>
      </c>
      <c r="B1517">
        <v>24.02</v>
      </c>
      <c r="C1517">
        <v>4.38</v>
      </c>
      <c r="E1517" t="s">
        <v>4685</v>
      </c>
      <c r="F1517" t="s">
        <v>4685</v>
      </c>
      <c r="G1517" t="s">
        <v>4685</v>
      </c>
      <c r="H1517" s="2">
        <v>0</v>
      </c>
      <c r="I1517" t="s">
        <v>4685</v>
      </c>
      <c r="J1517" t="str">
        <f t="shared" si="6"/>
        <v>normalweight</v>
      </c>
    </row>
    <row r="1518" spans="1:10" ht="15.75" customHeight="1">
      <c r="A1518" t="s">
        <v>1647</v>
      </c>
      <c r="B1518">
        <v>36.08</v>
      </c>
      <c r="C1518">
        <v>11.61</v>
      </c>
      <c r="D1518" s="6" t="s">
        <v>4684</v>
      </c>
      <c r="E1518" t="s">
        <v>4686</v>
      </c>
      <c r="F1518" t="s">
        <v>4685</v>
      </c>
      <c r="G1518" t="s">
        <v>4685</v>
      </c>
      <c r="H1518" s="2">
        <v>0</v>
      </c>
      <c r="I1518" t="s">
        <v>4685</v>
      </c>
      <c r="J1518" t="str">
        <f t="shared" si="6"/>
        <v>normalweight</v>
      </c>
    </row>
    <row r="1519" spans="1:10" ht="15.75" customHeight="1">
      <c r="A1519" t="s">
        <v>1645</v>
      </c>
      <c r="B1519">
        <v>32.200000000000003</v>
      </c>
      <c r="C1519">
        <v>10.59</v>
      </c>
      <c r="D1519" s="6" t="s">
        <v>4684</v>
      </c>
      <c r="E1519" t="s">
        <v>4686</v>
      </c>
      <c r="F1519" t="s">
        <v>4685</v>
      </c>
      <c r="G1519" t="s">
        <v>4685</v>
      </c>
      <c r="H1519" s="2">
        <v>0</v>
      </c>
      <c r="I1519" t="s">
        <v>4685</v>
      </c>
      <c r="J1519" t="str">
        <f t="shared" si="6"/>
        <v>normalweight</v>
      </c>
    </row>
    <row r="1520" spans="1:10" ht="15.75" customHeight="1">
      <c r="A1520" t="s">
        <v>1643</v>
      </c>
      <c r="B1520">
        <v>28.05</v>
      </c>
      <c r="C1520">
        <v>11.85</v>
      </c>
      <c r="D1520" s="6" t="s">
        <v>4684</v>
      </c>
      <c r="E1520" t="s">
        <v>4686</v>
      </c>
      <c r="F1520" t="s">
        <v>4685</v>
      </c>
      <c r="G1520" t="s">
        <v>4685</v>
      </c>
      <c r="H1520" s="2">
        <v>0</v>
      </c>
      <c r="I1520" t="s">
        <v>4685</v>
      </c>
      <c r="J1520" t="str">
        <f t="shared" si="6"/>
        <v>normalweight</v>
      </c>
    </row>
    <row r="1521" spans="1:10" ht="15.75" customHeight="1">
      <c r="A1521" t="s">
        <v>1641</v>
      </c>
      <c r="B1521">
        <v>19</v>
      </c>
      <c r="C1521">
        <v>5.46</v>
      </c>
      <c r="E1521" t="s">
        <v>4686</v>
      </c>
      <c r="F1521" t="s">
        <v>4685</v>
      </c>
      <c r="G1521" t="s">
        <v>4685</v>
      </c>
      <c r="H1521" s="2">
        <v>1</v>
      </c>
      <c r="I1521" t="s">
        <v>4685</v>
      </c>
      <c r="J1521" t="str">
        <f t="shared" si="6"/>
        <v>normalweight</v>
      </c>
    </row>
    <row r="1522" spans="1:10" ht="15.75" customHeight="1">
      <c r="A1522" t="s">
        <v>1639</v>
      </c>
      <c r="B1522">
        <v>16.13</v>
      </c>
      <c r="C1522">
        <v>4.54</v>
      </c>
      <c r="E1522" t="s">
        <v>4686</v>
      </c>
      <c r="F1522" t="s">
        <v>4685</v>
      </c>
      <c r="G1522" t="s">
        <v>4685</v>
      </c>
      <c r="H1522" s="2">
        <v>2</v>
      </c>
      <c r="I1522" t="s">
        <v>4685</v>
      </c>
      <c r="J1522" t="str">
        <f t="shared" si="6"/>
        <v>underweight</v>
      </c>
    </row>
    <row r="1523" spans="1:10" ht="15.75" customHeight="1">
      <c r="A1523" t="s">
        <v>1637</v>
      </c>
      <c r="B1523">
        <v>18.77</v>
      </c>
      <c r="C1523">
        <v>11.98</v>
      </c>
      <c r="D1523" s="6" t="s">
        <v>4684</v>
      </c>
      <c r="E1523" t="s">
        <v>4686</v>
      </c>
      <c r="F1523" t="s">
        <v>4685</v>
      </c>
      <c r="G1523" t="s">
        <v>4685</v>
      </c>
      <c r="H1523" s="2">
        <v>2</v>
      </c>
      <c r="I1523" t="s">
        <v>4685</v>
      </c>
      <c r="J1523" t="str">
        <f t="shared" si="6"/>
        <v>normalweight</v>
      </c>
    </row>
    <row r="1524" spans="1:10" ht="15.75" customHeight="1">
      <c r="A1524" t="s">
        <v>1635</v>
      </c>
      <c r="B1524">
        <v>28.88</v>
      </c>
      <c r="C1524">
        <v>6.59</v>
      </c>
      <c r="D1524" s="6" t="s">
        <v>4684</v>
      </c>
      <c r="E1524" t="s">
        <v>4686</v>
      </c>
      <c r="F1524" t="s">
        <v>4685</v>
      </c>
      <c r="G1524" t="s">
        <v>4685</v>
      </c>
      <c r="H1524" s="2">
        <v>1</v>
      </c>
      <c r="I1524" t="s">
        <v>4685</v>
      </c>
      <c r="J1524" t="str">
        <f t="shared" si="6"/>
        <v>normalweight</v>
      </c>
    </row>
    <row r="1525" spans="1:10" ht="15.75" customHeight="1">
      <c r="A1525" t="s">
        <v>1633</v>
      </c>
      <c r="B1525">
        <v>27.55</v>
      </c>
      <c r="C1525">
        <v>10.83</v>
      </c>
      <c r="D1525" s="6" t="s">
        <v>4684</v>
      </c>
      <c r="E1525" t="s">
        <v>4686</v>
      </c>
      <c r="F1525" t="s">
        <v>4685</v>
      </c>
      <c r="G1525" t="s">
        <v>4685</v>
      </c>
      <c r="H1525" s="2">
        <v>1</v>
      </c>
      <c r="I1525" t="s">
        <v>4685</v>
      </c>
      <c r="J1525" t="str">
        <f t="shared" si="6"/>
        <v>normalweight</v>
      </c>
    </row>
    <row r="1526" spans="1:10" ht="15.75" customHeight="1">
      <c r="A1526" t="s">
        <v>1631</v>
      </c>
      <c r="B1526">
        <v>15.6</v>
      </c>
      <c r="C1526">
        <v>8.6</v>
      </c>
      <c r="D1526" s="6" t="s">
        <v>4684</v>
      </c>
      <c r="E1526" t="s">
        <v>4685</v>
      </c>
      <c r="F1526" t="s">
        <v>4685</v>
      </c>
      <c r="G1526" t="s">
        <v>4685</v>
      </c>
      <c r="H1526" s="2">
        <v>0</v>
      </c>
      <c r="I1526" t="s">
        <v>4685</v>
      </c>
      <c r="J1526" t="str">
        <f t="shared" si="6"/>
        <v>underweight</v>
      </c>
    </row>
    <row r="1527" spans="1:10" ht="15.75" customHeight="1">
      <c r="A1527" t="s">
        <v>1629</v>
      </c>
      <c r="B1527">
        <v>21.99</v>
      </c>
      <c r="C1527">
        <v>11.17</v>
      </c>
      <c r="D1527" s="6" t="s">
        <v>4684</v>
      </c>
      <c r="E1527" t="s">
        <v>4685</v>
      </c>
      <c r="F1527" t="s">
        <v>4685</v>
      </c>
      <c r="G1527" t="s">
        <v>4685</v>
      </c>
      <c r="H1527" s="2">
        <v>0</v>
      </c>
      <c r="I1527" t="s">
        <v>4685</v>
      </c>
      <c r="J1527" t="str">
        <f t="shared" si="6"/>
        <v>normalweight</v>
      </c>
    </row>
    <row r="1528" spans="1:10" ht="15.75" customHeight="1">
      <c r="A1528" t="s">
        <v>1627</v>
      </c>
      <c r="B1528">
        <v>34.85</v>
      </c>
      <c r="C1528">
        <v>5.75</v>
      </c>
      <c r="E1528" t="s">
        <v>4685</v>
      </c>
      <c r="F1528" t="s">
        <v>4685</v>
      </c>
      <c r="G1528" t="s">
        <v>4685</v>
      </c>
      <c r="H1528" s="2">
        <v>0</v>
      </c>
      <c r="I1528" t="s">
        <v>4685</v>
      </c>
      <c r="J1528" t="str">
        <f t="shared" si="6"/>
        <v>normalweight</v>
      </c>
    </row>
    <row r="1529" spans="1:10" ht="15.75" customHeight="1">
      <c r="A1529" t="s">
        <v>1625</v>
      </c>
      <c r="B1529">
        <v>24.51</v>
      </c>
      <c r="C1529">
        <v>4.83</v>
      </c>
      <c r="E1529" t="s">
        <v>4686</v>
      </c>
      <c r="F1529" t="s">
        <v>4685</v>
      </c>
      <c r="G1529" t="s">
        <v>4688</v>
      </c>
      <c r="H1529" s="2">
        <v>1</v>
      </c>
      <c r="I1529" t="s">
        <v>4685</v>
      </c>
      <c r="J1529" t="str">
        <f t="shared" si="6"/>
        <v>normalweight</v>
      </c>
    </row>
    <row r="1530" spans="1:10" ht="15.75" customHeight="1">
      <c r="A1530" t="s">
        <v>1623</v>
      </c>
      <c r="B1530">
        <v>19.399999999999999</v>
      </c>
      <c r="C1530">
        <v>11.93</v>
      </c>
      <c r="D1530" s="6" t="s">
        <v>4684</v>
      </c>
      <c r="E1530" t="s">
        <v>4685</v>
      </c>
      <c r="F1530" t="s">
        <v>4685</v>
      </c>
      <c r="G1530" t="s">
        <v>4685</v>
      </c>
      <c r="H1530" s="2">
        <v>0</v>
      </c>
      <c r="I1530" t="s">
        <v>4685</v>
      </c>
      <c r="J1530" t="str">
        <f t="shared" si="6"/>
        <v>normalweight</v>
      </c>
    </row>
    <row r="1531" spans="1:10" ht="15.75" customHeight="1">
      <c r="A1531" t="s">
        <v>1621</v>
      </c>
      <c r="B1531">
        <v>15.1</v>
      </c>
      <c r="C1531">
        <v>8.41</v>
      </c>
      <c r="D1531" s="6" t="s">
        <v>4684</v>
      </c>
      <c r="E1531" t="s">
        <v>4685</v>
      </c>
      <c r="F1531" t="s">
        <v>4685</v>
      </c>
      <c r="G1531" t="s">
        <v>4685</v>
      </c>
      <c r="H1531" s="2">
        <v>0</v>
      </c>
      <c r="I1531" t="s">
        <v>4685</v>
      </c>
      <c r="J1531" t="str">
        <f t="shared" si="6"/>
        <v>underweight</v>
      </c>
    </row>
    <row r="1532" spans="1:10" ht="15.75" customHeight="1">
      <c r="A1532" t="s">
        <v>1619</v>
      </c>
      <c r="B1532">
        <v>23.37</v>
      </c>
      <c r="C1532">
        <v>5.59</v>
      </c>
      <c r="D1532" s="6"/>
      <c r="E1532" t="s">
        <v>4686</v>
      </c>
      <c r="F1532" t="s">
        <v>4685</v>
      </c>
      <c r="G1532" t="s">
        <v>4685</v>
      </c>
      <c r="H1532" s="2">
        <v>0</v>
      </c>
      <c r="I1532" t="s">
        <v>4685</v>
      </c>
      <c r="J1532" t="str">
        <f t="shared" si="6"/>
        <v>normalweight</v>
      </c>
    </row>
    <row r="1533" spans="1:10" ht="15.75" customHeight="1">
      <c r="A1533" t="s">
        <v>1617</v>
      </c>
      <c r="B1533">
        <v>42.4</v>
      </c>
      <c r="C1533">
        <v>4.0599999999999996</v>
      </c>
      <c r="E1533" t="s">
        <v>4685</v>
      </c>
      <c r="F1533" t="s">
        <v>4685</v>
      </c>
      <c r="G1533" t="s">
        <v>4685</v>
      </c>
      <c r="H1533" s="2">
        <v>0</v>
      </c>
      <c r="I1533" t="s">
        <v>4685</v>
      </c>
      <c r="J1533" t="str">
        <f t="shared" si="6"/>
        <v>normalweight</v>
      </c>
    </row>
    <row r="1534" spans="1:10" ht="15.75" customHeight="1">
      <c r="A1534" t="s">
        <v>1615</v>
      </c>
      <c r="B1534">
        <v>28.405000000000001</v>
      </c>
      <c r="C1534">
        <v>7.02</v>
      </c>
      <c r="D1534" s="6" t="s">
        <v>4684</v>
      </c>
      <c r="E1534" t="s">
        <v>4686</v>
      </c>
      <c r="F1534" t="s">
        <v>4685</v>
      </c>
      <c r="G1534" t="s">
        <v>4685</v>
      </c>
      <c r="H1534" s="2">
        <v>0</v>
      </c>
      <c r="I1534" t="s">
        <v>4685</v>
      </c>
      <c r="J1534" t="str">
        <f t="shared" si="6"/>
        <v>normalweight</v>
      </c>
    </row>
    <row r="1535" spans="1:10" ht="15.75" customHeight="1">
      <c r="A1535" t="s">
        <v>1613</v>
      </c>
      <c r="B1535">
        <v>23.4</v>
      </c>
      <c r="C1535">
        <v>4.47</v>
      </c>
      <c r="E1535" t="s">
        <v>4685</v>
      </c>
      <c r="F1535" t="s">
        <v>4685</v>
      </c>
      <c r="G1535" t="s">
        <v>4685</v>
      </c>
      <c r="H1535" s="2">
        <v>0</v>
      </c>
      <c r="I1535" t="s">
        <v>4685</v>
      </c>
      <c r="J1535" t="str">
        <f t="shared" si="6"/>
        <v>normalweight</v>
      </c>
    </row>
    <row r="1536" spans="1:10" ht="15.75" customHeight="1">
      <c r="A1536" t="s">
        <v>1611</v>
      </c>
      <c r="B1536">
        <v>33.44</v>
      </c>
      <c r="C1536">
        <v>4.54</v>
      </c>
      <c r="E1536" t="s">
        <v>4685</v>
      </c>
      <c r="F1536" t="s">
        <v>4685</v>
      </c>
      <c r="G1536" t="s">
        <v>4685</v>
      </c>
      <c r="H1536" s="2">
        <v>0</v>
      </c>
      <c r="I1536" t="s">
        <v>4685</v>
      </c>
      <c r="J1536" t="str">
        <f t="shared" si="6"/>
        <v>normalweight</v>
      </c>
    </row>
    <row r="1537" spans="1:10" ht="15.75" customHeight="1">
      <c r="A1537" t="s">
        <v>1609</v>
      </c>
      <c r="B1537">
        <v>21.12</v>
      </c>
      <c r="C1537">
        <v>4.99</v>
      </c>
      <c r="E1537" t="s">
        <v>4685</v>
      </c>
      <c r="F1537" t="s">
        <v>4685</v>
      </c>
      <c r="G1537" t="s">
        <v>4685</v>
      </c>
      <c r="H1537" s="2">
        <v>1</v>
      </c>
      <c r="I1537" t="s">
        <v>4685</v>
      </c>
      <c r="J1537" t="str">
        <f t="shared" si="6"/>
        <v>normalweight</v>
      </c>
    </row>
    <row r="1538" spans="1:10" ht="15.75" customHeight="1">
      <c r="A1538" t="s">
        <v>1607</v>
      </c>
      <c r="B1538">
        <v>18.48</v>
      </c>
      <c r="C1538">
        <v>10.84</v>
      </c>
      <c r="D1538" s="6" t="s">
        <v>4684</v>
      </c>
      <c r="E1538" t="s">
        <v>4686</v>
      </c>
      <c r="F1538" t="s">
        <v>4685</v>
      </c>
      <c r="G1538" t="s">
        <v>4685</v>
      </c>
      <c r="H1538" s="2">
        <v>2</v>
      </c>
      <c r="I1538" t="s">
        <v>4685</v>
      </c>
      <c r="J1538" t="str">
        <f t="shared" si="6"/>
        <v>underweight</v>
      </c>
    </row>
    <row r="1539" spans="1:10" ht="15.75" customHeight="1">
      <c r="A1539" t="s">
        <v>1605</v>
      </c>
      <c r="B1539">
        <v>16.815000000000001</v>
      </c>
      <c r="C1539">
        <v>5.63</v>
      </c>
      <c r="E1539" t="s">
        <v>4685</v>
      </c>
      <c r="F1539" t="s">
        <v>4685</v>
      </c>
      <c r="G1539" t="s">
        <v>4685</v>
      </c>
      <c r="H1539" s="2">
        <v>1</v>
      </c>
      <c r="I1539" t="s">
        <v>4685</v>
      </c>
      <c r="J1539" t="str">
        <f t="shared" si="6"/>
        <v>underweight</v>
      </c>
    </row>
    <row r="1540" spans="1:10" ht="15.75" customHeight="1">
      <c r="A1540" t="s">
        <v>1603</v>
      </c>
      <c r="B1540">
        <v>26.72</v>
      </c>
      <c r="C1540">
        <v>4.1399999999999997</v>
      </c>
      <c r="E1540" t="s">
        <v>4685</v>
      </c>
      <c r="F1540" t="s">
        <v>4685</v>
      </c>
      <c r="G1540" t="s">
        <v>4685</v>
      </c>
      <c r="H1540" s="2">
        <v>0</v>
      </c>
      <c r="I1540" t="s">
        <v>4685</v>
      </c>
      <c r="J1540" t="str">
        <f t="shared" si="6"/>
        <v>normalweight</v>
      </c>
    </row>
    <row r="1541" spans="1:10" ht="15.75" customHeight="1">
      <c r="A1541" t="s">
        <v>1601</v>
      </c>
      <c r="B1541">
        <v>41.42</v>
      </c>
      <c r="C1541">
        <v>5.17</v>
      </c>
      <c r="E1541" t="s">
        <v>4685</v>
      </c>
      <c r="F1541" t="s">
        <v>4685</v>
      </c>
      <c r="G1541" t="s">
        <v>4688</v>
      </c>
      <c r="H1541" s="2">
        <v>1</v>
      </c>
      <c r="I1541" t="s">
        <v>4685</v>
      </c>
      <c r="J1541" t="str">
        <f t="shared" si="6"/>
        <v>normalweight</v>
      </c>
    </row>
    <row r="1542" spans="1:10" ht="15.75" customHeight="1">
      <c r="A1542" t="s">
        <v>1599</v>
      </c>
      <c r="B1542">
        <v>20.69</v>
      </c>
      <c r="C1542">
        <v>6.93</v>
      </c>
      <c r="D1542" s="6" t="s">
        <v>4684</v>
      </c>
      <c r="E1542" t="s">
        <v>4685</v>
      </c>
      <c r="F1542" t="s">
        <v>4685</v>
      </c>
      <c r="G1542" t="s">
        <v>4685</v>
      </c>
      <c r="H1542" s="2">
        <v>2</v>
      </c>
      <c r="I1542" t="s">
        <v>4685</v>
      </c>
      <c r="J1542" t="str">
        <f t="shared" si="6"/>
        <v>normalweight</v>
      </c>
    </row>
    <row r="1543" spans="1:10" ht="15.75" customHeight="1">
      <c r="A1543" t="s">
        <v>1597</v>
      </c>
      <c r="B1543">
        <v>41.23</v>
      </c>
      <c r="C1543">
        <v>4.24</v>
      </c>
      <c r="E1543" t="s">
        <v>4685</v>
      </c>
      <c r="F1543" t="s">
        <v>4685</v>
      </c>
      <c r="G1543" t="s">
        <v>4685</v>
      </c>
      <c r="H1543" s="2">
        <v>0</v>
      </c>
      <c r="I1543" t="s">
        <v>4685</v>
      </c>
      <c r="J1543" t="str">
        <f t="shared" si="6"/>
        <v>normalweight</v>
      </c>
    </row>
    <row r="1544" spans="1:10" ht="15.75" customHeight="1">
      <c r="A1544" t="s">
        <v>1595</v>
      </c>
      <c r="B1544">
        <v>29.9</v>
      </c>
      <c r="C1544">
        <v>5.91</v>
      </c>
      <c r="E1544" t="s">
        <v>4685</v>
      </c>
      <c r="F1544" t="s">
        <v>4685</v>
      </c>
      <c r="G1544" t="s">
        <v>4685</v>
      </c>
      <c r="H1544" s="2">
        <v>0</v>
      </c>
      <c r="I1544" t="s">
        <v>4685</v>
      </c>
      <c r="J1544" t="str">
        <f t="shared" si="6"/>
        <v>normalweight</v>
      </c>
    </row>
    <row r="1545" spans="1:10" ht="15.75" customHeight="1">
      <c r="A1545" t="s">
        <v>1593</v>
      </c>
      <c r="B1545">
        <v>34.104999999999997</v>
      </c>
      <c r="C1545">
        <v>5.93</v>
      </c>
      <c r="E1545" t="s">
        <v>4685</v>
      </c>
      <c r="F1545" t="s">
        <v>4685</v>
      </c>
      <c r="G1545" t="s">
        <v>4685</v>
      </c>
      <c r="H1545" s="2">
        <v>0</v>
      </c>
      <c r="I1545" t="s">
        <v>4685</v>
      </c>
      <c r="J1545" t="str">
        <f t="shared" si="6"/>
        <v>normalweight</v>
      </c>
    </row>
    <row r="1546" spans="1:10" ht="15.75" customHeight="1">
      <c r="A1546" t="s">
        <v>1591</v>
      </c>
      <c r="B1546">
        <v>24.97</v>
      </c>
      <c r="C1546">
        <v>5.66</v>
      </c>
      <c r="E1546" t="s">
        <v>4685</v>
      </c>
      <c r="F1546" t="s">
        <v>4685</v>
      </c>
      <c r="G1546" t="s">
        <v>4685</v>
      </c>
      <c r="H1546" s="2">
        <v>0</v>
      </c>
      <c r="I1546" t="s">
        <v>4685</v>
      </c>
      <c r="J1546" t="str">
        <f t="shared" si="6"/>
        <v>normalweight</v>
      </c>
    </row>
    <row r="1547" spans="1:10" ht="15.75" customHeight="1">
      <c r="A1547" t="s">
        <v>1589</v>
      </c>
      <c r="B1547">
        <v>34.799999999999997</v>
      </c>
      <c r="C1547">
        <v>4.1900000000000004</v>
      </c>
      <c r="E1547" t="s">
        <v>4685</v>
      </c>
      <c r="F1547" t="s">
        <v>4685</v>
      </c>
      <c r="G1547" t="s">
        <v>4685</v>
      </c>
      <c r="H1547" s="2">
        <v>1</v>
      </c>
      <c r="I1547" t="s">
        <v>4685</v>
      </c>
      <c r="J1547" t="str">
        <f t="shared" si="6"/>
        <v>normalweight</v>
      </c>
    </row>
    <row r="1548" spans="1:10" ht="15.75" customHeight="1">
      <c r="A1548" t="s">
        <v>1587</v>
      </c>
      <c r="B1548">
        <v>32.965000000000003</v>
      </c>
      <c r="C1548">
        <v>9.2100000000000009</v>
      </c>
      <c r="D1548" s="6" t="s">
        <v>4684</v>
      </c>
      <c r="E1548" t="s">
        <v>4686</v>
      </c>
      <c r="F1548" t="s">
        <v>4685</v>
      </c>
      <c r="G1548" t="s">
        <v>4685</v>
      </c>
      <c r="H1548" s="2">
        <v>0</v>
      </c>
      <c r="I1548" t="s">
        <v>4685</v>
      </c>
      <c r="J1548" t="str">
        <f t="shared" si="6"/>
        <v>normalweight</v>
      </c>
    </row>
    <row r="1549" spans="1:10" ht="15.75" customHeight="1">
      <c r="A1549" t="s">
        <v>1585</v>
      </c>
      <c r="B1549">
        <v>27.265000000000001</v>
      </c>
      <c r="C1549">
        <v>5.51</v>
      </c>
      <c r="E1549" t="s">
        <v>4685</v>
      </c>
      <c r="F1549" t="s">
        <v>4685</v>
      </c>
      <c r="G1549" t="s">
        <v>4685</v>
      </c>
      <c r="H1549" s="2">
        <v>1</v>
      </c>
      <c r="I1549" t="s">
        <v>4685</v>
      </c>
      <c r="J1549" t="str">
        <f t="shared" si="6"/>
        <v>normalweight</v>
      </c>
    </row>
    <row r="1550" spans="1:10" ht="15.75" customHeight="1">
      <c r="A1550" t="s">
        <v>1583</v>
      </c>
      <c r="B1550">
        <v>17.059999999999999</v>
      </c>
      <c r="C1550">
        <v>8.5</v>
      </c>
      <c r="D1550" s="6" t="s">
        <v>4684</v>
      </c>
      <c r="E1550" t="s">
        <v>4685</v>
      </c>
      <c r="F1550" t="s">
        <v>4685</v>
      </c>
      <c r="G1550" t="s">
        <v>4685</v>
      </c>
      <c r="H1550" s="2">
        <v>0</v>
      </c>
      <c r="I1550" t="s">
        <v>4685</v>
      </c>
      <c r="J1550" t="str">
        <f t="shared" si="6"/>
        <v>underweight</v>
      </c>
    </row>
    <row r="1551" spans="1:10" ht="15.75" customHeight="1">
      <c r="A1551" t="s">
        <v>1581</v>
      </c>
      <c r="B1551">
        <v>36.29</v>
      </c>
      <c r="C1551">
        <v>6.23</v>
      </c>
      <c r="E1551" t="s">
        <v>4685</v>
      </c>
      <c r="F1551" t="s">
        <v>4685</v>
      </c>
      <c r="G1551" t="s">
        <v>4685</v>
      </c>
      <c r="H1551" s="2">
        <v>0</v>
      </c>
      <c r="I1551" t="s">
        <v>4685</v>
      </c>
      <c r="J1551" t="str">
        <f t="shared" si="6"/>
        <v>normalweight</v>
      </c>
    </row>
    <row r="1552" spans="1:10" ht="15.75" customHeight="1">
      <c r="A1552" t="s">
        <v>1579</v>
      </c>
      <c r="B1552">
        <v>28.594999999999999</v>
      </c>
      <c r="C1552">
        <v>8.5299999999999994</v>
      </c>
      <c r="D1552" s="6" t="s">
        <v>4684</v>
      </c>
      <c r="E1552" t="s">
        <v>4686</v>
      </c>
      <c r="F1552" t="s">
        <v>4685</v>
      </c>
      <c r="G1552" t="s">
        <v>4685</v>
      </c>
      <c r="H1552" s="2">
        <v>1</v>
      </c>
      <c r="I1552" t="s">
        <v>4685</v>
      </c>
      <c r="J1552" t="str">
        <f t="shared" ref="J1552:J1806" si="7">IF(B1552&lt;=18.5,"underweight",IF(B1552&gt;=18.5-24.9,"normalweight",IF(B1552&gt;=25-29.9,"overweight","obesity")))</f>
        <v>normalweight</v>
      </c>
    </row>
    <row r="1553" spans="1:10" ht="15.75" customHeight="1">
      <c r="A1553" t="s">
        <v>1577</v>
      </c>
      <c r="B1553">
        <v>17.8</v>
      </c>
      <c r="C1553">
        <v>5.75</v>
      </c>
      <c r="E1553" t="s">
        <v>4686</v>
      </c>
      <c r="F1553" t="s">
        <v>4685</v>
      </c>
      <c r="G1553" t="s">
        <v>4688</v>
      </c>
      <c r="H1553" s="2">
        <v>1</v>
      </c>
      <c r="I1553" t="s">
        <v>4685</v>
      </c>
      <c r="J1553" t="str">
        <f t="shared" si="7"/>
        <v>underweight</v>
      </c>
    </row>
    <row r="1554" spans="1:10" ht="15.75" customHeight="1">
      <c r="A1554" t="s">
        <v>1575</v>
      </c>
      <c r="B1554">
        <v>21.4</v>
      </c>
      <c r="C1554">
        <v>5.6</v>
      </c>
      <c r="E1554" t="s">
        <v>4685</v>
      </c>
      <c r="F1554" t="s">
        <v>4685</v>
      </c>
      <c r="G1554" t="s">
        <v>4685</v>
      </c>
      <c r="H1554" s="2">
        <v>0</v>
      </c>
      <c r="I1554" t="s">
        <v>4685</v>
      </c>
      <c r="J1554" t="str">
        <f t="shared" si="7"/>
        <v>normalweight</v>
      </c>
    </row>
    <row r="1555" spans="1:10" ht="15.75" customHeight="1">
      <c r="A1555" t="s">
        <v>1573</v>
      </c>
      <c r="B1555">
        <v>23.01</v>
      </c>
      <c r="C1555">
        <v>4.68</v>
      </c>
      <c r="E1555" t="s">
        <v>4685</v>
      </c>
      <c r="F1555" t="s">
        <v>4685</v>
      </c>
      <c r="G1555" t="s">
        <v>4685</v>
      </c>
      <c r="H1555" s="2">
        <v>0</v>
      </c>
      <c r="I1555" t="s">
        <v>4685</v>
      </c>
      <c r="J1555" t="str">
        <f t="shared" si="7"/>
        <v>normalweight</v>
      </c>
    </row>
    <row r="1556" spans="1:10" ht="15.75" customHeight="1">
      <c r="A1556" t="s">
        <v>1571</v>
      </c>
      <c r="B1556">
        <v>19.86</v>
      </c>
      <c r="C1556">
        <v>5.62</v>
      </c>
      <c r="E1556" t="s">
        <v>4686</v>
      </c>
      <c r="F1556" t="s">
        <v>4685</v>
      </c>
      <c r="G1556" t="s">
        <v>4685</v>
      </c>
      <c r="H1556" s="2">
        <v>0</v>
      </c>
      <c r="I1556" t="s">
        <v>4685</v>
      </c>
      <c r="J1556" t="str">
        <f t="shared" si="7"/>
        <v>normalweight</v>
      </c>
    </row>
    <row r="1557" spans="1:10" ht="15.75" customHeight="1">
      <c r="A1557" t="s">
        <v>1569</v>
      </c>
      <c r="B1557">
        <v>33.58</v>
      </c>
      <c r="C1557">
        <v>5.08</v>
      </c>
      <c r="E1557" t="s">
        <v>4685</v>
      </c>
      <c r="F1557" t="s">
        <v>4685</v>
      </c>
      <c r="G1557" t="s">
        <v>4685</v>
      </c>
      <c r="H1557" s="2">
        <v>0</v>
      </c>
      <c r="I1557" t="s">
        <v>4685</v>
      </c>
      <c r="J1557" t="str">
        <f t="shared" si="7"/>
        <v>normalweight</v>
      </c>
    </row>
    <row r="1558" spans="1:10" ht="15.75" customHeight="1">
      <c r="A1558" t="s">
        <v>1567</v>
      </c>
      <c r="B1558">
        <v>29.81</v>
      </c>
      <c r="C1558">
        <v>5.28</v>
      </c>
      <c r="E1558" t="s">
        <v>4685</v>
      </c>
      <c r="F1558" t="s">
        <v>4685</v>
      </c>
      <c r="G1558" t="s">
        <v>4685</v>
      </c>
      <c r="H1558" s="2">
        <v>0</v>
      </c>
      <c r="I1558" t="s">
        <v>4685</v>
      </c>
      <c r="J1558" t="str">
        <f t="shared" si="7"/>
        <v>normalweight</v>
      </c>
    </row>
    <row r="1559" spans="1:10" ht="15.75" customHeight="1">
      <c r="A1559" t="s">
        <v>1565</v>
      </c>
      <c r="B1559">
        <v>27.4</v>
      </c>
      <c r="C1559">
        <v>4.6100000000000003</v>
      </c>
      <c r="E1559" t="s">
        <v>4685</v>
      </c>
      <c r="F1559" t="s">
        <v>4685</v>
      </c>
      <c r="G1559" t="s">
        <v>4685</v>
      </c>
      <c r="H1559" s="2">
        <v>0</v>
      </c>
      <c r="I1559" t="s">
        <v>4685</v>
      </c>
      <c r="J1559" t="str">
        <f t="shared" si="7"/>
        <v>normalweight</v>
      </c>
    </row>
    <row r="1560" spans="1:10" ht="15.75" customHeight="1">
      <c r="A1560" t="s">
        <v>1563</v>
      </c>
      <c r="B1560">
        <v>17.98</v>
      </c>
      <c r="C1560">
        <v>6.57</v>
      </c>
      <c r="D1560" s="6" t="s">
        <v>4684</v>
      </c>
      <c r="E1560" t="s">
        <v>4686</v>
      </c>
      <c r="F1560" t="s">
        <v>4685</v>
      </c>
      <c r="G1560" t="s">
        <v>4685</v>
      </c>
      <c r="H1560" s="2">
        <v>2</v>
      </c>
      <c r="I1560" t="s">
        <v>4685</v>
      </c>
      <c r="J1560" t="str">
        <f t="shared" si="7"/>
        <v>underweight</v>
      </c>
    </row>
    <row r="1561" spans="1:10" ht="15.75" customHeight="1">
      <c r="A1561" t="s">
        <v>1561</v>
      </c>
      <c r="B1561">
        <v>37.9</v>
      </c>
      <c r="C1561">
        <v>5.83</v>
      </c>
      <c r="E1561" t="s">
        <v>4685</v>
      </c>
      <c r="F1561" t="s">
        <v>4685</v>
      </c>
      <c r="G1561" t="s">
        <v>4685</v>
      </c>
      <c r="H1561" s="2">
        <v>0</v>
      </c>
      <c r="I1561" t="s">
        <v>4685</v>
      </c>
      <c r="J1561" t="str">
        <f t="shared" si="7"/>
        <v>normalweight</v>
      </c>
    </row>
    <row r="1562" spans="1:10" ht="15.75" customHeight="1">
      <c r="A1562" t="s">
        <v>1559</v>
      </c>
      <c r="B1562">
        <v>25.27</v>
      </c>
      <c r="C1562">
        <v>6.98</v>
      </c>
      <c r="D1562" s="6" t="s">
        <v>4684</v>
      </c>
      <c r="E1562" t="s">
        <v>4686</v>
      </c>
      <c r="F1562" t="s">
        <v>4685</v>
      </c>
      <c r="G1562" t="s">
        <v>4685</v>
      </c>
      <c r="H1562" s="2">
        <v>0</v>
      </c>
      <c r="I1562" t="s">
        <v>4685</v>
      </c>
      <c r="J1562" t="str">
        <f t="shared" si="7"/>
        <v>normalweight</v>
      </c>
    </row>
    <row r="1563" spans="1:10" ht="15.75" customHeight="1">
      <c r="A1563" t="s">
        <v>1557</v>
      </c>
      <c r="B1563">
        <v>29.26</v>
      </c>
      <c r="C1563">
        <v>4.03</v>
      </c>
      <c r="E1563" t="s">
        <v>4685</v>
      </c>
      <c r="F1563" t="s">
        <v>4685</v>
      </c>
      <c r="G1563" t="s">
        <v>4685</v>
      </c>
      <c r="H1563" s="2">
        <v>1</v>
      </c>
      <c r="I1563" t="s">
        <v>4685</v>
      </c>
      <c r="J1563" t="str">
        <f t="shared" si="7"/>
        <v>normalweight</v>
      </c>
    </row>
    <row r="1564" spans="1:10" ht="15.75" customHeight="1">
      <c r="A1564" t="s">
        <v>1555</v>
      </c>
      <c r="B1564">
        <v>27.835000000000001</v>
      </c>
      <c r="C1564">
        <v>4.5599999999999996</v>
      </c>
      <c r="E1564" t="s">
        <v>4685</v>
      </c>
      <c r="F1564" t="s">
        <v>4685</v>
      </c>
      <c r="G1564" t="s">
        <v>4685</v>
      </c>
      <c r="H1564" s="2">
        <v>1</v>
      </c>
      <c r="I1564" t="s">
        <v>4685</v>
      </c>
      <c r="J1564" t="str">
        <f t="shared" si="7"/>
        <v>normalweight</v>
      </c>
    </row>
    <row r="1565" spans="1:10" ht="15.75" customHeight="1">
      <c r="A1565" t="s">
        <v>1553</v>
      </c>
      <c r="B1565">
        <v>46.53</v>
      </c>
      <c r="C1565">
        <v>5.38</v>
      </c>
      <c r="E1565" t="s">
        <v>4686</v>
      </c>
      <c r="F1565" t="s">
        <v>4685</v>
      </c>
      <c r="G1565" t="s">
        <v>4685</v>
      </c>
      <c r="H1565" s="2">
        <v>0</v>
      </c>
      <c r="I1565" t="s">
        <v>4685</v>
      </c>
      <c r="J1565" t="str">
        <f t="shared" si="7"/>
        <v>normalweight</v>
      </c>
    </row>
    <row r="1566" spans="1:10" ht="15.75" customHeight="1">
      <c r="A1566" t="s">
        <v>1551</v>
      </c>
      <c r="B1566">
        <v>20.58</v>
      </c>
      <c r="C1566">
        <v>11.04</v>
      </c>
      <c r="D1566" s="6" t="s">
        <v>4684</v>
      </c>
      <c r="E1566" t="s">
        <v>4686</v>
      </c>
      <c r="F1566" t="s">
        <v>4685</v>
      </c>
      <c r="G1566" t="s">
        <v>4685</v>
      </c>
      <c r="H1566" s="2">
        <v>1</v>
      </c>
      <c r="I1566" t="s">
        <v>4685</v>
      </c>
      <c r="J1566" t="str">
        <f t="shared" si="7"/>
        <v>normalweight</v>
      </c>
    </row>
    <row r="1567" spans="1:10" ht="15.75" customHeight="1">
      <c r="A1567" t="s">
        <v>1549</v>
      </c>
      <c r="B1567">
        <v>19.53</v>
      </c>
      <c r="C1567">
        <v>6.09</v>
      </c>
      <c r="E1567" t="s">
        <v>4686</v>
      </c>
      <c r="F1567" t="s">
        <v>4685</v>
      </c>
      <c r="G1567" t="s">
        <v>4685</v>
      </c>
      <c r="H1567" s="2">
        <v>0</v>
      </c>
      <c r="I1567" t="s">
        <v>4685</v>
      </c>
      <c r="J1567" t="str">
        <f t="shared" si="7"/>
        <v>normalweight</v>
      </c>
    </row>
    <row r="1568" spans="1:10" ht="15.75" customHeight="1">
      <c r="A1568" t="s">
        <v>1547</v>
      </c>
      <c r="B1568">
        <v>27.7</v>
      </c>
      <c r="C1568">
        <v>4.71</v>
      </c>
      <c r="E1568" t="s">
        <v>4685</v>
      </c>
      <c r="F1568" t="s">
        <v>4685</v>
      </c>
      <c r="G1568" t="s">
        <v>4685</v>
      </c>
      <c r="H1568" s="2">
        <v>1</v>
      </c>
      <c r="I1568" t="s">
        <v>4685</v>
      </c>
      <c r="J1568" t="str">
        <f t="shared" si="7"/>
        <v>normalweight</v>
      </c>
    </row>
    <row r="1569" spans="1:10" ht="15.75" customHeight="1">
      <c r="A1569" t="s">
        <v>1545</v>
      </c>
      <c r="B1569">
        <v>18.920000000000002</v>
      </c>
      <c r="C1569">
        <v>8.18</v>
      </c>
      <c r="D1569" s="6" t="s">
        <v>4684</v>
      </c>
      <c r="E1569" t="s">
        <v>4685</v>
      </c>
      <c r="F1569" t="s">
        <v>4685</v>
      </c>
      <c r="G1569" t="s">
        <v>4685</v>
      </c>
      <c r="H1569" s="2">
        <v>0</v>
      </c>
      <c r="I1569" t="s">
        <v>4685</v>
      </c>
      <c r="J1569" t="str">
        <f t="shared" si="7"/>
        <v>normalweight</v>
      </c>
    </row>
    <row r="1570" spans="1:10" ht="15.75" customHeight="1">
      <c r="A1570" t="s">
        <v>1543</v>
      </c>
      <c r="B1570">
        <v>17.760000000000002</v>
      </c>
      <c r="C1570">
        <v>11.18</v>
      </c>
      <c r="D1570" s="6" t="s">
        <v>4684</v>
      </c>
      <c r="E1570" t="s">
        <v>4686</v>
      </c>
      <c r="F1570" t="s">
        <v>4685</v>
      </c>
      <c r="G1570" t="s">
        <v>4685</v>
      </c>
      <c r="H1570" s="2">
        <v>2</v>
      </c>
      <c r="I1570" t="s">
        <v>4685</v>
      </c>
      <c r="J1570" t="str">
        <f t="shared" si="7"/>
        <v>underweight</v>
      </c>
    </row>
    <row r="1571" spans="1:10" ht="15.75" customHeight="1">
      <c r="A1571" t="s">
        <v>1541</v>
      </c>
      <c r="B1571">
        <v>29.83</v>
      </c>
      <c r="C1571">
        <v>5.03</v>
      </c>
      <c r="E1571" t="s">
        <v>4686</v>
      </c>
      <c r="F1571" t="s">
        <v>4685</v>
      </c>
      <c r="G1571" t="s">
        <v>4685</v>
      </c>
      <c r="H1571" s="2">
        <v>0</v>
      </c>
      <c r="I1571" t="s">
        <v>4685</v>
      </c>
      <c r="J1571" t="str">
        <f t="shared" si="7"/>
        <v>normalweight</v>
      </c>
    </row>
    <row r="1572" spans="1:10" ht="15.75" customHeight="1">
      <c r="A1572" t="s">
        <v>1539</v>
      </c>
      <c r="B1572">
        <v>23.465</v>
      </c>
      <c r="C1572">
        <v>5.56</v>
      </c>
      <c r="E1572" t="s">
        <v>4685</v>
      </c>
      <c r="F1572" t="s">
        <v>4685</v>
      </c>
      <c r="G1572" t="s">
        <v>4685</v>
      </c>
      <c r="H1572" s="2">
        <v>1</v>
      </c>
      <c r="I1572" t="s">
        <v>4685</v>
      </c>
      <c r="J1572" t="str">
        <f t="shared" si="7"/>
        <v>normalweight</v>
      </c>
    </row>
    <row r="1573" spans="1:10" ht="15.75" customHeight="1">
      <c r="A1573" t="s">
        <v>1537</v>
      </c>
      <c r="B1573">
        <v>29.355</v>
      </c>
      <c r="C1573">
        <v>4.33</v>
      </c>
      <c r="E1573" t="s">
        <v>4685</v>
      </c>
      <c r="F1573" t="s">
        <v>4685</v>
      </c>
      <c r="G1573" t="s">
        <v>4685</v>
      </c>
      <c r="H1573" s="2">
        <v>0</v>
      </c>
      <c r="I1573" t="s">
        <v>4685</v>
      </c>
      <c r="J1573" t="str">
        <f t="shared" si="7"/>
        <v>normalweight</v>
      </c>
    </row>
    <row r="1574" spans="1:10" ht="15.75" customHeight="1">
      <c r="A1574" t="s">
        <v>1535</v>
      </c>
      <c r="B1574">
        <v>35.49</v>
      </c>
      <c r="C1574">
        <v>5.21</v>
      </c>
      <c r="E1574" t="s">
        <v>4686</v>
      </c>
      <c r="F1574" t="s">
        <v>4685</v>
      </c>
      <c r="G1574" t="s">
        <v>4688</v>
      </c>
      <c r="H1574" s="2">
        <v>1</v>
      </c>
      <c r="I1574" t="s">
        <v>4685</v>
      </c>
      <c r="J1574" t="str">
        <f t="shared" si="7"/>
        <v>normalweight</v>
      </c>
    </row>
    <row r="1575" spans="1:10" ht="15.75" customHeight="1">
      <c r="A1575" t="s">
        <v>1533</v>
      </c>
      <c r="B1575">
        <v>26.315000000000001</v>
      </c>
      <c r="C1575">
        <v>5.89</v>
      </c>
      <c r="E1575" t="s">
        <v>4685</v>
      </c>
      <c r="F1575" t="s">
        <v>4685</v>
      </c>
      <c r="G1575" t="s">
        <v>4685</v>
      </c>
      <c r="H1575" s="2">
        <v>0</v>
      </c>
      <c r="I1575" t="s">
        <v>4685</v>
      </c>
      <c r="J1575" t="str">
        <f t="shared" si="7"/>
        <v>normalweight</v>
      </c>
    </row>
    <row r="1576" spans="1:10" ht="15.75" customHeight="1">
      <c r="A1576" t="s">
        <v>1531</v>
      </c>
      <c r="B1576">
        <v>19.79</v>
      </c>
      <c r="C1576">
        <v>4.8099999999999996</v>
      </c>
      <c r="E1576" t="s">
        <v>4686</v>
      </c>
      <c r="F1576" t="s">
        <v>4685</v>
      </c>
      <c r="G1576" t="s">
        <v>4685</v>
      </c>
      <c r="H1576" s="2">
        <v>0</v>
      </c>
      <c r="I1576" t="s">
        <v>4685</v>
      </c>
      <c r="J1576" t="str">
        <f t="shared" si="7"/>
        <v>normalweight</v>
      </c>
    </row>
    <row r="1577" spans="1:10" ht="15.75" customHeight="1">
      <c r="A1577" t="s">
        <v>1529</v>
      </c>
      <c r="B1577">
        <v>40.564999999999998</v>
      </c>
      <c r="C1577">
        <v>5.66</v>
      </c>
      <c r="E1577" t="s">
        <v>4685</v>
      </c>
      <c r="F1577" t="s">
        <v>4685</v>
      </c>
      <c r="G1577" t="s">
        <v>4685</v>
      </c>
      <c r="H1577" s="2">
        <v>1</v>
      </c>
      <c r="I1577" t="s">
        <v>4685</v>
      </c>
      <c r="J1577" t="str">
        <f t="shared" si="7"/>
        <v>normalweight</v>
      </c>
    </row>
    <row r="1578" spans="1:10" ht="15.75" customHeight="1">
      <c r="A1578" t="s">
        <v>1527</v>
      </c>
      <c r="B1578">
        <v>18.03</v>
      </c>
      <c r="C1578">
        <v>10.66</v>
      </c>
      <c r="D1578" s="6" t="s">
        <v>4684</v>
      </c>
      <c r="E1578" t="s">
        <v>4686</v>
      </c>
      <c r="F1578" t="s">
        <v>4685</v>
      </c>
      <c r="G1578" t="s">
        <v>4685</v>
      </c>
      <c r="H1578" s="2">
        <v>2</v>
      </c>
      <c r="I1578" t="s">
        <v>4685</v>
      </c>
      <c r="J1578" t="str">
        <f t="shared" si="7"/>
        <v>underweight</v>
      </c>
    </row>
    <row r="1579" spans="1:10" ht="15.75" customHeight="1">
      <c r="A1579" t="s">
        <v>1525</v>
      </c>
      <c r="B1579">
        <v>34.65</v>
      </c>
      <c r="C1579">
        <v>5.98</v>
      </c>
      <c r="E1579" t="s">
        <v>4686</v>
      </c>
      <c r="F1579" t="s">
        <v>4685</v>
      </c>
      <c r="G1579" t="s">
        <v>4685</v>
      </c>
      <c r="H1579" s="2">
        <v>0</v>
      </c>
      <c r="I1579" t="s">
        <v>4685</v>
      </c>
      <c r="J1579" t="str">
        <f t="shared" si="7"/>
        <v>normalweight</v>
      </c>
    </row>
    <row r="1580" spans="1:10" ht="15.75" customHeight="1">
      <c r="A1580" t="s">
        <v>1523</v>
      </c>
      <c r="B1580">
        <v>42.94</v>
      </c>
      <c r="C1580">
        <v>4.34</v>
      </c>
      <c r="E1580" t="s">
        <v>4685</v>
      </c>
      <c r="F1580" t="s">
        <v>4685</v>
      </c>
      <c r="G1580" t="s">
        <v>4685</v>
      </c>
      <c r="H1580" s="2">
        <v>0</v>
      </c>
      <c r="I1580" t="s">
        <v>4685</v>
      </c>
      <c r="J1580" t="str">
        <f t="shared" si="7"/>
        <v>normalweight</v>
      </c>
    </row>
    <row r="1581" spans="1:10" ht="15.75" customHeight="1">
      <c r="A1581" t="s">
        <v>1521</v>
      </c>
      <c r="B1581">
        <v>31.254999999999999</v>
      </c>
      <c r="C1581">
        <v>5.17</v>
      </c>
      <c r="E1581" t="s">
        <v>4685</v>
      </c>
      <c r="F1581" t="s">
        <v>4685</v>
      </c>
      <c r="G1581" t="s">
        <v>4685</v>
      </c>
      <c r="H1581" s="2">
        <v>0</v>
      </c>
      <c r="I1581" t="s">
        <v>4685</v>
      </c>
      <c r="J1581" t="str">
        <f t="shared" si="7"/>
        <v>normalweight</v>
      </c>
    </row>
    <row r="1582" spans="1:10" ht="15.75" customHeight="1">
      <c r="A1582" t="s">
        <v>1519</v>
      </c>
      <c r="B1582">
        <v>45.43</v>
      </c>
      <c r="C1582">
        <v>4.2300000000000004</v>
      </c>
      <c r="E1582" t="s">
        <v>4686</v>
      </c>
      <c r="F1582" t="s">
        <v>4685</v>
      </c>
      <c r="G1582" t="s">
        <v>4688</v>
      </c>
      <c r="H1582" s="2">
        <v>1</v>
      </c>
      <c r="I1582" t="s">
        <v>4685</v>
      </c>
      <c r="J1582" t="str">
        <f t="shared" si="7"/>
        <v>normalweight</v>
      </c>
    </row>
    <row r="1583" spans="1:10" ht="15.75" customHeight="1">
      <c r="A1583" t="s">
        <v>1517</v>
      </c>
      <c r="B1583">
        <v>32.340000000000003</v>
      </c>
      <c r="C1583">
        <v>4.88</v>
      </c>
      <c r="E1583" t="s">
        <v>4686</v>
      </c>
      <c r="F1583" t="s">
        <v>4685</v>
      </c>
      <c r="G1583" t="s">
        <v>4688</v>
      </c>
      <c r="H1583" s="2">
        <v>1</v>
      </c>
      <c r="I1583" t="s">
        <v>4685</v>
      </c>
      <c r="J1583" t="str">
        <f t="shared" si="7"/>
        <v>normalweight</v>
      </c>
    </row>
    <row r="1584" spans="1:10" ht="15.75" customHeight="1">
      <c r="A1584" t="s">
        <v>1515</v>
      </c>
      <c r="B1584">
        <v>25.46</v>
      </c>
      <c r="C1584">
        <v>9.7100000000000009</v>
      </c>
      <c r="D1584" s="6" t="s">
        <v>4684</v>
      </c>
      <c r="E1584" t="s">
        <v>4686</v>
      </c>
      <c r="F1584" t="s">
        <v>4685</v>
      </c>
      <c r="G1584" t="s">
        <v>4685</v>
      </c>
      <c r="H1584" s="2">
        <v>1</v>
      </c>
      <c r="I1584" t="s">
        <v>4685</v>
      </c>
      <c r="J1584" t="str">
        <f t="shared" si="7"/>
        <v>normalweight</v>
      </c>
    </row>
    <row r="1585" spans="1:10" ht="15.75" customHeight="1">
      <c r="A1585" t="s">
        <v>1513</v>
      </c>
      <c r="B1585">
        <v>37.145000000000003</v>
      </c>
      <c r="C1585">
        <v>5.32</v>
      </c>
      <c r="E1585" t="s">
        <v>4685</v>
      </c>
      <c r="F1585" t="s">
        <v>4685</v>
      </c>
      <c r="G1585" t="s">
        <v>4685</v>
      </c>
      <c r="H1585" s="2">
        <v>0</v>
      </c>
      <c r="I1585" t="s">
        <v>4685</v>
      </c>
      <c r="J1585" t="str">
        <f t="shared" si="7"/>
        <v>normalweight</v>
      </c>
    </row>
    <row r="1586" spans="1:10" ht="15.75" customHeight="1">
      <c r="A1586" t="s">
        <v>1511</v>
      </c>
      <c r="B1586">
        <v>30.8</v>
      </c>
      <c r="C1586">
        <v>5.83</v>
      </c>
      <c r="E1586" t="s">
        <v>4686</v>
      </c>
      <c r="F1586" t="s">
        <v>4685</v>
      </c>
      <c r="G1586" t="s">
        <v>4685</v>
      </c>
      <c r="H1586" s="2">
        <v>0</v>
      </c>
      <c r="I1586" t="s">
        <v>4685</v>
      </c>
      <c r="J1586" t="str">
        <f t="shared" si="7"/>
        <v>normalweight</v>
      </c>
    </row>
    <row r="1587" spans="1:10" ht="15.75" customHeight="1">
      <c r="A1587" t="s">
        <v>1509</v>
      </c>
      <c r="B1587">
        <v>29.5</v>
      </c>
      <c r="C1587">
        <v>5.54</v>
      </c>
      <c r="E1587" t="s">
        <v>4686</v>
      </c>
      <c r="F1587" t="s">
        <v>4685</v>
      </c>
      <c r="G1587" t="s">
        <v>4685</v>
      </c>
      <c r="H1587" s="2">
        <v>0</v>
      </c>
      <c r="I1587" t="s">
        <v>4685</v>
      </c>
      <c r="J1587" t="str">
        <f t="shared" si="7"/>
        <v>normalweight</v>
      </c>
    </row>
    <row r="1588" spans="1:10" ht="15.75" customHeight="1">
      <c r="A1588" t="s">
        <v>1507</v>
      </c>
      <c r="B1588">
        <v>43.39</v>
      </c>
      <c r="C1588">
        <v>5.85</v>
      </c>
      <c r="E1588" t="s">
        <v>4685</v>
      </c>
      <c r="F1588" t="s">
        <v>4686</v>
      </c>
      <c r="G1588" t="s">
        <v>4685</v>
      </c>
      <c r="H1588" s="2">
        <v>1</v>
      </c>
      <c r="I1588" t="s">
        <v>4685</v>
      </c>
      <c r="J1588" t="str">
        <f t="shared" si="7"/>
        <v>normalweight</v>
      </c>
    </row>
    <row r="1589" spans="1:10" ht="15.75" customHeight="1">
      <c r="A1589" t="s">
        <v>1505</v>
      </c>
      <c r="B1589">
        <v>15.08</v>
      </c>
      <c r="C1589">
        <v>4.8499999999999996</v>
      </c>
      <c r="E1589" t="s">
        <v>4686</v>
      </c>
      <c r="F1589" t="s">
        <v>4685</v>
      </c>
      <c r="G1589" t="s">
        <v>4688</v>
      </c>
      <c r="H1589" s="2">
        <v>1</v>
      </c>
      <c r="I1589" t="s">
        <v>4685</v>
      </c>
      <c r="J1589" t="str">
        <f t="shared" si="7"/>
        <v>underweight</v>
      </c>
    </row>
    <row r="1590" spans="1:10" ht="15.75" customHeight="1">
      <c r="A1590" t="s">
        <v>1503</v>
      </c>
      <c r="B1590">
        <v>20.48</v>
      </c>
      <c r="C1590">
        <v>11.09</v>
      </c>
      <c r="D1590" s="6" t="s">
        <v>4684</v>
      </c>
      <c r="E1590" t="s">
        <v>4685</v>
      </c>
      <c r="F1590" t="s">
        <v>4685</v>
      </c>
      <c r="G1590" t="s">
        <v>4685</v>
      </c>
      <c r="H1590" s="2">
        <v>0</v>
      </c>
      <c r="I1590" t="s">
        <v>4685</v>
      </c>
      <c r="J1590" t="str">
        <f t="shared" si="7"/>
        <v>normalweight</v>
      </c>
    </row>
    <row r="1591" spans="1:10" ht="15.75" customHeight="1">
      <c r="A1591" t="s">
        <v>1501</v>
      </c>
      <c r="B1591">
        <v>34.450000000000003</v>
      </c>
      <c r="C1591">
        <v>5.58</v>
      </c>
      <c r="E1591" t="s">
        <v>4686</v>
      </c>
      <c r="F1591" t="s">
        <v>4685</v>
      </c>
      <c r="G1591" t="s">
        <v>4685</v>
      </c>
      <c r="H1591" s="2">
        <v>0</v>
      </c>
      <c r="I1591" t="s">
        <v>4685</v>
      </c>
      <c r="J1591" t="str">
        <f t="shared" si="7"/>
        <v>normalweight</v>
      </c>
    </row>
    <row r="1592" spans="1:10" ht="15.75" customHeight="1">
      <c r="A1592" t="s">
        <v>1499</v>
      </c>
      <c r="B1592">
        <v>34.21</v>
      </c>
      <c r="C1592">
        <v>9.7200000000000006</v>
      </c>
      <c r="D1592" s="6" t="s">
        <v>4684</v>
      </c>
      <c r="E1592" t="s">
        <v>4686</v>
      </c>
      <c r="F1592" t="s">
        <v>4685</v>
      </c>
      <c r="G1592" t="s">
        <v>4685</v>
      </c>
      <c r="H1592" s="2">
        <v>0</v>
      </c>
      <c r="I1592" t="s">
        <v>4685</v>
      </c>
      <c r="J1592" t="str">
        <f t="shared" si="7"/>
        <v>normalweight</v>
      </c>
    </row>
    <row r="1593" spans="1:10" ht="15.75" customHeight="1">
      <c r="A1593" t="s">
        <v>1497</v>
      </c>
      <c r="B1593">
        <v>28.8</v>
      </c>
      <c r="C1593">
        <v>11.41</v>
      </c>
      <c r="D1593" s="6" t="s">
        <v>4684</v>
      </c>
      <c r="E1593" t="s">
        <v>4686</v>
      </c>
      <c r="F1593" t="s">
        <v>4685</v>
      </c>
      <c r="G1593" t="s">
        <v>4685</v>
      </c>
      <c r="H1593" s="2">
        <v>0</v>
      </c>
      <c r="I1593" t="s">
        <v>4685</v>
      </c>
      <c r="J1593" t="str">
        <f t="shared" si="7"/>
        <v>normalweight</v>
      </c>
    </row>
    <row r="1594" spans="1:10" ht="15.75" customHeight="1">
      <c r="A1594" t="s">
        <v>1495</v>
      </c>
      <c r="B1594">
        <v>31.74</v>
      </c>
      <c r="C1594">
        <v>4.46</v>
      </c>
      <c r="E1594" t="s">
        <v>4685</v>
      </c>
      <c r="F1594" t="s">
        <v>4685</v>
      </c>
      <c r="G1594" t="s">
        <v>4688</v>
      </c>
      <c r="H1594" s="2">
        <v>1</v>
      </c>
      <c r="I1594" t="s">
        <v>4685</v>
      </c>
      <c r="J1594" t="str">
        <f t="shared" si="7"/>
        <v>normalweight</v>
      </c>
    </row>
    <row r="1595" spans="1:10" ht="15.75" customHeight="1">
      <c r="A1595" t="s">
        <v>1493</v>
      </c>
      <c r="B1595">
        <v>21.78</v>
      </c>
      <c r="C1595">
        <v>9.31</v>
      </c>
      <c r="D1595" s="6" t="s">
        <v>4684</v>
      </c>
      <c r="E1595" t="s">
        <v>4686</v>
      </c>
      <c r="F1595" t="s">
        <v>4685</v>
      </c>
      <c r="G1595" t="s">
        <v>4685</v>
      </c>
      <c r="H1595" s="2">
        <v>0</v>
      </c>
      <c r="I1595" t="s">
        <v>4685</v>
      </c>
      <c r="J1595" t="str">
        <f t="shared" si="7"/>
        <v>normalweight</v>
      </c>
    </row>
    <row r="1596" spans="1:10" ht="15.75" customHeight="1">
      <c r="A1596" t="s">
        <v>1491</v>
      </c>
      <c r="B1596">
        <v>23.75</v>
      </c>
      <c r="C1596">
        <v>5.03</v>
      </c>
      <c r="E1596" t="s">
        <v>4685</v>
      </c>
      <c r="F1596" t="s">
        <v>4685</v>
      </c>
      <c r="G1596" t="s">
        <v>4685</v>
      </c>
      <c r="H1596" s="2">
        <v>1</v>
      </c>
      <c r="I1596" t="s">
        <v>4685</v>
      </c>
      <c r="J1596" t="str">
        <f t="shared" si="7"/>
        <v>normalweight</v>
      </c>
    </row>
    <row r="1597" spans="1:10" ht="15.75" customHeight="1">
      <c r="A1597" t="s">
        <v>1489</v>
      </c>
      <c r="B1597">
        <v>33.21</v>
      </c>
      <c r="C1597">
        <v>5.07</v>
      </c>
      <c r="E1597" t="s">
        <v>4686</v>
      </c>
      <c r="F1597" t="s">
        <v>4685</v>
      </c>
      <c r="G1597" t="s">
        <v>4685</v>
      </c>
      <c r="H1597" s="2">
        <v>1</v>
      </c>
      <c r="I1597" t="s">
        <v>4685</v>
      </c>
      <c r="J1597" t="str">
        <f t="shared" si="7"/>
        <v>normalweight</v>
      </c>
    </row>
    <row r="1598" spans="1:10" ht="15.75" customHeight="1">
      <c r="A1598" t="s">
        <v>1487</v>
      </c>
      <c r="B1598">
        <v>17.7</v>
      </c>
      <c r="C1598">
        <v>10.42</v>
      </c>
      <c r="D1598" s="6" t="s">
        <v>4684</v>
      </c>
      <c r="E1598" t="s">
        <v>4686</v>
      </c>
      <c r="F1598" t="s">
        <v>4685</v>
      </c>
      <c r="G1598" t="s">
        <v>4685</v>
      </c>
      <c r="H1598" s="2">
        <v>2</v>
      </c>
      <c r="I1598" t="s">
        <v>4685</v>
      </c>
      <c r="J1598" t="str">
        <f t="shared" si="7"/>
        <v>underweight</v>
      </c>
    </row>
    <row r="1599" spans="1:10" ht="15.75" customHeight="1">
      <c r="A1599" t="s">
        <v>1485</v>
      </c>
      <c r="B1599">
        <v>17.2</v>
      </c>
      <c r="C1599">
        <v>6.45</v>
      </c>
      <c r="E1599" t="s">
        <v>4685</v>
      </c>
      <c r="F1599" t="s">
        <v>4685</v>
      </c>
      <c r="G1599" t="s">
        <v>4685</v>
      </c>
      <c r="H1599" s="2">
        <v>2</v>
      </c>
      <c r="I1599" t="s">
        <v>4685</v>
      </c>
      <c r="J1599" t="str">
        <f t="shared" si="7"/>
        <v>underweight</v>
      </c>
    </row>
    <row r="1600" spans="1:10" ht="15.75" customHeight="1">
      <c r="A1600" t="s">
        <v>1483</v>
      </c>
      <c r="B1600">
        <v>19.21</v>
      </c>
      <c r="C1600">
        <v>5.52</v>
      </c>
      <c r="E1600" t="s">
        <v>4685</v>
      </c>
      <c r="F1600" t="s">
        <v>4685</v>
      </c>
      <c r="G1600" t="s">
        <v>4685</v>
      </c>
      <c r="H1600" s="2">
        <v>2</v>
      </c>
      <c r="I1600" t="s">
        <v>4685</v>
      </c>
      <c r="J1600" t="str">
        <f t="shared" si="7"/>
        <v>normalweight</v>
      </c>
    </row>
    <row r="1601" spans="1:10" ht="15.75" customHeight="1">
      <c r="A1601" t="s">
        <v>1481</v>
      </c>
      <c r="B1601">
        <v>23.2</v>
      </c>
      <c r="C1601">
        <v>4.41</v>
      </c>
      <c r="E1601" t="s">
        <v>4685</v>
      </c>
      <c r="F1601" t="s">
        <v>4685</v>
      </c>
      <c r="G1601" t="s">
        <v>4688</v>
      </c>
      <c r="H1601" s="2">
        <v>1</v>
      </c>
      <c r="I1601" t="s">
        <v>4685</v>
      </c>
      <c r="J1601" t="str">
        <f t="shared" si="7"/>
        <v>normalweight</v>
      </c>
    </row>
    <row r="1602" spans="1:10" ht="15.75" customHeight="1">
      <c r="A1602" t="s">
        <v>1479</v>
      </c>
      <c r="B1602">
        <v>32.5</v>
      </c>
      <c r="C1602">
        <v>4.6900000000000004</v>
      </c>
      <c r="E1602" t="s">
        <v>4686</v>
      </c>
      <c r="F1602" t="s">
        <v>4685</v>
      </c>
      <c r="G1602" t="s">
        <v>4688</v>
      </c>
      <c r="H1602" s="2">
        <v>1</v>
      </c>
      <c r="I1602" t="s">
        <v>4685</v>
      </c>
      <c r="J1602" t="str">
        <f t="shared" si="7"/>
        <v>normalweight</v>
      </c>
    </row>
    <row r="1603" spans="1:10" ht="15.75" customHeight="1">
      <c r="A1603" t="s">
        <v>1477</v>
      </c>
      <c r="B1603">
        <v>20.9</v>
      </c>
      <c r="C1603">
        <v>6.94</v>
      </c>
      <c r="D1603" s="6" t="s">
        <v>4684</v>
      </c>
      <c r="E1603" t="s">
        <v>4685</v>
      </c>
      <c r="F1603" t="s">
        <v>4685</v>
      </c>
      <c r="G1603" t="s">
        <v>4685</v>
      </c>
      <c r="H1603" s="2">
        <v>0</v>
      </c>
      <c r="I1603" t="s">
        <v>4685</v>
      </c>
      <c r="J1603" t="str">
        <f t="shared" si="7"/>
        <v>normalweight</v>
      </c>
    </row>
    <row r="1604" spans="1:10" ht="15.75" customHeight="1">
      <c r="A1604" t="s">
        <v>1475</v>
      </c>
      <c r="B1604">
        <v>19.11</v>
      </c>
      <c r="C1604">
        <v>4.3499999999999996</v>
      </c>
      <c r="E1604" t="s">
        <v>4685</v>
      </c>
      <c r="F1604" t="s">
        <v>4685</v>
      </c>
      <c r="G1604" t="s">
        <v>4685</v>
      </c>
      <c r="H1604" s="2">
        <v>2</v>
      </c>
      <c r="I1604" t="s">
        <v>4685</v>
      </c>
      <c r="J1604" t="str">
        <f t="shared" si="7"/>
        <v>normalweight</v>
      </c>
    </row>
    <row r="1605" spans="1:10" ht="15.75" customHeight="1">
      <c r="A1605" t="s">
        <v>1473</v>
      </c>
      <c r="B1605">
        <v>31.17</v>
      </c>
      <c r="C1605">
        <v>5.28</v>
      </c>
      <c r="E1605" t="s">
        <v>4685</v>
      </c>
      <c r="F1605" t="s">
        <v>4685</v>
      </c>
      <c r="G1605" t="s">
        <v>4685</v>
      </c>
      <c r="H1605" s="2">
        <v>1</v>
      </c>
      <c r="I1605" t="s">
        <v>4685</v>
      </c>
      <c r="J1605" t="str">
        <f t="shared" si="7"/>
        <v>normalweight</v>
      </c>
    </row>
    <row r="1606" spans="1:10" ht="15.75" customHeight="1">
      <c r="A1606" t="s">
        <v>1471</v>
      </c>
      <c r="B1606">
        <v>36.08</v>
      </c>
      <c r="C1606">
        <v>4.29</v>
      </c>
      <c r="E1606" t="s">
        <v>4685</v>
      </c>
      <c r="F1606" t="s">
        <v>4685</v>
      </c>
      <c r="G1606" t="s">
        <v>4685</v>
      </c>
      <c r="H1606" s="2">
        <v>0</v>
      </c>
      <c r="I1606" t="s">
        <v>4685</v>
      </c>
      <c r="J1606" t="str">
        <f t="shared" si="7"/>
        <v>normalweight</v>
      </c>
    </row>
    <row r="1607" spans="1:10" ht="15.75" customHeight="1">
      <c r="A1607" t="s">
        <v>1469</v>
      </c>
      <c r="B1607">
        <v>28.024999999999999</v>
      </c>
      <c r="C1607">
        <v>5.69</v>
      </c>
      <c r="E1607" t="s">
        <v>4686</v>
      </c>
      <c r="F1607" t="s">
        <v>4685</v>
      </c>
      <c r="G1607" t="s">
        <v>4685</v>
      </c>
      <c r="H1607" s="2">
        <v>0</v>
      </c>
      <c r="I1607" t="s">
        <v>4685</v>
      </c>
      <c r="J1607" t="str">
        <f t="shared" si="7"/>
        <v>normalweight</v>
      </c>
    </row>
    <row r="1608" spans="1:10" ht="15.75" customHeight="1">
      <c r="A1608" t="s">
        <v>1467</v>
      </c>
      <c r="B1608">
        <v>24.32</v>
      </c>
      <c r="C1608">
        <v>5.56</v>
      </c>
      <c r="E1608" t="s">
        <v>4686</v>
      </c>
      <c r="F1608" t="s">
        <v>4685</v>
      </c>
      <c r="G1608" t="s">
        <v>4685</v>
      </c>
      <c r="H1608" s="2">
        <v>0</v>
      </c>
      <c r="I1608" t="s">
        <v>4685</v>
      </c>
      <c r="J1608" t="str">
        <f t="shared" si="7"/>
        <v>normalweight</v>
      </c>
    </row>
    <row r="1609" spans="1:10" ht="15.75" customHeight="1">
      <c r="A1609" t="s">
        <v>1465</v>
      </c>
      <c r="B1609">
        <v>38</v>
      </c>
      <c r="C1609">
        <v>5.41</v>
      </c>
      <c r="E1609" t="s">
        <v>4686</v>
      </c>
      <c r="F1609" t="s">
        <v>4685</v>
      </c>
      <c r="G1609" t="s">
        <v>4685</v>
      </c>
      <c r="H1609" s="2">
        <v>1</v>
      </c>
      <c r="I1609" t="s">
        <v>4685</v>
      </c>
      <c r="J1609" t="str">
        <f t="shared" si="7"/>
        <v>normalweight</v>
      </c>
    </row>
    <row r="1610" spans="1:10" ht="15.75" customHeight="1">
      <c r="A1610" t="s">
        <v>1463</v>
      </c>
      <c r="B1610">
        <v>31.6</v>
      </c>
      <c r="C1610">
        <v>10.85</v>
      </c>
      <c r="D1610" s="6" t="s">
        <v>4684</v>
      </c>
      <c r="E1610" t="s">
        <v>4686</v>
      </c>
      <c r="F1610" t="s">
        <v>4685</v>
      </c>
      <c r="G1610" t="s">
        <v>4685</v>
      </c>
      <c r="H1610" s="2">
        <v>0</v>
      </c>
      <c r="I1610" t="s">
        <v>4685</v>
      </c>
      <c r="J1610" t="str">
        <f t="shared" si="7"/>
        <v>normalweight</v>
      </c>
    </row>
    <row r="1611" spans="1:10" ht="15.75" customHeight="1">
      <c r="A1611" t="s">
        <v>1461</v>
      </c>
      <c r="B1611">
        <v>31.02</v>
      </c>
      <c r="C1611">
        <v>11.63</v>
      </c>
      <c r="D1611" s="6" t="s">
        <v>4684</v>
      </c>
      <c r="E1611" t="s">
        <v>4686</v>
      </c>
      <c r="F1611" t="s">
        <v>4685</v>
      </c>
      <c r="G1611" t="s">
        <v>4685</v>
      </c>
      <c r="H1611" s="2">
        <v>0</v>
      </c>
      <c r="I1611" t="s">
        <v>4685</v>
      </c>
      <c r="J1611" t="str">
        <f t="shared" si="7"/>
        <v>normalweight</v>
      </c>
    </row>
    <row r="1612" spans="1:10" ht="15.75" customHeight="1">
      <c r="A1612" t="s">
        <v>1459</v>
      </c>
      <c r="B1612">
        <v>29.26</v>
      </c>
      <c r="C1612">
        <v>5.68</v>
      </c>
      <c r="E1612" t="s">
        <v>4686</v>
      </c>
      <c r="F1612" t="s">
        <v>4685</v>
      </c>
      <c r="G1612" t="s">
        <v>4685</v>
      </c>
      <c r="H1612" s="2">
        <v>1</v>
      </c>
      <c r="I1612" t="s">
        <v>4685</v>
      </c>
      <c r="J1612" t="str">
        <f t="shared" si="7"/>
        <v>normalweight</v>
      </c>
    </row>
    <row r="1613" spans="1:10" ht="15.75" customHeight="1">
      <c r="A1613" t="s">
        <v>1457</v>
      </c>
      <c r="B1613">
        <v>15.09</v>
      </c>
      <c r="C1613">
        <v>7.59</v>
      </c>
      <c r="E1613" t="s">
        <v>4686</v>
      </c>
      <c r="F1613" t="s">
        <v>4685</v>
      </c>
      <c r="G1613" t="s">
        <v>4685</v>
      </c>
      <c r="H1613" s="2">
        <v>2</v>
      </c>
      <c r="I1613" t="s">
        <v>4685</v>
      </c>
      <c r="J1613" t="str">
        <f t="shared" si="7"/>
        <v>underweight</v>
      </c>
    </row>
    <row r="1614" spans="1:10" ht="15.75" customHeight="1">
      <c r="A1614" t="s">
        <v>1455</v>
      </c>
      <c r="B1614">
        <v>22.63</v>
      </c>
      <c r="C1614">
        <v>5.09</v>
      </c>
      <c r="E1614" t="s">
        <v>4686</v>
      </c>
      <c r="F1614" t="s">
        <v>4685</v>
      </c>
      <c r="G1614" t="s">
        <v>4685</v>
      </c>
      <c r="H1614" s="2">
        <v>0</v>
      </c>
      <c r="I1614" t="s">
        <v>4685</v>
      </c>
      <c r="J1614" t="str">
        <f t="shared" si="7"/>
        <v>normalweight</v>
      </c>
    </row>
    <row r="1615" spans="1:10" ht="15.75" customHeight="1">
      <c r="A1615" t="s">
        <v>1453</v>
      </c>
      <c r="B1615">
        <v>23.46</v>
      </c>
      <c r="C1615">
        <v>4.21</v>
      </c>
      <c r="E1615" t="s">
        <v>4685</v>
      </c>
      <c r="F1615" t="s">
        <v>4685</v>
      </c>
      <c r="G1615" t="s">
        <v>4685</v>
      </c>
      <c r="H1615" s="2">
        <v>1</v>
      </c>
      <c r="I1615" t="s">
        <v>4685</v>
      </c>
      <c r="J1615" t="str">
        <f t="shared" si="7"/>
        <v>normalweight</v>
      </c>
    </row>
    <row r="1616" spans="1:10" ht="15.75" customHeight="1">
      <c r="A1616" t="s">
        <v>1451</v>
      </c>
      <c r="B1616">
        <v>22.56</v>
      </c>
      <c r="C1616">
        <v>4.34</v>
      </c>
      <c r="E1616" t="s">
        <v>4686</v>
      </c>
      <c r="F1616" t="s">
        <v>4685</v>
      </c>
      <c r="G1616" t="s">
        <v>4685</v>
      </c>
      <c r="H1616" s="2">
        <v>0</v>
      </c>
      <c r="I1616" t="s">
        <v>4685</v>
      </c>
      <c r="J1616" t="str">
        <f t="shared" si="7"/>
        <v>normalweight</v>
      </c>
    </row>
    <row r="1617" spans="1:10" ht="15.75" customHeight="1">
      <c r="A1617" t="s">
        <v>1449</v>
      </c>
      <c r="B1617">
        <v>19.28</v>
      </c>
      <c r="C1617">
        <v>11.85</v>
      </c>
      <c r="D1617" s="6" t="s">
        <v>4684</v>
      </c>
      <c r="E1617" t="s">
        <v>4685</v>
      </c>
      <c r="F1617" t="s">
        <v>4685</v>
      </c>
      <c r="G1617" t="s">
        <v>4685</v>
      </c>
      <c r="H1617" s="2">
        <v>2</v>
      </c>
      <c r="I1617" t="s">
        <v>4685</v>
      </c>
      <c r="J1617" t="str">
        <f t="shared" si="7"/>
        <v>normalweight</v>
      </c>
    </row>
    <row r="1618" spans="1:10" ht="15.75" customHeight="1">
      <c r="A1618" t="s">
        <v>1447</v>
      </c>
      <c r="B1618">
        <v>15.37</v>
      </c>
      <c r="C1618">
        <v>9.61</v>
      </c>
      <c r="D1618" s="6" t="s">
        <v>4684</v>
      </c>
      <c r="E1618" t="s">
        <v>4686</v>
      </c>
      <c r="F1618" t="s">
        <v>4685</v>
      </c>
      <c r="G1618" t="s">
        <v>4685</v>
      </c>
      <c r="H1618" s="2">
        <v>2</v>
      </c>
      <c r="I1618" t="s">
        <v>4685</v>
      </c>
      <c r="J1618" t="str">
        <f t="shared" si="7"/>
        <v>underweight</v>
      </c>
    </row>
    <row r="1619" spans="1:10" ht="15.75" customHeight="1">
      <c r="A1619" t="s">
        <v>1445</v>
      </c>
      <c r="B1619">
        <v>18.71</v>
      </c>
      <c r="C1619">
        <v>5.29</v>
      </c>
      <c r="E1619" t="s">
        <v>4686</v>
      </c>
      <c r="F1619" t="s">
        <v>4685</v>
      </c>
      <c r="G1619" t="s">
        <v>4685</v>
      </c>
      <c r="H1619" s="2">
        <v>0</v>
      </c>
      <c r="I1619" t="s">
        <v>4685</v>
      </c>
      <c r="J1619" t="str">
        <f t="shared" si="7"/>
        <v>normalweight</v>
      </c>
    </row>
    <row r="1620" spans="1:10" ht="15.75" customHeight="1">
      <c r="A1620" t="s">
        <v>1443</v>
      </c>
      <c r="B1620">
        <v>20.61</v>
      </c>
      <c r="C1620">
        <v>6.89</v>
      </c>
      <c r="D1620" s="6" t="s">
        <v>4684</v>
      </c>
      <c r="E1620" t="s">
        <v>4685</v>
      </c>
      <c r="F1620" t="s">
        <v>4685</v>
      </c>
      <c r="G1620" t="s">
        <v>4685</v>
      </c>
      <c r="H1620" s="2">
        <v>0</v>
      </c>
      <c r="I1620" t="s">
        <v>4685</v>
      </c>
      <c r="J1620" t="str">
        <f t="shared" si="7"/>
        <v>normalweight</v>
      </c>
    </row>
    <row r="1621" spans="1:10" ht="15.75" customHeight="1">
      <c r="A1621" t="s">
        <v>1441</v>
      </c>
      <c r="B1621">
        <v>15.99</v>
      </c>
      <c r="C1621">
        <v>4.57</v>
      </c>
      <c r="E1621" t="s">
        <v>4686</v>
      </c>
      <c r="F1621" t="s">
        <v>4685</v>
      </c>
      <c r="G1621" t="s">
        <v>4688</v>
      </c>
      <c r="H1621" s="2">
        <v>1</v>
      </c>
      <c r="I1621" t="s">
        <v>4685</v>
      </c>
      <c r="J1621" t="str">
        <f t="shared" si="7"/>
        <v>underweight</v>
      </c>
    </row>
    <row r="1622" spans="1:10" ht="15.75" customHeight="1">
      <c r="A1622" t="s">
        <v>1439</v>
      </c>
      <c r="B1622">
        <v>33.155000000000001</v>
      </c>
      <c r="C1622">
        <v>4.32</v>
      </c>
      <c r="E1622" t="s">
        <v>4685</v>
      </c>
      <c r="F1622" t="s">
        <v>4685</v>
      </c>
      <c r="G1622" t="s">
        <v>4685</v>
      </c>
      <c r="H1622" s="2">
        <v>0</v>
      </c>
      <c r="I1622" t="s">
        <v>4685</v>
      </c>
      <c r="J1622" t="str">
        <f t="shared" si="7"/>
        <v>normalweight</v>
      </c>
    </row>
    <row r="1623" spans="1:10" ht="15.75" customHeight="1">
      <c r="A1623" t="s">
        <v>1437</v>
      </c>
      <c r="B1623">
        <v>26.22</v>
      </c>
      <c r="C1623">
        <v>5.57</v>
      </c>
      <c r="E1623" t="s">
        <v>4686</v>
      </c>
      <c r="F1623" t="s">
        <v>4685</v>
      </c>
      <c r="G1623" t="s">
        <v>4688</v>
      </c>
      <c r="H1623" s="2">
        <v>1</v>
      </c>
      <c r="I1623" t="s">
        <v>4685</v>
      </c>
      <c r="J1623" t="str">
        <f t="shared" si="7"/>
        <v>normalweight</v>
      </c>
    </row>
    <row r="1624" spans="1:10" ht="15.75" customHeight="1">
      <c r="A1624" t="s">
        <v>1435</v>
      </c>
      <c r="B1624">
        <v>21.85</v>
      </c>
      <c r="C1624">
        <v>5.26</v>
      </c>
      <c r="E1624" t="s">
        <v>4686</v>
      </c>
      <c r="F1624" t="s">
        <v>4685</v>
      </c>
      <c r="G1624" t="s">
        <v>4688</v>
      </c>
      <c r="H1624" s="2">
        <v>1</v>
      </c>
      <c r="I1624" t="s">
        <v>4685</v>
      </c>
      <c r="J1624" t="str">
        <f t="shared" si="7"/>
        <v>normalweight</v>
      </c>
    </row>
    <row r="1625" spans="1:10" ht="15.75" customHeight="1">
      <c r="A1625" t="s">
        <v>1433</v>
      </c>
      <c r="B1625">
        <v>30.495000000000001</v>
      </c>
      <c r="C1625">
        <v>6.25</v>
      </c>
      <c r="E1625" t="s">
        <v>4685</v>
      </c>
      <c r="F1625" t="s">
        <v>4685</v>
      </c>
      <c r="G1625" t="s">
        <v>4685</v>
      </c>
      <c r="H1625" s="2">
        <v>0</v>
      </c>
      <c r="I1625" t="s">
        <v>4685</v>
      </c>
      <c r="J1625" t="str">
        <f t="shared" si="7"/>
        <v>normalweight</v>
      </c>
    </row>
    <row r="1626" spans="1:10" ht="15.75" customHeight="1">
      <c r="A1626" t="s">
        <v>1431</v>
      </c>
      <c r="B1626">
        <v>34.104999999999997</v>
      </c>
      <c r="C1626">
        <v>5.67</v>
      </c>
      <c r="E1626" t="s">
        <v>4686</v>
      </c>
      <c r="F1626" t="s">
        <v>4685</v>
      </c>
      <c r="G1626" t="s">
        <v>4685</v>
      </c>
      <c r="H1626" s="2">
        <v>0</v>
      </c>
      <c r="I1626" t="s">
        <v>4685</v>
      </c>
      <c r="J1626" t="str">
        <f t="shared" si="7"/>
        <v>normalweight</v>
      </c>
    </row>
    <row r="1627" spans="1:10" ht="15.75" customHeight="1">
      <c r="A1627" t="s">
        <v>1429</v>
      </c>
      <c r="B1627">
        <v>32.770000000000003</v>
      </c>
      <c r="C1627">
        <v>4.42</v>
      </c>
      <c r="E1627" t="s">
        <v>4686</v>
      </c>
      <c r="F1627" t="s">
        <v>4685</v>
      </c>
      <c r="G1627" t="s">
        <v>4685</v>
      </c>
      <c r="H1627" s="2">
        <v>1</v>
      </c>
      <c r="I1627" t="s">
        <v>4685</v>
      </c>
      <c r="J1627" t="str">
        <f t="shared" si="7"/>
        <v>normalweight</v>
      </c>
    </row>
    <row r="1628" spans="1:10" ht="15.75" customHeight="1">
      <c r="A1628" t="s">
        <v>1427</v>
      </c>
      <c r="B1628">
        <v>16.850000000000001</v>
      </c>
      <c r="C1628">
        <v>11.75</v>
      </c>
      <c r="D1628" s="6" t="s">
        <v>4684</v>
      </c>
      <c r="E1628" t="s">
        <v>4686</v>
      </c>
      <c r="F1628" t="s">
        <v>4685</v>
      </c>
      <c r="G1628" t="s">
        <v>4685</v>
      </c>
      <c r="H1628" s="2">
        <v>2</v>
      </c>
      <c r="I1628" t="s">
        <v>4685</v>
      </c>
      <c r="J1628" t="str">
        <f t="shared" si="7"/>
        <v>underweight</v>
      </c>
    </row>
    <row r="1629" spans="1:10" ht="15.75" customHeight="1">
      <c r="A1629" t="s">
        <v>1425</v>
      </c>
      <c r="B1629">
        <v>34.700000000000003</v>
      </c>
      <c r="C1629">
        <v>6.06</v>
      </c>
      <c r="E1629" t="s">
        <v>4685</v>
      </c>
      <c r="F1629" t="s">
        <v>4685</v>
      </c>
      <c r="G1629" t="s">
        <v>4685</v>
      </c>
      <c r="H1629" s="2">
        <v>1</v>
      </c>
      <c r="I1629" t="s">
        <v>4685</v>
      </c>
      <c r="J1629" t="str">
        <f t="shared" si="7"/>
        <v>normalweight</v>
      </c>
    </row>
    <row r="1630" spans="1:10" ht="15.75" customHeight="1">
      <c r="A1630" t="s">
        <v>1423</v>
      </c>
      <c r="B1630">
        <v>37.049999999999997</v>
      </c>
      <c r="C1630">
        <v>5.48</v>
      </c>
      <c r="E1630" t="s">
        <v>4685</v>
      </c>
      <c r="F1630" t="s">
        <v>4685</v>
      </c>
      <c r="G1630" t="s">
        <v>4685</v>
      </c>
      <c r="H1630" s="2">
        <v>1</v>
      </c>
      <c r="I1630" t="s">
        <v>4685</v>
      </c>
      <c r="J1630" t="str">
        <f t="shared" si="7"/>
        <v>normalweight</v>
      </c>
    </row>
    <row r="1631" spans="1:10" ht="15.75" customHeight="1">
      <c r="A1631" t="s">
        <v>1421</v>
      </c>
      <c r="B1631">
        <v>18.78</v>
      </c>
      <c r="C1631">
        <v>4.45</v>
      </c>
      <c r="E1631" t="s">
        <v>4685</v>
      </c>
      <c r="F1631" t="s">
        <v>4685</v>
      </c>
      <c r="G1631" t="s">
        <v>4688</v>
      </c>
      <c r="H1631" s="2">
        <v>1</v>
      </c>
      <c r="I1631" t="s">
        <v>4685</v>
      </c>
      <c r="J1631" t="str">
        <f t="shared" si="7"/>
        <v>normalweight</v>
      </c>
    </row>
    <row r="1632" spans="1:10" ht="15.75" customHeight="1">
      <c r="A1632" t="s">
        <v>1419</v>
      </c>
      <c r="B1632">
        <v>28.024999999999999</v>
      </c>
      <c r="C1632">
        <v>5</v>
      </c>
      <c r="E1632" t="s">
        <v>4685</v>
      </c>
      <c r="F1632" t="s">
        <v>4685</v>
      </c>
      <c r="G1632" t="s">
        <v>4685</v>
      </c>
      <c r="H1632" s="2">
        <v>1</v>
      </c>
      <c r="I1632" t="s">
        <v>4685</v>
      </c>
      <c r="J1632" t="str">
        <f t="shared" si="7"/>
        <v>normalweight</v>
      </c>
    </row>
    <row r="1633" spans="1:10" ht="15.75" customHeight="1">
      <c r="A1633" t="s">
        <v>1417</v>
      </c>
      <c r="B1633">
        <v>35.090000000000003</v>
      </c>
      <c r="C1633">
        <v>5.84</v>
      </c>
      <c r="E1633" t="s">
        <v>4685</v>
      </c>
      <c r="F1633" t="s">
        <v>4685</v>
      </c>
      <c r="G1633" t="s">
        <v>4685</v>
      </c>
      <c r="H1633" s="2">
        <v>0</v>
      </c>
      <c r="I1633" t="s">
        <v>4685</v>
      </c>
      <c r="J1633" t="str">
        <f t="shared" si="7"/>
        <v>normalweight</v>
      </c>
    </row>
    <row r="1634" spans="1:10" ht="15.75" customHeight="1">
      <c r="A1634" t="s">
        <v>1415</v>
      </c>
      <c r="B1634">
        <v>34.42</v>
      </c>
      <c r="C1634">
        <v>5.21</v>
      </c>
      <c r="E1634" t="s">
        <v>4686</v>
      </c>
      <c r="F1634" t="s">
        <v>4685</v>
      </c>
      <c r="G1634" t="s">
        <v>4685</v>
      </c>
      <c r="H1634" s="2">
        <v>0</v>
      </c>
      <c r="I1634" t="s">
        <v>4685</v>
      </c>
      <c r="J1634" t="str">
        <f t="shared" si="7"/>
        <v>normalweight</v>
      </c>
    </row>
    <row r="1635" spans="1:10" ht="15.75" customHeight="1">
      <c r="A1635" t="s">
        <v>1413</v>
      </c>
      <c r="B1635">
        <v>29.4</v>
      </c>
      <c r="C1635">
        <v>4.26</v>
      </c>
      <c r="E1635" t="s">
        <v>4685</v>
      </c>
      <c r="F1635" t="s">
        <v>4685</v>
      </c>
      <c r="G1635" t="s">
        <v>4685</v>
      </c>
      <c r="H1635" s="2">
        <v>0</v>
      </c>
      <c r="I1635" t="s">
        <v>4685</v>
      </c>
      <c r="J1635" t="str">
        <f t="shared" si="7"/>
        <v>normalweight</v>
      </c>
    </row>
    <row r="1636" spans="1:10" ht="15.75" customHeight="1">
      <c r="A1636" t="s">
        <v>1411</v>
      </c>
      <c r="B1636">
        <v>21.31</v>
      </c>
      <c r="C1636">
        <v>4.17</v>
      </c>
      <c r="E1636" t="s">
        <v>4685</v>
      </c>
      <c r="F1636" t="s">
        <v>4685</v>
      </c>
      <c r="G1636" t="s">
        <v>4685</v>
      </c>
      <c r="H1636" s="2">
        <v>0</v>
      </c>
      <c r="I1636" t="s">
        <v>4685</v>
      </c>
      <c r="J1636" t="str">
        <f t="shared" si="7"/>
        <v>normalweight</v>
      </c>
    </row>
    <row r="1637" spans="1:10" ht="15.75" customHeight="1">
      <c r="A1637" t="s">
        <v>1409</v>
      </c>
      <c r="B1637">
        <v>19.559999999999999</v>
      </c>
      <c r="C1637">
        <v>11.96</v>
      </c>
      <c r="D1637" s="6" t="s">
        <v>4684</v>
      </c>
      <c r="E1637" t="s">
        <v>4685</v>
      </c>
      <c r="F1637" t="s">
        <v>4685</v>
      </c>
      <c r="G1637" t="s">
        <v>4685</v>
      </c>
      <c r="H1637" s="2">
        <v>0</v>
      </c>
      <c r="I1637" t="s">
        <v>4685</v>
      </c>
      <c r="J1637" t="str">
        <f t="shared" si="7"/>
        <v>normalweight</v>
      </c>
    </row>
    <row r="1638" spans="1:10" ht="15.75" customHeight="1">
      <c r="A1638" t="s">
        <v>1407</v>
      </c>
      <c r="B1638">
        <v>37.335000000000001</v>
      </c>
      <c r="C1638">
        <v>6.26</v>
      </c>
      <c r="E1638" t="s">
        <v>4686</v>
      </c>
      <c r="F1638" t="s">
        <v>4685</v>
      </c>
      <c r="G1638" t="s">
        <v>4685</v>
      </c>
      <c r="H1638" s="2">
        <v>1</v>
      </c>
      <c r="I1638" t="s">
        <v>4685</v>
      </c>
      <c r="J1638" t="str">
        <f t="shared" si="7"/>
        <v>normalweight</v>
      </c>
    </row>
    <row r="1639" spans="1:10" ht="15.75" customHeight="1">
      <c r="A1639" t="s">
        <v>1405</v>
      </c>
      <c r="B1639">
        <v>19.53</v>
      </c>
      <c r="C1639">
        <v>11.68</v>
      </c>
      <c r="D1639" s="6" t="s">
        <v>4684</v>
      </c>
      <c r="E1639" t="s">
        <v>4685</v>
      </c>
      <c r="F1639" t="s">
        <v>4685</v>
      </c>
      <c r="G1639" t="s">
        <v>4685</v>
      </c>
      <c r="H1639" s="2">
        <v>0</v>
      </c>
      <c r="I1639" t="s">
        <v>4685</v>
      </c>
      <c r="J1639" t="str">
        <f t="shared" si="7"/>
        <v>normalweight</v>
      </c>
    </row>
    <row r="1640" spans="1:10" ht="15.75" customHeight="1">
      <c r="A1640" t="s">
        <v>1403</v>
      </c>
      <c r="B1640">
        <v>34.1</v>
      </c>
      <c r="C1640">
        <v>5.16</v>
      </c>
      <c r="E1640" t="s">
        <v>4685</v>
      </c>
      <c r="F1640" t="s">
        <v>4685</v>
      </c>
      <c r="G1640" t="s">
        <v>4685</v>
      </c>
      <c r="H1640" s="2">
        <v>0</v>
      </c>
      <c r="I1640" t="s">
        <v>4685</v>
      </c>
      <c r="J1640" t="str">
        <f t="shared" si="7"/>
        <v>normalweight</v>
      </c>
    </row>
    <row r="1641" spans="1:10" ht="15.75" customHeight="1">
      <c r="A1641" t="s">
        <v>1401</v>
      </c>
      <c r="B1641">
        <v>16.5</v>
      </c>
      <c r="C1641">
        <v>6.9</v>
      </c>
      <c r="E1641" t="s">
        <v>4686</v>
      </c>
      <c r="F1641" t="s">
        <v>4685</v>
      </c>
      <c r="G1641" t="s">
        <v>4685</v>
      </c>
      <c r="H1641" s="2">
        <v>2</v>
      </c>
      <c r="I1641" t="s">
        <v>4685</v>
      </c>
      <c r="J1641" t="str">
        <f t="shared" si="7"/>
        <v>underweight</v>
      </c>
    </row>
    <row r="1642" spans="1:10" ht="15.75" customHeight="1">
      <c r="A1642" t="s">
        <v>1399</v>
      </c>
      <c r="B1642">
        <v>30.69</v>
      </c>
      <c r="C1642">
        <v>4.83</v>
      </c>
      <c r="E1642" t="s">
        <v>4685</v>
      </c>
      <c r="F1642" t="s">
        <v>4685</v>
      </c>
      <c r="G1642" t="s">
        <v>4685</v>
      </c>
      <c r="H1642" s="2">
        <v>1</v>
      </c>
      <c r="I1642" t="s">
        <v>4685</v>
      </c>
      <c r="J1642" t="str">
        <f t="shared" si="7"/>
        <v>normalweight</v>
      </c>
    </row>
    <row r="1643" spans="1:10" ht="15.75" customHeight="1">
      <c r="A1643" t="s">
        <v>1397</v>
      </c>
      <c r="B1643">
        <v>28.93</v>
      </c>
      <c r="C1643">
        <v>4.87</v>
      </c>
      <c r="E1643" t="s">
        <v>4685</v>
      </c>
      <c r="F1643" t="s">
        <v>4685</v>
      </c>
      <c r="G1643" t="s">
        <v>4685</v>
      </c>
      <c r="H1643" s="2">
        <v>1</v>
      </c>
      <c r="I1643" t="s">
        <v>4685</v>
      </c>
      <c r="J1643" t="str">
        <f t="shared" si="7"/>
        <v>normalweight</v>
      </c>
    </row>
    <row r="1644" spans="1:10" ht="15.75" customHeight="1">
      <c r="A1644" t="s">
        <v>1395</v>
      </c>
      <c r="B1644">
        <v>38.9</v>
      </c>
      <c r="C1644">
        <v>4.28</v>
      </c>
      <c r="E1644" t="s">
        <v>4685</v>
      </c>
      <c r="F1644" t="s">
        <v>4685</v>
      </c>
      <c r="G1644" t="s">
        <v>4685</v>
      </c>
      <c r="H1644" s="2">
        <v>0</v>
      </c>
      <c r="I1644" t="s">
        <v>4685</v>
      </c>
      <c r="J1644" t="str">
        <f t="shared" si="7"/>
        <v>normalweight</v>
      </c>
    </row>
    <row r="1645" spans="1:10" ht="15.75" customHeight="1">
      <c r="A1645" t="s">
        <v>1393</v>
      </c>
      <c r="B1645">
        <v>26.9</v>
      </c>
      <c r="C1645">
        <v>4.07</v>
      </c>
      <c r="E1645" t="s">
        <v>4685</v>
      </c>
      <c r="F1645" t="s">
        <v>4685</v>
      </c>
      <c r="G1645" t="s">
        <v>4685</v>
      </c>
      <c r="H1645" s="2">
        <v>0</v>
      </c>
      <c r="I1645" t="s">
        <v>4685</v>
      </c>
      <c r="J1645" t="str">
        <f t="shared" si="7"/>
        <v>normalweight</v>
      </c>
    </row>
    <row r="1646" spans="1:10" ht="15.75" customHeight="1">
      <c r="A1646" t="s">
        <v>1391</v>
      </c>
      <c r="B1646">
        <v>24.86</v>
      </c>
      <c r="C1646">
        <v>6.23</v>
      </c>
      <c r="E1646" t="s">
        <v>4685</v>
      </c>
      <c r="F1646" t="s">
        <v>4685</v>
      </c>
      <c r="G1646" t="s">
        <v>4685</v>
      </c>
      <c r="H1646" s="2">
        <v>0</v>
      </c>
      <c r="I1646" t="s">
        <v>4685</v>
      </c>
      <c r="J1646" t="str">
        <f t="shared" si="7"/>
        <v>normalweight</v>
      </c>
    </row>
    <row r="1647" spans="1:10" ht="15.75" customHeight="1">
      <c r="A1647" t="s">
        <v>1389</v>
      </c>
      <c r="B1647">
        <v>39.14</v>
      </c>
      <c r="C1647">
        <v>6.24</v>
      </c>
      <c r="E1647" t="s">
        <v>4685</v>
      </c>
      <c r="F1647" t="s">
        <v>4686</v>
      </c>
      <c r="G1647" t="s">
        <v>4685</v>
      </c>
      <c r="H1647" s="2">
        <v>1</v>
      </c>
      <c r="I1647" t="s">
        <v>4685</v>
      </c>
      <c r="J1647" t="str">
        <f t="shared" si="7"/>
        <v>normalweight</v>
      </c>
    </row>
    <row r="1648" spans="1:10" ht="15.75" customHeight="1">
      <c r="A1648" t="s">
        <v>1387</v>
      </c>
      <c r="B1648">
        <v>39.799999999999997</v>
      </c>
      <c r="C1648">
        <v>6.17</v>
      </c>
      <c r="E1648" t="s">
        <v>4685</v>
      </c>
      <c r="F1648" t="s">
        <v>4685</v>
      </c>
      <c r="G1648" t="s">
        <v>4688</v>
      </c>
      <c r="H1648" s="2">
        <v>1</v>
      </c>
      <c r="I1648" t="s">
        <v>4685</v>
      </c>
      <c r="J1648" t="str">
        <f t="shared" si="7"/>
        <v>normalweight</v>
      </c>
    </row>
    <row r="1649" spans="1:10" ht="15.75" customHeight="1">
      <c r="A1649" t="s">
        <v>1385</v>
      </c>
      <c r="B1649">
        <v>34.32</v>
      </c>
      <c r="C1649">
        <v>5.16</v>
      </c>
      <c r="E1649" t="s">
        <v>4685</v>
      </c>
      <c r="F1649" t="s">
        <v>4685</v>
      </c>
      <c r="G1649" t="s">
        <v>4685</v>
      </c>
      <c r="H1649" s="2">
        <v>1</v>
      </c>
      <c r="I1649" t="s">
        <v>4685</v>
      </c>
      <c r="J1649" t="str">
        <f t="shared" si="7"/>
        <v>normalweight</v>
      </c>
    </row>
    <row r="1650" spans="1:10" ht="15.75" customHeight="1">
      <c r="A1650" t="s">
        <v>1383</v>
      </c>
      <c r="B1650">
        <v>32.51</v>
      </c>
      <c r="C1650">
        <v>4.3</v>
      </c>
      <c r="E1650" t="s">
        <v>4685</v>
      </c>
      <c r="F1650" t="s">
        <v>4685</v>
      </c>
      <c r="G1650" t="s">
        <v>4685</v>
      </c>
      <c r="H1650" s="2">
        <v>0</v>
      </c>
      <c r="I1650" t="s">
        <v>4685</v>
      </c>
      <c r="J1650" t="str">
        <f t="shared" si="7"/>
        <v>normalweight</v>
      </c>
    </row>
    <row r="1651" spans="1:10" ht="15.75" customHeight="1">
      <c r="A1651" t="s">
        <v>1381</v>
      </c>
      <c r="B1651">
        <v>30.71</v>
      </c>
      <c r="C1651">
        <v>6.14</v>
      </c>
      <c r="E1651" t="s">
        <v>4685</v>
      </c>
      <c r="F1651" t="s">
        <v>4685</v>
      </c>
      <c r="G1651" t="s">
        <v>4688</v>
      </c>
      <c r="H1651" s="2">
        <v>1</v>
      </c>
      <c r="I1651" t="s">
        <v>4685</v>
      </c>
      <c r="J1651" t="str">
        <f t="shared" si="7"/>
        <v>normalweight</v>
      </c>
    </row>
    <row r="1652" spans="1:10" ht="15.75" customHeight="1">
      <c r="A1652" t="s">
        <v>1379</v>
      </c>
      <c r="B1652">
        <v>28.9</v>
      </c>
      <c r="C1652">
        <v>5.36</v>
      </c>
      <c r="E1652" t="s">
        <v>4685</v>
      </c>
      <c r="F1652" t="s">
        <v>4685</v>
      </c>
      <c r="G1652" t="s">
        <v>4685</v>
      </c>
      <c r="H1652" s="2">
        <v>1</v>
      </c>
      <c r="I1652" t="s">
        <v>4685</v>
      </c>
      <c r="J1652" t="str">
        <f t="shared" si="7"/>
        <v>normalweight</v>
      </c>
    </row>
    <row r="1653" spans="1:10" ht="15.75" customHeight="1">
      <c r="A1653" t="s">
        <v>1377</v>
      </c>
      <c r="B1653">
        <v>36.19</v>
      </c>
      <c r="C1653">
        <v>4.3</v>
      </c>
      <c r="E1653" t="s">
        <v>4685</v>
      </c>
      <c r="F1653" t="s">
        <v>4685</v>
      </c>
      <c r="G1653" t="s">
        <v>4685</v>
      </c>
      <c r="H1653" s="2">
        <v>0</v>
      </c>
      <c r="I1653" t="s">
        <v>4685</v>
      </c>
      <c r="J1653" t="str">
        <f t="shared" si="7"/>
        <v>normalweight</v>
      </c>
    </row>
    <row r="1654" spans="1:10" ht="15.75" customHeight="1">
      <c r="A1654" t="s">
        <v>1375</v>
      </c>
      <c r="B1654">
        <v>29.6</v>
      </c>
      <c r="C1654">
        <v>4.09</v>
      </c>
      <c r="E1654" t="s">
        <v>4685</v>
      </c>
      <c r="F1654" t="s">
        <v>4685</v>
      </c>
      <c r="G1654" t="s">
        <v>4685</v>
      </c>
      <c r="H1654" s="2">
        <v>0</v>
      </c>
      <c r="I1654" t="s">
        <v>4685</v>
      </c>
      <c r="J1654" t="str">
        <f t="shared" si="7"/>
        <v>normalweight</v>
      </c>
    </row>
    <row r="1655" spans="1:10" ht="15.75" customHeight="1">
      <c r="A1655" t="s">
        <v>1373</v>
      </c>
      <c r="B1655">
        <v>30.95</v>
      </c>
      <c r="C1655">
        <v>6.27</v>
      </c>
      <c r="E1655" t="s">
        <v>4685</v>
      </c>
      <c r="F1655" t="s">
        <v>4685</v>
      </c>
      <c r="G1655" t="s">
        <v>4688</v>
      </c>
      <c r="H1655" s="2">
        <v>1</v>
      </c>
      <c r="I1655" t="s">
        <v>4685</v>
      </c>
      <c r="J1655" t="str">
        <f t="shared" si="7"/>
        <v>normalweight</v>
      </c>
    </row>
    <row r="1656" spans="1:10" ht="15.75" customHeight="1">
      <c r="A1656" t="s">
        <v>1371</v>
      </c>
      <c r="B1656">
        <v>19.95</v>
      </c>
      <c r="C1656">
        <v>5.39</v>
      </c>
      <c r="E1656" t="s">
        <v>4685</v>
      </c>
      <c r="F1656" t="s">
        <v>4685</v>
      </c>
      <c r="G1656" t="s">
        <v>4685</v>
      </c>
      <c r="H1656" s="2">
        <v>1</v>
      </c>
      <c r="I1656" t="s">
        <v>4685</v>
      </c>
      <c r="J1656" t="str">
        <f t="shared" si="7"/>
        <v>normalweight</v>
      </c>
    </row>
    <row r="1657" spans="1:10" ht="15.75" customHeight="1">
      <c r="A1657" t="s">
        <v>1369</v>
      </c>
      <c r="B1657">
        <v>23.65</v>
      </c>
      <c r="C1657">
        <v>5.75</v>
      </c>
      <c r="E1657" t="s">
        <v>4686</v>
      </c>
      <c r="F1657" t="s">
        <v>4685</v>
      </c>
      <c r="G1657" t="s">
        <v>4685</v>
      </c>
      <c r="H1657" s="2">
        <v>0</v>
      </c>
      <c r="I1657" t="s">
        <v>4685</v>
      </c>
      <c r="J1657" t="str">
        <f t="shared" si="7"/>
        <v>normalweight</v>
      </c>
    </row>
    <row r="1658" spans="1:10" ht="15.75" customHeight="1">
      <c r="A1658" t="s">
        <v>1367</v>
      </c>
      <c r="B1658">
        <v>43.34</v>
      </c>
      <c r="C1658">
        <v>4.91</v>
      </c>
      <c r="E1658" t="s">
        <v>4685</v>
      </c>
      <c r="F1658" t="s">
        <v>4685</v>
      </c>
      <c r="G1658" t="s">
        <v>4685</v>
      </c>
      <c r="H1658" s="2">
        <v>1</v>
      </c>
      <c r="I1658" t="s">
        <v>4685</v>
      </c>
      <c r="J1658" t="str">
        <f t="shared" si="7"/>
        <v>normalweight</v>
      </c>
    </row>
    <row r="1659" spans="1:10" ht="15.75" customHeight="1">
      <c r="A1659" t="s">
        <v>1365</v>
      </c>
      <c r="B1659">
        <v>31.98</v>
      </c>
      <c r="C1659">
        <v>4.46</v>
      </c>
      <c r="E1659" t="s">
        <v>4686</v>
      </c>
      <c r="F1659" t="s">
        <v>4685</v>
      </c>
      <c r="G1659" t="s">
        <v>4685</v>
      </c>
      <c r="H1659" s="2">
        <v>1</v>
      </c>
      <c r="I1659" t="s">
        <v>4685</v>
      </c>
      <c r="J1659" t="str">
        <f t="shared" si="7"/>
        <v>normalweight</v>
      </c>
    </row>
    <row r="1660" spans="1:10" ht="15.75" customHeight="1">
      <c r="A1660" t="s">
        <v>1363</v>
      </c>
      <c r="B1660">
        <v>35.86</v>
      </c>
      <c r="C1660">
        <v>6.22</v>
      </c>
      <c r="E1660" t="s">
        <v>4685</v>
      </c>
      <c r="F1660" t="s">
        <v>4685</v>
      </c>
      <c r="G1660" t="s">
        <v>4685</v>
      </c>
      <c r="H1660" s="2">
        <v>1</v>
      </c>
      <c r="I1660" t="s">
        <v>4685</v>
      </c>
      <c r="J1660" t="str">
        <f t="shared" si="7"/>
        <v>normalweight</v>
      </c>
    </row>
    <row r="1661" spans="1:10" ht="15.75" customHeight="1">
      <c r="A1661" t="s">
        <v>1361</v>
      </c>
      <c r="B1661">
        <v>15.2</v>
      </c>
      <c r="C1661">
        <v>8.82</v>
      </c>
      <c r="D1661" s="6" t="s">
        <v>4684</v>
      </c>
      <c r="E1661" t="s">
        <v>4685</v>
      </c>
      <c r="F1661" t="s">
        <v>4685</v>
      </c>
      <c r="G1661" t="s">
        <v>4685</v>
      </c>
      <c r="H1661" s="2">
        <v>0</v>
      </c>
      <c r="I1661" t="s">
        <v>4685</v>
      </c>
      <c r="J1661" t="str">
        <f t="shared" si="7"/>
        <v>underweight</v>
      </c>
    </row>
    <row r="1662" spans="1:10" ht="15.75" customHeight="1">
      <c r="A1662" t="s">
        <v>1359</v>
      </c>
      <c r="B1662">
        <v>37.200000000000003</v>
      </c>
      <c r="C1662">
        <v>10.14</v>
      </c>
      <c r="D1662" s="6" t="s">
        <v>4684</v>
      </c>
      <c r="E1662" t="s">
        <v>4685</v>
      </c>
      <c r="F1662" t="s">
        <v>4685</v>
      </c>
      <c r="G1662" t="s">
        <v>4685</v>
      </c>
      <c r="H1662" s="2">
        <v>0</v>
      </c>
      <c r="I1662" t="s">
        <v>4685</v>
      </c>
      <c r="J1662" t="str">
        <f t="shared" si="7"/>
        <v>normalweight</v>
      </c>
    </row>
    <row r="1663" spans="1:10" ht="15.75" customHeight="1">
      <c r="A1663" t="s">
        <v>1357</v>
      </c>
      <c r="B1663">
        <v>17.91</v>
      </c>
      <c r="C1663">
        <v>4.66</v>
      </c>
      <c r="E1663" t="s">
        <v>4685</v>
      </c>
      <c r="F1663" t="s">
        <v>4685</v>
      </c>
      <c r="G1663" t="s">
        <v>4685</v>
      </c>
      <c r="H1663" s="2">
        <v>2</v>
      </c>
      <c r="I1663" t="s">
        <v>4685</v>
      </c>
      <c r="J1663" t="str">
        <f t="shared" si="7"/>
        <v>underweight</v>
      </c>
    </row>
    <row r="1664" spans="1:10" ht="15.75" customHeight="1">
      <c r="A1664" t="s">
        <v>1355</v>
      </c>
      <c r="B1664">
        <v>20.76</v>
      </c>
      <c r="C1664">
        <v>6.26</v>
      </c>
      <c r="E1664" t="s">
        <v>4685</v>
      </c>
      <c r="F1664" t="s">
        <v>4685</v>
      </c>
      <c r="G1664" t="s">
        <v>4685</v>
      </c>
      <c r="H1664" s="2">
        <v>0</v>
      </c>
      <c r="I1664" t="s">
        <v>4685</v>
      </c>
      <c r="J1664" t="str">
        <f t="shared" si="7"/>
        <v>normalweight</v>
      </c>
    </row>
    <row r="1665" spans="1:10" ht="15.75" customHeight="1">
      <c r="A1665" t="s">
        <v>1353</v>
      </c>
      <c r="B1665">
        <v>38.99</v>
      </c>
      <c r="C1665">
        <v>5.21</v>
      </c>
      <c r="E1665" t="s">
        <v>4685</v>
      </c>
      <c r="F1665" t="s">
        <v>4686</v>
      </c>
      <c r="G1665" t="s">
        <v>4685</v>
      </c>
      <c r="H1665" s="2">
        <v>1</v>
      </c>
      <c r="I1665" t="s">
        <v>4685</v>
      </c>
      <c r="J1665" t="str">
        <f t="shared" si="7"/>
        <v>normalweight</v>
      </c>
    </row>
    <row r="1666" spans="1:10" ht="15.75" customHeight="1">
      <c r="A1666" t="s">
        <v>1351</v>
      </c>
      <c r="B1666">
        <v>42.655000000000001</v>
      </c>
      <c r="C1666">
        <v>5.94</v>
      </c>
      <c r="E1666" t="s">
        <v>4686</v>
      </c>
      <c r="F1666" t="s">
        <v>4685</v>
      </c>
      <c r="G1666" t="s">
        <v>4688</v>
      </c>
      <c r="H1666" s="2">
        <v>1</v>
      </c>
      <c r="I1666" t="s">
        <v>4685</v>
      </c>
      <c r="J1666" t="str">
        <f t="shared" si="7"/>
        <v>normalweight</v>
      </c>
    </row>
    <row r="1667" spans="1:10" ht="15.75" customHeight="1">
      <c r="A1667" t="s">
        <v>1349</v>
      </c>
      <c r="B1667">
        <v>30.57</v>
      </c>
      <c r="C1667">
        <v>5.34</v>
      </c>
      <c r="E1667" t="s">
        <v>4685</v>
      </c>
      <c r="F1667" t="s">
        <v>4685</v>
      </c>
      <c r="G1667" t="s">
        <v>4688</v>
      </c>
      <c r="H1667" s="2">
        <v>1</v>
      </c>
      <c r="I1667" t="s">
        <v>4685</v>
      </c>
      <c r="J1667" t="str">
        <f t="shared" si="7"/>
        <v>normalweight</v>
      </c>
    </row>
    <row r="1668" spans="1:10" ht="15.75" customHeight="1">
      <c r="A1668" t="s">
        <v>1347</v>
      </c>
      <c r="B1668">
        <v>17.7</v>
      </c>
      <c r="C1668">
        <v>6.38</v>
      </c>
      <c r="E1668" t="s">
        <v>4685</v>
      </c>
      <c r="F1668" t="s">
        <v>4685</v>
      </c>
      <c r="G1668" t="s">
        <v>4685</v>
      </c>
      <c r="H1668" s="2">
        <v>2</v>
      </c>
      <c r="I1668" t="s">
        <v>4685</v>
      </c>
      <c r="J1668" t="str">
        <f t="shared" si="7"/>
        <v>underweight</v>
      </c>
    </row>
    <row r="1669" spans="1:10" ht="15.75" customHeight="1">
      <c r="A1669" t="s">
        <v>1345</v>
      </c>
      <c r="B1669">
        <v>34.770000000000003</v>
      </c>
      <c r="C1669">
        <v>4.47</v>
      </c>
      <c r="E1669" t="s">
        <v>4685</v>
      </c>
      <c r="F1669" t="s">
        <v>4685</v>
      </c>
      <c r="G1669" t="s">
        <v>4685</v>
      </c>
      <c r="H1669" s="2">
        <v>1</v>
      </c>
      <c r="I1669" t="s">
        <v>4685</v>
      </c>
      <c r="J1669" t="str">
        <f t="shared" si="7"/>
        <v>normalweight</v>
      </c>
    </row>
    <row r="1670" spans="1:10" ht="15.75" customHeight="1">
      <c r="A1670" t="s">
        <v>1343</v>
      </c>
      <c r="B1670">
        <v>16.88</v>
      </c>
      <c r="C1670">
        <v>9.9600000000000009</v>
      </c>
      <c r="D1670" s="6" t="s">
        <v>4684</v>
      </c>
      <c r="E1670" t="s">
        <v>4685</v>
      </c>
      <c r="F1670" t="s">
        <v>4685</v>
      </c>
      <c r="G1670" t="s">
        <v>4685</v>
      </c>
      <c r="H1670" s="2">
        <v>0</v>
      </c>
      <c r="I1670" t="s">
        <v>4685</v>
      </c>
      <c r="J1670" t="str">
        <f t="shared" si="7"/>
        <v>underweight</v>
      </c>
    </row>
    <row r="1671" spans="1:10" ht="15.75" customHeight="1">
      <c r="A1671" t="s">
        <v>1341</v>
      </c>
      <c r="B1671">
        <v>40.26</v>
      </c>
      <c r="C1671">
        <v>9.92</v>
      </c>
      <c r="D1671" s="6" t="s">
        <v>4684</v>
      </c>
      <c r="E1671" t="s">
        <v>4686</v>
      </c>
      <c r="F1671" t="s">
        <v>4685</v>
      </c>
      <c r="G1671" t="s">
        <v>4685</v>
      </c>
      <c r="H1671" s="2">
        <v>0</v>
      </c>
      <c r="I1671" t="s">
        <v>4685</v>
      </c>
      <c r="J1671" t="str">
        <f t="shared" si="7"/>
        <v>normalweight</v>
      </c>
    </row>
    <row r="1672" spans="1:10" ht="15.75" customHeight="1">
      <c r="A1672" t="s">
        <v>1339</v>
      </c>
      <c r="B1672">
        <v>25.6</v>
      </c>
      <c r="C1672">
        <v>6.03</v>
      </c>
      <c r="E1672" t="s">
        <v>4685</v>
      </c>
      <c r="F1672" t="s">
        <v>4685</v>
      </c>
      <c r="G1672" t="s">
        <v>4688</v>
      </c>
      <c r="H1672" s="2">
        <v>1</v>
      </c>
      <c r="I1672" t="s">
        <v>4685</v>
      </c>
      <c r="J1672" t="str">
        <f t="shared" si="7"/>
        <v>normalweight</v>
      </c>
    </row>
    <row r="1673" spans="1:10" ht="15.75" customHeight="1">
      <c r="A1673" t="s">
        <v>1337</v>
      </c>
      <c r="B1673">
        <v>33.549999999999997</v>
      </c>
      <c r="C1673">
        <v>10.9</v>
      </c>
      <c r="D1673" s="6" t="s">
        <v>4684</v>
      </c>
      <c r="E1673" t="s">
        <v>4686</v>
      </c>
      <c r="F1673" t="s">
        <v>4685</v>
      </c>
      <c r="G1673" t="s">
        <v>4685</v>
      </c>
      <c r="H1673" s="2">
        <v>0</v>
      </c>
      <c r="I1673" t="s">
        <v>4685</v>
      </c>
      <c r="J1673" t="str">
        <f t="shared" si="7"/>
        <v>normalweight</v>
      </c>
    </row>
    <row r="1674" spans="1:10" ht="15.75" customHeight="1">
      <c r="A1674" t="s">
        <v>1335</v>
      </c>
      <c r="B1674">
        <v>16.690000000000001</v>
      </c>
      <c r="C1674">
        <v>10.66</v>
      </c>
      <c r="D1674" s="6" t="s">
        <v>4684</v>
      </c>
      <c r="E1674" t="s">
        <v>4685</v>
      </c>
      <c r="F1674" t="s">
        <v>4685</v>
      </c>
      <c r="G1674" t="s">
        <v>4685</v>
      </c>
      <c r="H1674" s="2">
        <v>0</v>
      </c>
      <c r="I1674" t="s">
        <v>4685</v>
      </c>
      <c r="J1674" t="str">
        <f t="shared" si="7"/>
        <v>underweight</v>
      </c>
    </row>
    <row r="1675" spans="1:10" ht="15.75" customHeight="1">
      <c r="A1675" t="s">
        <v>1333</v>
      </c>
      <c r="B1675">
        <v>19.95</v>
      </c>
      <c r="C1675">
        <v>4.05</v>
      </c>
      <c r="E1675" t="s">
        <v>4685</v>
      </c>
      <c r="F1675" t="s">
        <v>4685</v>
      </c>
      <c r="G1675" t="s">
        <v>4685</v>
      </c>
      <c r="H1675" s="2">
        <v>1</v>
      </c>
      <c r="I1675" t="s">
        <v>4685</v>
      </c>
      <c r="J1675" t="str">
        <f t="shared" si="7"/>
        <v>normalweight</v>
      </c>
    </row>
    <row r="1676" spans="1:10" ht="15.75" customHeight="1">
      <c r="A1676" t="s">
        <v>1331</v>
      </c>
      <c r="B1676">
        <v>17.55</v>
      </c>
      <c r="C1676">
        <v>4.2300000000000004</v>
      </c>
      <c r="E1676" t="s">
        <v>4685</v>
      </c>
      <c r="F1676" t="s">
        <v>4685</v>
      </c>
      <c r="G1676" t="s">
        <v>4685</v>
      </c>
      <c r="H1676" s="2">
        <v>2</v>
      </c>
      <c r="I1676" t="s">
        <v>4685</v>
      </c>
      <c r="J1676" t="str">
        <f t="shared" si="7"/>
        <v>underweight</v>
      </c>
    </row>
    <row r="1677" spans="1:10" ht="15.75" customHeight="1">
      <c r="A1677" t="s">
        <v>1329</v>
      </c>
      <c r="B1677">
        <v>22.01</v>
      </c>
      <c r="C1677">
        <v>5.01</v>
      </c>
      <c r="E1677" t="s">
        <v>4685</v>
      </c>
      <c r="F1677" t="s">
        <v>4685</v>
      </c>
      <c r="G1677" t="s">
        <v>4685</v>
      </c>
      <c r="H1677" s="2">
        <v>1</v>
      </c>
      <c r="I1677" t="s">
        <v>4685</v>
      </c>
      <c r="J1677" t="str">
        <f t="shared" si="7"/>
        <v>normalweight</v>
      </c>
    </row>
    <row r="1678" spans="1:10" ht="15.75" customHeight="1">
      <c r="A1678" t="s">
        <v>1327</v>
      </c>
      <c r="B1678">
        <v>41.8</v>
      </c>
      <c r="C1678">
        <v>5.82</v>
      </c>
      <c r="E1678" t="s">
        <v>4686</v>
      </c>
      <c r="F1678" t="s">
        <v>4685</v>
      </c>
      <c r="G1678" t="s">
        <v>4688</v>
      </c>
      <c r="H1678" s="2">
        <v>1</v>
      </c>
      <c r="I1678" t="s">
        <v>4685</v>
      </c>
      <c r="J1678" t="str">
        <f t="shared" si="7"/>
        <v>normalweight</v>
      </c>
    </row>
    <row r="1679" spans="1:10" ht="15.75" customHeight="1">
      <c r="A1679" t="s">
        <v>1325</v>
      </c>
      <c r="B1679">
        <v>19.170000000000002</v>
      </c>
      <c r="C1679">
        <v>7.94</v>
      </c>
      <c r="D1679" s="6" t="s">
        <v>4684</v>
      </c>
      <c r="E1679" t="s">
        <v>4685</v>
      </c>
      <c r="F1679" t="s">
        <v>4685</v>
      </c>
      <c r="G1679" t="s">
        <v>4685</v>
      </c>
      <c r="H1679" s="2">
        <v>0</v>
      </c>
      <c r="I1679" t="s">
        <v>4685</v>
      </c>
      <c r="J1679" t="str">
        <f t="shared" si="7"/>
        <v>normalweight</v>
      </c>
    </row>
    <row r="1680" spans="1:10" ht="15.75" customHeight="1">
      <c r="A1680" t="s">
        <v>1323</v>
      </c>
      <c r="B1680">
        <v>32.799999999999997</v>
      </c>
      <c r="C1680">
        <v>6.16</v>
      </c>
      <c r="E1680" t="s">
        <v>4686</v>
      </c>
      <c r="F1680" t="s">
        <v>4685</v>
      </c>
      <c r="G1680" t="s">
        <v>4688</v>
      </c>
      <c r="H1680" s="2">
        <v>1</v>
      </c>
      <c r="I1680" t="s">
        <v>4685</v>
      </c>
      <c r="J1680" t="str">
        <f t="shared" si="7"/>
        <v>normalweight</v>
      </c>
    </row>
    <row r="1681" spans="1:10" ht="15.75" customHeight="1">
      <c r="A1681" t="s">
        <v>1321</v>
      </c>
      <c r="B1681">
        <v>35.814999999999998</v>
      </c>
      <c r="C1681">
        <v>4.1500000000000004</v>
      </c>
      <c r="E1681" t="s">
        <v>4685</v>
      </c>
      <c r="F1681" t="s">
        <v>4685</v>
      </c>
      <c r="G1681" t="s">
        <v>4685</v>
      </c>
      <c r="H1681" s="2">
        <v>1</v>
      </c>
      <c r="I1681" t="s">
        <v>4685</v>
      </c>
      <c r="J1681" t="str">
        <f t="shared" si="7"/>
        <v>normalweight</v>
      </c>
    </row>
    <row r="1682" spans="1:10" ht="15.75" customHeight="1">
      <c r="A1682" t="s">
        <v>1319</v>
      </c>
      <c r="B1682">
        <v>24.3</v>
      </c>
      <c r="C1682">
        <v>6.23</v>
      </c>
      <c r="E1682" t="s">
        <v>4685</v>
      </c>
      <c r="F1682" t="s">
        <v>4685</v>
      </c>
      <c r="G1682" t="s">
        <v>4685</v>
      </c>
      <c r="H1682" s="2">
        <v>0</v>
      </c>
      <c r="I1682" t="s">
        <v>4685</v>
      </c>
      <c r="J1682" t="str">
        <f t="shared" si="7"/>
        <v>normalweight</v>
      </c>
    </row>
    <row r="1683" spans="1:10" ht="15.75" customHeight="1">
      <c r="A1683" t="s">
        <v>1317</v>
      </c>
      <c r="B1683">
        <v>19.059999999999999</v>
      </c>
      <c r="C1683">
        <v>7.41</v>
      </c>
      <c r="D1683" s="6" t="s">
        <v>4684</v>
      </c>
      <c r="E1683" t="s">
        <v>4685</v>
      </c>
      <c r="F1683" t="s">
        <v>4685</v>
      </c>
      <c r="G1683" t="s">
        <v>4685</v>
      </c>
      <c r="H1683" s="2">
        <v>0</v>
      </c>
      <c r="I1683" t="s">
        <v>4685</v>
      </c>
      <c r="J1683" t="str">
        <f t="shared" si="7"/>
        <v>normalweight</v>
      </c>
    </row>
    <row r="1684" spans="1:10" ht="15.75" customHeight="1">
      <c r="A1684" t="s">
        <v>1315</v>
      </c>
      <c r="B1684">
        <v>33.25</v>
      </c>
      <c r="C1684">
        <v>5.62</v>
      </c>
      <c r="E1684" t="s">
        <v>4686</v>
      </c>
      <c r="F1684" t="s">
        <v>4685</v>
      </c>
      <c r="G1684" t="s">
        <v>4685</v>
      </c>
      <c r="H1684" s="2">
        <v>1</v>
      </c>
      <c r="I1684" t="s">
        <v>4685</v>
      </c>
      <c r="J1684" t="str">
        <f t="shared" si="7"/>
        <v>normalweight</v>
      </c>
    </row>
    <row r="1685" spans="1:10" ht="15.75" customHeight="1">
      <c r="A1685" t="s">
        <v>1313</v>
      </c>
      <c r="B1685">
        <v>21.37</v>
      </c>
      <c r="C1685">
        <v>4.54</v>
      </c>
      <c r="E1685" t="s">
        <v>4686</v>
      </c>
      <c r="F1685" t="s">
        <v>4685</v>
      </c>
      <c r="G1685" t="s">
        <v>4688</v>
      </c>
      <c r="H1685" s="2">
        <v>1</v>
      </c>
      <c r="I1685" t="s">
        <v>4685</v>
      </c>
      <c r="J1685" t="str">
        <f t="shared" si="7"/>
        <v>normalweight</v>
      </c>
    </row>
    <row r="1686" spans="1:10" ht="15.75" customHeight="1">
      <c r="A1686" t="s">
        <v>1311</v>
      </c>
      <c r="B1686">
        <v>34.43</v>
      </c>
      <c r="C1686">
        <v>8.6199999999999992</v>
      </c>
      <c r="D1686" s="6" t="s">
        <v>4684</v>
      </c>
      <c r="E1686" t="s">
        <v>4686</v>
      </c>
      <c r="F1686" t="s">
        <v>4685</v>
      </c>
      <c r="G1686" t="s">
        <v>4685</v>
      </c>
      <c r="H1686" s="2">
        <v>1</v>
      </c>
      <c r="I1686" t="s">
        <v>4685</v>
      </c>
      <c r="J1686" t="str">
        <f t="shared" si="7"/>
        <v>normalweight</v>
      </c>
    </row>
    <row r="1687" spans="1:10" ht="15.75" customHeight="1">
      <c r="A1687" t="s">
        <v>1309</v>
      </c>
      <c r="B1687">
        <v>20.86</v>
      </c>
      <c r="C1687">
        <v>4.3600000000000003</v>
      </c>
      <c r="E1687" t="s">
        <v>4686</v>
      </c>
      <c r="F1687" t="s">
        <v>4685</v>
      </c>
      <c r="G1687" t="s">
        <v>4685</v>
      </c>
      <c r="H1687" s="2">
        <v>0</v>
      </c>
      <c r="I1687" t="s">
        <v>4685</v>
      </c>
      <c r="J1687" t="str">
        <f t="shared" si="7"/>
        <v>normalweight</v>
      </c>
    </row>
    <row r="1688" spans="1:10" ht="15.75" customHeight="1">
      <c r="A1688" t="s">
        <v>1307</v>
      </c>
      <c r="B1688">
        <v>18.34</v>
      </c>
      <c r="C1688">
        <v>10.01</v>
      </c>
      <c r="D1688" s="6" t="s">
        <v>4684</v>
      </c>
      <c r="E1688" t="s">
        <v>4685</v>
      </c>
      <c r="F1688" t="s">
        <v>4685</v>
      </c>
      <c r="G1688" t="s">
        <v>4685</v>
      </c>
      <c r="H1688" s="2">
        <v>0</v>
      </c>
      <c r="I1688" t="s">
        <v>4685</v>
      </c>
      <c r="J1688" t="str">
        <f t="shared" si="7"/>
        <v>underweight</v>
      </c>
    </row>
    <row r="1689" spans="1:10" ht="15.75" customHeight="1">
      <c r="A1689" t="s">
        <v>1305</v>
      </c>
      <c r="B1689">
        <v>34.15</v>
      </c>
      <c r="C1689">
        <v>5.42</v>
      </c>
      <c r="E1689" t="s">
        <v>4685</v>
      </c>
      <c r="F1689" t="s">
        <v>4685</v>
      </c>
      <c r="G1689" t="s">
        <v>4685</v>
      </c>
      <c r="H1689" s="2">
        <v>0</v>
      </c>
      <c r="I1689" t="s">
        <v>4685</v>
      </c>
      <c r="J1689" t="str">
        <f t="shared" si="7"/>
        <v>normalweight</v>
      </c>
    </row>
    <row r="1690" spans="1:10" ht="15.75" customHeight="1">
      <c r="A1690" t="s">
        <v>1303</v>
      </c>
      <c r="B1690">
        <v>18.350000000000001</v>
      </c>
      <c r="C1690">
        <v>5.12</v>
      </c>
      <c r="E1690" t="s">
        <v>4685</v>
      </c>
      <c r="F1690" t="s">
        <v>4685</v>
      </c>
      <c r="G1690" t="s">
        <v>4685</v>
      </c>
      <c r="H1690" s="2">
        <v>0</v>
      </c>
      <c r="I1690" t="s">
        <v>4685</v>
      </c>
      <c r="J1690" t="str">
        <f t="shared" si="7"/>
        <v>underweight</v>
      </c>
    </row>
    <row r="1691" spans="1:10" ht="15.75" customHeight="1">
      <c r="A1691" t="s">
        <v>1301</v>
      </c>
      <c r="B1691">
        <v>22.13</v>
      </c>
      <c r="C1691">
        <v>9.1999999999999993</v>
      </c>
      <c r="D1691" s="6" t="s">
        <v>4684</v>
      </c>
      <c r="E1691" t="s">
        <v>4686</v>
      </c>
      <c r="F1691" t="s">
        <v>4685</v>
      </c>
      <c r="G1691" t="s">
        <v>4685</v>
      </c>
      <c r="H1691" s="2">
        <v>0</v>
      </c>
      <c r="I1691" t="s">
        <v>4685</v>
      </c>
      <c r="J1691" t="str">
        <f t="shared" si="7"/>
        <v>normalweight</v>
      </c>
    </row>
    <row r="1692" spans="1:10" ht="15.75" customHeight="1">
      <c r="A1692" t="s">
        <v>1299</v>
      </c>
      <c r="B1692">
        <v>22.51</v>
      </c>
      <c r="C1692">
        <v>6.08</v>
      </c>
      <c r="E1692" t="s">
        <v>4686</v>
      </c>
      <c r="F1692" t="s">
        <v>4685</v>
      </c>
      <c r="G1692" t="s">
        <v>4685</v>
      </c>
      <c r="H1692" s="2">
        <v>1</v>
      </c>
      <c r="I1692" t="s">
        <v>4685</v>
      </c>
      <c r="J1692" t="str">
        <f t="shared" si="7"/>
        <v>normalweight</v>
      </c>
    </row>
    <row r="1693" spans="1:10" ht="15.75" customHeight="1">
      <c r="A1693" t="s">
        <v>1297</v>
      </c>
      <c r="B1693">
        <v>31</v>
      </c>
      <c r="C1693">
        <v>4.7699999999999996</v>
      </c>
      <c r="E1693" t="s">
        <v>4685</v>
      </c>
      <c r="F1693" t="s">
        <v>4685</v>
      </c>
      <c r="G1693" t="s">
        <v>4685</v>
      </c>
      <c r="H1693" s="2">
        <v>1</v>
      </c>
      <c r="I1693" t="s">
        <v>4685</v>
      </c>
      <c r="J1693" t="str">
        <f t="shared" si="7"/>
        <v>normalweight</v>
      </c>
    </row>
    <row r="1694" spans="1:10" ht="15.75" customHeight="1">
      <c r="A1694" t="s">
        <v>1295</v>
      </c>
      <c r="B1694">
        <v>28.27</v>
      </c>
      <c r="C1694">
        <v>4.62</v>
      </c>
      <c r="E1694" t="s">
        <v>4685</v>
      </c>
      <c r="F1694" t="s">
        <v>4685</v>
      </c>
      <c r="G1694" t="s">
        <v>4685</v>
      </c>
      <c r="H1694" s="2">
        <v>1</v>
      </c>
      <c r="I1694" t="s">
        <v>4685</v>
      </c>
      <c r="J1694" t="str">
        <f t="shared" si="7"/>
        <v>normalweight</v>
      </c>
    </row>
    <row r="1695" spans="1:10" ht="15.75" customHeight="1">
      <c r="A1695" t="s">
        <v>1293</v>
      </c>
      <c r="B1695">
        <v>29.92</v>
      </c>
      <c r="C1695">
        <v>9.07</v>
      </c>
      <c r="D1695" s="6" t="s">
        <v>4684</v>
      </c>
      <c r="E1695" t="s">
        <v>4686</v>
      </c>
      <c r="F1695" t="s">
        <v>4685</v>
      </c>
      <c r="G1695" t="s">
        <v>4685</v>
      </c>
      <c r="H1695" s="2">
        <v>1</v>
      </c>
      <c r="I1695" t="s">
        <v>4685</v>
      </c>
      <c r="J1695" t="str">
        <f t="shared" si="7"/>
        <v>normalweight</v>
      </c>
    </row>
    <row r="1696" spans="1:10" ht="15.75" customHeight="1">
      <c r="A1696" t="s">
        <v>1291</v>
      </c>
      <c r="B1696">
        <v>25.9</v>
      </c>
      <c r="C1696">
        <v>9.1199999999999992</v>
      </c>
      <c r="D1696" s="6" t="s">
        <v>4684</v>
      </c>
      <c r="E1696" t="s">
        <v>4686</v>
      </c>
      <c r="F1696" t="s">
        <v>4685</v>
      </c>
      <c r="G1696" t="s">
        <v>4685</v>
      </c>
      <c r="H1696" s="2">
        <v>1</v>
      </c>
      <c r="I1696" t="s">
        <v>4685</v>
      </c>
      <c r="J1696" t="str">
        <f t="shared" si="7"/>
        <v>normalweight</v>
      </c>
    </row>
    <row r="1697" spans="1:10" ht="15.75" customHeight="1">
      <c r="A1697" t="s">
        <v>1289</v>
      </c>
      <c r="B1697">
        <v>27.74</v>
      </c>
      <c r="C1697">
        <v>7.32</v>
      </c>
      <c r="D1697" s="6" t="s">
        <v>4684</v>
      </c>
      <c r="E1697" t="s">
        <v>4686</v>
      </c>
      <c r="F1697" t="s">
        <v>4685</v>
      </c>
      <c r="G1697" t="s">
        <v>4685</v>
      </c>
      <c r="H1697" s="2">
        <v>1</v>
      </c>
      <c r="I1697" t="s">
        <v>4685</v>
      </c>
      <c r="J1697" t="str">
        <f t="shared" si="7"/>
        <v>normalweight</v>
      </c>
    </row>
    <row r="1698" spans="1:10" ht="15.75" customHeight="1">
      <c r="A1698" t="s">
        <v>1287</v>
      </c>
      <c r="B1698">
        <v>17.260000000000002</v>
      </c>
      <c r="C1698">
        <v>11.73</v>
      </c>
      <c r="D1698" s="6" t="s">
        <v>4684</v>
      </c>
      <c r="E1698" t="s">
        <v>4685</v>
      </c>
      <c r="F1698" t="s">
        <v>4685</v>
      </c>
      <c r="G1698" t="s">
        <v>4685</v>
      </c>
      <c r="H1698" s="2">
        <v>2</v>
      </c>
      <c r="I1698" t="s">
        <v>4685</v>
      </c>
      <c r="J1698" t="str">
        <f t="shared" si="7"/>
        <v>underweight</v>
      </c>
    </row>
    <row r="1699" spans="1:10" ht="15.75" customHeight="1">
      <c r="A1699" t="s">
        <v>1285</v>
      </c>
      <c r="B1699">
        <v>19.855</v>
      </c>
      <c r="C1699">
        <v>6.64</v>
      </c>
      <c r="D1699" s="6" t="s">
        <v>4684</v>
      </c>
      <c r="E1699" t="s">
        <v>4686</v>
      </c>
      <c r="F1699" t="s">
        <v>4685</v>
      </c>
      <c r="G1699" t="s">
        <v>4685</v>
      </c>
      <c r="H1699" s="2">
        <v>1</v>
      </c>
      <c r="I1699" t="s">
        <v>4685</v>
      </c>
      <c r="J1699" t="str">
        <f t="shared" si="7"/>
        <v>normalweight</v>
      </c>
    </row>
    <row r="1700" spans="1:10" ht="15.75" customHeight="1">
      <c r="A1700" t="s">
        <v>1283</v>
      </c>
      <c r="B1700">
        <v>41.69</v>
      </c>
      <c r="C1700">
        <v>5.78</v>
      </c>
      <c r="E1700" t="s">
        <v>4685</v>
      </c>
      <c r="F1700" t="s">
        <v>4685</v>
      </c>
      <c r="G1700" t="s">
        <v>4685</v>
      </c>
      <c r="H1700" s="2">
        <v>0</v>
      </c>
      <c r="I1700" t="s">
        <v>4685</v>
      </c>
      <c r="J1700" t="str">
        <f t="shared" si="7"/>
        <v>normalweight</v>
      </c>
    </row>
    <row r="1701" spans="1:10" ht="15.75" customHeight="1">
      <c r="A1701" t="s">
        <v>1281</v>
      </c>
      <c r="B1701">
        <v>16.12</v>
      </c>
      <c r="C1701">
        <v>10.45</v>
      </c>
      <c r="D1701" s="6" t="s">
        <v>4684</v>
      </c>
      <c r="E1701" t="s">
        <v>4685</v>
      </c>
      <c r="F1701" t="s">
        <v>4685</v>
      </c>
      <c r="G1701" t="s">
        <v>4685</v>
      </c>
      <c r="H1701" s="2">
        <v>0</v>
      </c>
      <c r="I1701" t="s">
        <v>4685</v>
      </c>
      <c r="J1701" t="str">
        <f t="shared" si="7"/>
        <v>underweight</v>
      </c>
    </row>
    <row r="1702" spans="1:10" ht="15.75" customHeight="1">
      <c r="A1702" t="s">
        <v>1279</v>
      </c>
      <c r="B1702">
        <v>37.43</v>
      </c>
      <c r="C1702">
        <v>4.5199999999999996</v>
      </c>
      <c r="E1702" t="s">
        <v>4685</v>
      </c>
      <c r="F1702" t="s">
        <v>4685</v>
      </c>
      <c r="G1702" t="s">
        <v>4685</v>
      </c>
      <c r="H1702" s="2">
        <v>1</v>
      </c>
      <c r="I1702" t="s">
        <v>4685</v>
      </c>
      <c r="J1702" t="str">
        <f t="shared" si="7"/>
        <v>normalweight</v>
      </c>
    </row>
    <row r="1703" spans="1:10" ht="15.75" customHeight="1">
      <c r="A1703" t="s">
        <v>1277</v>
      </c>
      <c r="B1703">
        <v>31.065000000000001</v>
      </c>
      <c r="C1703">
        <v>5.71</v>
      </c>
      <c r="E1703" t="s">
        <v>4685</v>
      </c>
      <c r="F1703" t="s">
        <v>4685</v>
      </c>
      <c r="G1703" t="s">
        <v>4685</v>
      </c>
      <c r="H1703" s="2">
        <v>0</v>
      </c>
      <c r="I1703" t="s">
        <v>4685</v>
      </c>
      <c r="J1703" t="str">
        <f t="shared" si="7"/>
        <v>normalweight</v>
      </c>
    </row>
    <row r="1704" spans="1:10" ht="15.75" customHeight="1">
      <c r="A1704" t="s">
        <v>1275</v>
      </c>
      <c r="B1704">
        <v>25.08</v>
      </c>
      <c r="C1704">
        <v>4.7699999999999996</v>
      </c>
      <c r="E1704" t="s">
        <v>4685</v>
      </c>
      <c r="F1704" t="s">
        <v>4685</v>
      </c>
      <c r="G1704" t="s">
        <v>4685</v>
      </c>
      <c r="H1704" s="2">
        <v>0</v>
      </c>
      <c r="I1704" t="s">
        <v>4685</v>
      </c>
      <c r="J1704" t="str">
        <f t="shared" si="7"/>
        <v>normalweight</v>
      </c>
    </row>
    <row r="1705" spans="1:10" ht="15.75" customHeight="1">
      <c r="A1705" t="s">
        <v>1273</v>
      </c>
      <c r="B1705">
        <v>15.2</v>
      </c>
      <c r="C1705">
        <v>7.81</v>
      </c>
      <c r="D1705" s="6" t="s">
        <v>4684</v>
      </c>
      <c r="E1705" t="s">
        <v>4686</v>
      </c>
      <c r="F1705" t="s">
        <v>4685</v>
      </c>
      <c r="G1705" t="s">
        <v>4685</v>
      </c>
      <c r="H1705" s="2">
        <v>1</v>
      </c>
      <c r="I1705" t="s">
        <v>4685</v>
      </c>
      <c r="J1705" t="str">
        <f t="shared" si="7"/>
        <v>underweight</v>
      </c>
    </row>
    <row r="1706" spans="1:10" ht="15.75" customHeight="1">
      <c r="A1706" t="s">
        <v>1271</v>
      </c>
      <c r="B1706">
        <v>22.34</v>
      </c>
      <c r="C1706">
        <v>5.19</v>
      </c>
      <c r="E1706" t="s">
        <v>4686</v>
      </c>
      <c r="F1706" t="s">
        <v>4685</v>
      </c>
      <c r="G1706" t="s">
        <v>4685</v>
      </c>
      <c r="H1706" s="2">
        <v>0</v>
      </c>
      <c r="I1706" t="s">
        <v>4685</v>
      </c>
      <c r="J1706" t="str">
        <f t="shared" si="7"/>
        <v>normalweight</v>
      </c>
    </row>
    <row r="1707" spans="1:10" ht="15.75" customHeight="1">
      <c r="A1707" t="s">
        <v>1269</v>
      </c>
      <c r="B1707">
        <v>40.15</v>
      </c>
      <c r="C1707">
        <v>5.93</v>
      </c>
      <c r="E1707" t="s">
        <v>4685</v>
      </c>
      <c r="F1707" t="s">
        <v>4685</v>
      </c>
      <c r="G1707" t="s">
        <v>4685</v>
      </c>
      <c r="H1707" s="2">
        <v>1</v>
      </c>
      <c r="I1707" t="s">
        <v>4685</v>
      </c>
      <c r="J1707" t="str">
        <f t="shared" si="7"/>
        <v>normalweight</v>
      </c>
    </row>
    <row r="1708" spans="1:10" ht="15.75" customHeight="1">
      <c r="A1708" t="s">
        <v>1267</v>
      </c>
      <c r="B1708">
        <v>37.729999999999997</v>
      </c>
      <c r="C1708">
        <v>6.29</v>
      </c>
      <c r="E1708" t="s">
        <v>4685</v>
      </c>
      <c r="F1708" t="s">
        <v>4685</v>
      </c>
      <c r="G1708" t="s">
        <v>4685</v>
      </c>
      <c r="H1708" s="2">
        <v>1</v>
      </c>
      <c r="I1708" t="s">
        <v>4685</v>
      </c>
      <c r="J1708" t="str">
        <f t="shared" si="7"/>
        <v>normalweight</v>
      </c>
    </row>
    <row r="1709" spans="1:10" ht="15.75" customHeight="1">
      <c r="A1709" t="s">
        <v>1265</v>
      </c>
      <c r="B1709">
        <v>25.35</v>
      </c>
      <c r="C1709">
        <v>4.9000000000000004</v>
      </c>
      <c r="E1709" t="s">
        <v>4685</v>
      </c>
      <c r="F1709" t="s">
        <v>4685</v>
      </c>
      <c r="G1709" t="s">
        <v>4685</v>
      </c>
      <c r="H1709" s="2">
        <v>0</v>
      </c>
      <c r="I1709" t="s">
        <v>4685</v>
      </c>
      <c r="J1709" t="str">
        <f t="shared" si="7"/>
        <v>normalweight</v>
      </c>
    </row>
    <row r="1710" spans="1:10" ht="15.75" customHeight="1">
      <c r="A1710" t="s">
        <v>1263</v>
      </c>
      <c r="B1710">
        <v>26.41</v>
      </c>
      <c r="C1710">
        <v>5.07</v>
      </c>
      <c r="E1710" t="s">
        <v>4686</v>
      </c>
      <c r="F1710" t="s">
        <v>4685</v>
      </c>
      <c r="G1710" t="s">
        <v>4685</v>
      </c>
      <c r="H1710" s="2">
        <v>1</v>
      </c>
      <c r="I1710" t="s">
        <v>4685</v>
      </c>
      <c r="J1710" t="str">
        <f t="shared" si="7"/>
        <v>normalweight</v>
      </c>
    </row>
    <row r="1711" spans="1:10" ht="15.75" customHeight="1">
      <c r="A1711" t="s">
        <v>1261</v>
      </c>
      <c r="B1711">
        <v>27.6</v>
      </c>
      <c r="C1711">
        <v>5.33</v>
      </c>
      <c r="E1711" t="s">
        <v>4685</v>
      </c>
      <c r="F1711" t="s">
        <v>4685</v>
      </c>
      <c r="G1711" t="s">
        <v>4685</v>
      </c>
      <c r="H1711" s="2">
        <v>1</v>
      </c>
      <c r="I1711" t="s">
        <v>4685</v>
      </c>
      <c r="J1711" t="str">
        <f t="shared" si="7"/>
        <v>normalweight</v>
      </c>
    </row>
    <row r="1712" spans="1:10" ht="15.75" customHeight="1">
      <c r="A1712" t="s">
        <v>1259</v>
      </c>
      <c r="B1712">
        <v>33.82</v>
      </c>
      <c r="C1712">
        <v>8.93</v>
      </c>
      <c r="D1712" s="6" t="s">
        <v>4684</v>
      </c>
      <c r="E1712" t="s">
        <v>4686</v>
      </c>
      <c r="F1712" t="s">
        <v>4685</v>
      </c>
      <c r="G1712" t="s">
        <v>4685</v>
      </c>
      <c r="H1712" s="2">
        <v>1</v>
      </c>
      <c r="I1712" t="s">
        <v>4685</v>
      </c>
      <c r="J1712" t="str">
        <f t="shared" si="7"/>
        <v>normalweight</v>
      </c>
    </row>
    <row r="1713" spans="1:10" ht="15.75" customHeight="1">
      <c r="A1713" t="s">
        <v>1257</v>
      </c>
      <c r="B1713">
        <v>32.9</v>
      </c>
      <c r="C1713">
        <v>4.3499999999999996</v>
      </c>
      <c r="E1713" t="s">
        <v>4685</v>
      </c>
      <c r="F1713" t="s">
        <v>4685</v>
      </c>
      <c r="G1713" t="s">
        <v>4685</v>
      </c>
      <c r="H1713" s="2">
        <v>0</v>
      </c>
      <c r="I1713" t="s">
        <v>4685</v>
      </c>
      <c r="J1713" t="str">
        <f t="shared" si="7"/>
        <v>normalweight</v>
      </c>
    </row>
    <row r="1714" spans="1:10" ht="15.75" customHeight="1">
      <c r="A1714" t="s">
        <v>1255</v>
      </c>
      <c r="B1714">
        <v>30.875</v>
      </c>
      <c r="C1714">
        <v>9.5399999999999991</v>
      </c>
      <c r="D1714" s="6" t="s">
        <v>4684</v>
      </c>
      <c r="E1714" t="s">
        <v>4686</v>
      </c>
      <c r="F1714" t="s">
        <v>4685</v>
      </c>
      <c r="G1714" t="s">
        <v>4685</v>
      </c>
      <c r="H1714" s="2">
        <v>1</v>
      </c>
      <c r="I1714" t="s">
        <v>4685</v>
      </c>
      <c r="J1714" t="str">
        <f t="shared" si="7"/>
        <v>normalweight</v>
      </c>
    </row>
    <row r="1715" spans="1:10" ht="15.75" customHeight="1">
      <c r="A1715" t="s">
        <v>1253</v>
      </c>
      <c r="B1715">
        <v>32.64</v>
      </c>
      <c r="C1715">
        <v>5.91</v>
      </c>
      <c r="E1715" t="s">
        <v>4685</v>
      </c>
      <c r="F1715" t="s">
        <v>4685</v>
      </c>
      <c r="G1715" t="s">
        <v>4685</v>
      </c>
      <c r="H1715" s="2">
        <v>0</v>
      </c>
      <c r="I1715" t="s">
        <v>4685</v>
      </c>
      <c r="J1715" t="str">
        <f t="shared" si="7"/>
        <v>normalweight</v>
      </c>
    </row>
    <row r="1716" spans="1:10" ht="15.75" customHeight="1">
      <c r="A1716" t="s">
        <v>1251</v>
      </c>
      <c r="B1716">
        <v>22.135000000000002</v>
      </c>
      <c r="C1716">
        <v>5.0999999999999996</v>
      </c>
      <c r="E1716" t="s">
        <v>4685</v>
      </c>
      <c r="F1716" t="s">
        <v>4685</v>
      </c>
      <c r="G1716" t="s">
        <v>4685</v>
      </c>
      <c r="H1716" s="2">
        <v>0</v>
      </c>
      <c r="I1716" t="s">
        <v>4685</v>
      </c>
      <c r="J1716" t="str">
        <f t="shared" si="7"/>
        <v>normalweight</v>
      </c>
    </row>
    <row r="1717" spans="1:10" ht="15.75" customHeight="1">
      <c r="A1717" t="s">
        <v>1249</v>
      </c>
      <c r="B1717">
        <v>16.53</v>
      </c>
      <c r="C1717">
        <v>5.08</v>
      </c>
      <c r="E1717" t="s">
        <v>4685</v>
      </c>
      <c r="F1717" t="s">
        <v>4685</v>
      </c>
      <c r="G1717" t="s">
        <v>4685</v>
      </c>
      <c r="H1717" s="2">
        <v>2</v>
      </c>
      <c r="I1717" t="s">
        <v>4685</v>
      </c>
      <c r="J1717" t="str">
        <f t="shared" si="7"/>
        <v>underweight</v>
      </c>
    </row>
    <row r="1718" spans="1:10" ht="15.75" customHeight="1">
      <c r="A1718" t="s">
        <v>1247</v>
      </c>
      <c r="B1718">
        <v>32.774999999999999</v>
      </c>
      <c r="C1718">
        <v>4.75</v>
      </c>
      <c r="E1718" t="s">
        <v>4685</v>
      </c>
      <c r="F1718" t="s">
        <v>4685</v>
      </c>
      <c r="G1718" t="s">
        <v>4685</v>
      </c>
      <c r="H1718" s="2">
        <v>0</v>
      </c>
      <c r="I1718" t="s">
        <v>4685</v>
      </c>
      <c r="J1718" t="str">
        <f t="shared" si="7"/>
        <v>normalweight</v>
      </c>
    </row>
    <row r="1719" spans="1:10" ht="15.75" customHeight="1">
      <c r="A1719" t="s">
        <v>1245</v>
      </c>
      <c r="B1719">
        <v>30.9</v>
      </c>
      <c r="C1719">
        <v>6.05</v>
      </c>
      <c r="E1719" t="s">
        <v>4685</v>
      </c>
      <c r="F1719" t="s">
        <v>4685</v>
      </c>
      <c r="G1719" t="s">
        <v>4685</v>
      </c>
      <c r="H1719" s="2">
        <v>1</v>
      </c>
      <c r="I1719" t="s">
        <v>4685</v>
      </c>
      <c r="J1719" t="str">
        <f t="shared" si="7"/>
        <v>normalweight</v>
      </c>
    </row>
    <row r="1720" spans="1:10" ht="15.75" customHeight="1">
      <c r="A1720" t="s">
        <v>1243</v>
      </c>
      <c r="B1720">
        <v>15.58</v>
      </c>
      <c r="C1720">
        <v>11.56</v>
      </c>
      <c r="D1720" s="6" t="s">
        <v>4684</v>
      </c>
      <c r="E1720" t="s">
        <v>4685</v>
      </c>
      <c r="F1720" t="s">
        <v>4685</v>
      </c>
      <c r="G1720" t="s">
        <v>4685</v>
      </c>
      <c r="H1720" s="2">
        <v>0</v>
      </c>
      <c r="I1720" t="s">
        <v>4685</v>
      </c>
      <c r="J1720" t="str">
        <f t="shared" si="7"/>
        <v>underweight</v>
      </c>
    </row>
    <row r="1721" spans="1:10" ht="15.75" customHeight="1">
      <c r="A1721" t="s">
        <v>1241</v>
      </c>
      <c r="B1721">
        <v>26.315000000000001</v>
      </c>
      <c r="C1721">
        <v>5.76</v>
      </c>
      <c r="E1721" t="s">
        <v>4685</v>
      </c>
      <c r="F1721" t="s">
        <v>4685</v>
      </c>
      <c r="G1721" t="s">
        <v>4685</v>
      </c>
      <c r="H1721" s="2">
        <v>0</v>
      </c>
      <c r="I1721" t="s">
        <v>4685</v>
      </c>
      <c r="J1721" t="str">
        <f t="shared" si="7"/>
        <v>normalweight</v>
      </c>
    </row>
    <row r="1722" spans="1:10" ht="15.75" customHeight="1">
      <c r="A1722" t="s">
        <v>1239</v>
      </c>
      <c r="B1722">
        <v>35.61</v>
      </c>
      <c r="C1722">
        <v>5.65</v>
      </c>
      <c r="E1722" t="s">
        <v>4685</v>
      </c>
      <c r="F1722" t="s">
        <v>4686</v>
      </c>
      <c r="G1722" t="s">
        <v>4685</v>
      </c>
      <c r="H1722" s="2">
        <v>1</v>
      </c>
      <c r="I1722" t="s">
        <v>4685</v>
      </c>
      <c r="J1722" t="str">
        <f t="shared" si="7"/>
        <v>normalweight</v>
      </c>
    </row>
    <row r="1723" spans="1:10" ht="15.75" customHeight="1">
      <c r="A1723" t="s">
        <v>1237</v>
      </c>
      <c r="B1723">
        <v>37.56</v>
      </c>
      <c r="C1723">
        <v>5.88</v>
      </c>
      <c r="E1723" t="s">
        <v>4685</v>
      </c>
      <c r="F1723" t="s">
        <v>4686</v>
      </c>
      <c r="G1723" t="s">
        <v>4685</v>
      </c>
      <c r="H1723" s="2">
        <v>1</v>
      </c>
      <c r="I1723" t="s">
        <v>4685</v>
      </c>
      <c r="J1723" t="str">
        <f t="shared" si="7"/>
        <v>normalweight</v>
      </c>
    </row>
    <row r="1724" spans="1:10" ht="15.75" customHeight="1">
      <c r="A1724" t="s">
        <v>1235</v>
      </c>
      <c r="B1724">
        <v>15.49</v>
      </c>
      <c r="C1724">
        <v>9.6</v>
      </c>
      <c r="D1724" s="6" t="s">
        <v>4684</v>
      </c>
      <c r="E1724" t="s">
        <v>4685</v>
      </c>
      <c r="F1724" t="s">
        <v>4685</v>
      </c>
      <c r="G1724" t="s">
        <v>4685</v>
      </c>
      <c r="H1724" s="2">
        <v>0</v>
      </c>
      <c r="I1724" t="s">
        <v>4685</v>
      </c>
      <c r="J1724" t="str">
        <f t="shared" si="7"/>
        <v>underweight</v>
      </c>
    </row>
    <row r="1725" spans="1:10" ht="15.75" customHeight="1">
      <c r="A1725" t="s">
        <v>1233</v>
      </c>
      <c r="B1725">
        <v>23.48</v>
      </c>
      <c r="C1725">
        <v>6.24</v>
      </c>
      <c r="E1725" t="s">
        <v>4685</v>
      </c>
      <c r="F1725" t="s">
        <v>4685</v>
      </c>
      <c r="G1725" t="s">
        <v>4685</v>
      </c>
      <c r="H1725" s="2">
        <v>1</v>
      </c>
      <c r="I1725" t="s">
        <v>4685</v>
      </c>
      <c r="J1725" t="str">
        <f t="shared" si="7"/>
        <v>normalweight</v>
      </c>
    </row>
    <row r="1726" spans="1:10" ht="15.75" customHeight="1">
      <c r="A1726" t="s">
        <v>1231</v>
      </c>
      <c r="B1726">
        <v>30.02</v>
      </c>
      <c r="C1726">
        <v>7.63</v>
      </c>
      <c r="D1726" s="6" t="s">
        <v>4684</v>
      </c>
      <c r="E1726" t="s">
        <v>4686</v>
      </c>
      <c r="F1726" t="s">
        <v>4685</v>
      </c>
      <c r="G1726" t="s">
        <v>4685</v>
      </c>
      <c r="H1726" s="2">
        <v>1</v>
      </c>
      <c r="I1726" t="s">
        <v>4685</v>
      </c>
      <c r="J1726" t="str">
        <f t="shared" si="7"/>
        <v>normalweight</v>
      </c>
    </row>
    <row r="1727" spans="1:10" ht="15.75" customHeight="1">
      <c r="A1727" t="s">
        <v>1229</v>
      </c>
      <c r="B1727">
        <v>26.885000000000002</v>
      </c>
      <c r="C1727">
        <v>8.66</v>
      </c>
      <c r="D1727" s="6" t="s">
        <v>4684</v>
      </c>
      <c r="E1727" t="s">
        <v>4686</v>
      </c>
      <c r="F1727" t="s">
        <v>4685</v>
      </c>
      <c r="G1727" t="s">
        <v>4685</v>
      </c>
      <c r="H1727" s="2">
        <v>1</v>
      </c>
      <c r="I1727" t="s">
        <v>4685</v>
      </c>
      <c r="J1727" t="str">
        <f t="shared" si="7"/>
        <v>normalweight</v>
      </c>
    </row>
    <row r="1728" spans="1:10" ht="15.75" customHeight="1">
      <c r="A1728" t="s">
        <v>1227</v>
      </c>
      <c r="B1728">
        <v>25.84</v>
      </c>
      <c r="C1728">
        <v>8.5500000000000007</v>
      </c>
      <c r="D1728" s="6" t="s">
        <v>4684</v>
      </c>
      <c r="E1728" t="s">
        <v>4686</v>
      </c>
      <c r="F1728" t="s">
        <v>4685</v>
      </c>
      <c r="G1728" t="s">
        <v>4685</v>
      </c>
      <c r="H1728" s="2">
        <v>1</v>
      </c>
      <c r="I1728" t="s">
        <v>4685</v>
      </c>
      <c r="J1728" t="str">
        <f t="shared" si="7"/>
        <v>normalweight</v>
      </c>
    </row>
    <row r="1729" spans="1:10" ht="15.75" customHeight="1">
      <c r="A1729" t="s">
        <v>1225</v>
      </c>
      <c r="B1729">
        <v>27.454999999999998</v>
      </c>
      <c r="C1729">
        <v>4.54</v>
      </c>
      <c r="E1729" t="s">
        <v>4685</v>
      </c>
      <c r="F1729" t="s">
        <v>4685</v>
      </c>
      <c r="G1729" t="s">
        <v>4685</v>
      </c>
      <c r="H1729" s="2">
        <v>0</v>
      </c>
      <c r="I1729" t="s">
        <v>4685</v>
      </c>
      <c r="J1729" t="str">
        <f t="shared" si="7"/>
        <v>normalweight</v>
      </c>
    </row>
    <row r="1730" spans="1:10" ht="15.75" customHeight="1">
      <c r="A1730" t="s">
        <v>1223</v>
      </c>
      <c r="B1730">
        <v>24.605</v>
      </c>
      <c r="C1730">
        <v>5.7</v>
      </c>
      <c r="E1730" t="s">
        <v>4685</v>
      </c>
      <c r="F1730" t="s">
        <v>4685</v>
      </c>
      <c r="G1730" t="s">
        <v>4685</v>
      </c>
      <c r="H1730" s="2">
        <v>0</v>
      </c>
      <c r="I1730" t="s">
        <v>4685</v>
      </c>
      <c r="J1730" t="str">
        <f t="shared" si="7"/>
        <v>normalweight</v>
      </c>
    </row>
    <row r="1731" spans="1:10" ht="15.75" customHeight="1">
      <c r="A1731" t="s">
        <v>1221</v>
      </c>
      <c r="B1731">
        <v>30.8</v>
      </c>
      <c r="C1731">
        <v>5.07</v>
      </c>
      <c r="E1731" t="s">
        <v>4685</v>
      </c>
      <c r="F1731" t="s">
        <v>4685</v>
      </c>
      <c r="G1731" t="s">
        <v>4685</v>
      </c>
      <c r="H1731" s="2">
        <v>0</v>
      </c>
      <c r="I1731" t="s">
        <v>4685</v>
      </c>
      <c r="J1731" t="str">
        <f t="shared" si="7"/>
        <v>normalweight</v>
      </c>
    </row>
    <row r="1732" spans="1:10" ht="15.75" customHeight="1">
      <c r="A1732" t="s">
        <v>1219</v>
      </c>
      <c r="B1732">
        <v>34.799999999999997</v>
      </c>
      <c r="C1732">
        <v>4.38</v>
      </c>
      <c r="E1732" t="s">
        <v>4685</v>
      </c>
      <c r="F1732" t="s">
        <v>4685</v>
      </c>
      <c r="G1732" t="s">
        <v>4685</v>
      </c>
      <c r="H1732" s="2">
        <v>1</v>
      </c>
      <c r="I1732" t="s">
        <v>4685</v>
      </c>
      <c r="J1732" t="str">
        <f t="shared" si="7"/>
        <v>normalweight</v>
      </c>
    </row>
    <row r="1733" spans="1:10" ht="15.75" customHeight="1">
      <c r="A1733" t="s">
        <v>1217</v>
      </c>
      <c r="B1733">
        <v>34.21</v>
      </c>
      <c r="C1733">
        <v>4.54</v>
      </c>
      <c r="E1733" t="s">
        <v>4685</v>
      </c>
      <c r="F1733" t="s">
        <v>4685</v>
      </c>
      <c r="G1733" t="s">
        <v>4685</v>
      </c>
      <c r="H1733" s="2">
        <v>1</v>
      </c>
      <c r="I1733" t="s">
        <v>4685</v>
      </c>
      <c r="J1733" t="str">
        <f t="shared" si="7"/>
        <v>normalweight</v>
      </c>
    </row>
    <row r="1734" spans="1:10" ht="15.75" customHeight="1">
      <c r="A1734" t="s">
        <v>1215</v>
      </c>
      <c r="B1734">
        <v>31</v>
      </c>
      <c r="C1734">
        <v>5.38</v>
      </c>
      <c r="E1734" t="s">
        <v>4685</v>
      </c>
      <c r="F1734" t="s">
        <v>4685</v>
      </c>
      <c r="G1734" t="s">
        <v>4685</v>
      </c>
      <c r="H1734" s="2">
        <v>1</v>
      </c>
      <c r="I1734" t="s">
        <v>4685</v>
      </c>
      <c r="J1734" t="str">
        <f t="shared" si="7"/>
        <v>normalweight</v>
      </c>
    </row>
    <row r="1735" spans="1:10" ht="15.75" customHeight="1">
      <c r="A1735" t="s">
        <v>1213</v>
      </c>
      <c r="B1735">
        <v>26.125</v>
      </c>
      <c r="C1735">
        <v>5.55</v>
      </c>
      <c r="E1735" t="s">
        <v>4685</v>
      </c>
      <c r="F1735" t="s">
        <v>4685</v>
      </c>
      <c r="G1735" t="s">
        <v>4685</v>
      </c>
      <c r="H1735" s="2">
        <v>1</v>
      </c>
      <c r="I1735" t="s">
        <v>4685</v>
      </c>
      <c r="J1735" t="str">
        <f t="shared" si="7"/>
        <v>normalweight</v>
      </c>
    </row>
    <row r="1736" spans="1:10" ht="15.75" customHeight="1">
      <c r="A1736" t="s">
        <v>1211</v>
      </c>
      <c r="B1736">
        <v>30.13</v>
      </c>
      <c r="C1736">
        <v>4.03</v>
      </c>
      <c r="E1736" t="s">
        <v>4686</v>
      </c>
      <c r="F1736" t="s">
        <v>4685</v>
      </c>
      <c r="G1736" t="s">
        <v>4685</v>
      </c>
      <c r="H1736" s="2">
        <v>1</v>
      </c>
      <c r="I1736" t="s">
        <v>4685</v>
      </c>
      <c r="J1736" t="str">
        <f t="shared" si="7"/>
        <v>normalweight</v>
      </c>
    </row>
    <row r="1737" spans="1:10" ht="15.75" customHeight="1">
      <c r="A1737" t="s">
        <v>1209</v>
      </c>
      <c r="B1737">
        <v>34.19</v>
      </c>
      <c r="C1737">
        <v>4.1900000000000004</v>
      </c>
      <c r="E1737" t="s">
        <v>4685</v>
      </c>
      <c r="F1737" t="s">
        <v>4685</v>
      </c>
      <c r="G1737" t="s">
        <v>4685</v>
      </c>
      <c r="H1737" s="2">
        <v>0</v>
      </c>
      <c r="I1737" t="s">
        <v>4685</v>
      </c>
      <c r="J1737" t="str">
        <f t="shared" si="7"/>
        <v>normalweight</v>
      </c>
    </row>
    <row r="1738" spans="1:10" ht="15.75" customHeight="1">
      <c r="A1738" t="s">
        <v>1207</v>
      </c>
      <c r="B1738">
        <v>22.515000000000001</v>
      </c>
      <c r="C1738">
        <v>4.37</v>
      </c>
      <c r="E1738" t="s">
        <v>4685</v>
      </c>
      <c r="F1738" t="s">
        <v>4685</v>
      </c>
      <c r="G1738" t="s">
        <v>4688</v>
      </c>
      <c r="H1738" s="2">
        <v>1</v>
      </c>
      <c r="I1738" t="s">
        <v>4685</v>
      </c>
      <c r="J1738" t="str">
        <f t="shared" si="7"/>
        <v>normalweight</v>
      </c>
    </row>
    <row r="1739" spans="1:10" ht="15.75" customHeight="1">
      <c r="A1739" t="s">
        <v>1205</v>
      </c>
      <c r="B1739">
        <v>18.239999999999998</v>
      </c>
      <c r="C1739">
        <v>5.31</v>
      </c>
      <c r="E1739" t="s">
        <v>4686</v>
      </c>
      <c r="F1739" t="s">
        <v>4685</v>
      </c>
      <c r="G1739" t="s">
        <v>4688</v>
      </c>
      <c r="H1739" s="2">
        <v>1</v>
      </c>
      <c r="I1739" t="s">
        <v>4685</v>
      </c>
      <c r="J1739" t="str">
        <f t="shared" si="7"/>
        <v>underweight</v>
      </c>
    </row>
    <row r="1740" spans="1:10" ht="15.75" customHeight="1">
      <c r="A1740" t="s">
        <v>1203</v>
      </c>
      <c r="B1740">
        <v>37.28</v>
      </c>
      <c r="C1740">
        <v>4.66</v>
      </c>
      <c r="E1740" t="s">
        <v>4685</v>
      </c>
      <c r="F1740" t="s">
        <v>4686</v>
      </c>
      <c r="G1740" t="s">
        <v>4685</v>
      </c>
      <c r="H1740" s="2">
        <v>1</v>
      </c>
      <c r="I1740" t="s">
        <v>4685</v>
      </c>
      <c r="J1740" t="str">
        <f t="shared" si="7"/>
        <v>normalweight</v>
      </c>
    </row>
    <row r="1741" spans="1:10" ht="15.75" customHeight="1">
      <c r="A1741" t="s">
        <v>1201</v>
      </c>
      <c r="B1741">
        <v>18.2</v>
      </c>
      <c r="C1741">
        <v>6.19</v>
      </c>
      <c r="E1741" t="s">
        <v>4685</v>
      </c>
      <c r="F1741" t="s">
        <v>4685</v>
      </c>
      <c r="G1741" t="s">
        <v>4688</v>
      </c>
      <c r="H1741" s="2">
        <v>1</v>
      </c>
      <c r="I1741" t="s">
        <v>4685</v>
      </c>
      <c r="J1741" t="str">
        <f t="shared" si="7"/>
        <v>underweight</v>
      </c>
    </row>
    <row r="1742" spans="1:10" ht="15.75" customHeight="1">
      <c r="A1742" t="s">
        <v>1199</v>
      </c>
      <c r="B1742">
        <v>20.53</v>
      </c>
      <c r="C1742">
        <v>4.8600000000000003</v>
      </c>
      <c r="E1742" t="s">
        <v>4685</v>
      </c>
      <c r="F1742" t="s">
        <v>4685</v>
      </c>
      <c r="G1742" t="s">
        <v>4685</v>
      </c>
      <c r="H1742" s="2">
        <v>1</v>
      </c>
      <c r="I1742" t="s">
        <v>4685</v>
      </c>
      <c r="J1742" t="str">
        <f t="shared" si="7"/>
        <v>normalweight</v>
      </c>
    </row>
    <row r="1743" spans="1:10" ht="15.75" customHeight="1">
      <c r="A1743" t="s">
        <v>1197</v>
      </c>
      <c r="B1743">
        <v>23.79</v>
      </c>
      <c r="C1743">
        <v>4.74</v>
      </c>
      <c r="E1743" t="s">
        <v>4685</v>
      </c>
      <c r="F1743" t="s">
        <v>4685</v>
      </c>
      <c r="G1743" t="s">
        <v>4685</v>
      </c>
      <c r="H1743" s="2">
        <v>0</v>
      </c>
      <c r="I1743" t="s">
        <v>4685</v>
      </c>
      <c r="J1743" t="str">
        <f t="shared" si="7"/>
        <v>normalweight</v>
      </c>
    </row>
    <row r="1744" spans="1:10" ht="15.75" customHeight="1">
      <c r="A1744" t="s">
        <v>1195</v>
      </c>
      <c r="B1744">
        <v>29.8</v>
      </c>
      <c r="C1744">
        <v>6.03</v>
      </c>
      <c r="E1744" t="s">
        <v>4685</v>
      </c>
      <c r="F1744" t="s">
        <v>4685</v>
      </c>
      <c r="G1744" t="s">
        <v>4685</v>
      </c>
      <c r="H1744" s="2">
        <v>0</v>
      </c>
      <c r="I1744" t="s">
        <v>4685</v>
      </c>
      <c r="J1744" t="str">
        <f t="shared" si="7"/>
        <v>normalweight</v>
      </c>
    </row>
    <row r="1745" spans="1:10" ht="15.75" customHeight="1">
      <c r="A1745" t="s">
        <v>1193</v>
      </c>
      <c r="B1745">
        <v>31.54</v>
      </c>
      <c r="C1745">
        <v>4.71</v>
      </c>
      <c r="E1745" t="s">
        <v>4685</v>
      </c>
      <c r="F1745" t="s">
        <v>4685</v>
      </c>
      <c r="G1745" t="s">
        <v>4685</v>
      </c>
      <c r="H1745" s="2">
        <v>0</v>
      </c>
      <c r="I1745" t="s">
        <v>4685</v>
      </c>
      <c r="J1745" t="str">
        <f t="shared" si="7"/>
        <v>normalweight</v>
      </c>
    </row>
    <row r="1746" spans="1:10" ht="15.75" customHeight="1">
      <c r="A1746" t="s">
        <v>1191</v>
      </c>
      <c r="B1746">
        <v>20.82</v>
      </c>
      <c r="C1746">
        <v>5.55</v>
      </c>
      <c r="E1746" t="s">
        <v>4685</v>
      </c>
      <c r="F1746" t="s">
        <v>4685</v>
      </c>
      <c r="G1746" t="s">
        <v>4685</v>
      </c>
      <c r="H1746" s="2">
        <v>1</v>
      </c>
      <c r="I1746" t="s">
        <v>4685</v>
      </c>
      <c r="J1746" t="str">
        <f t="shared" si="7"/>
        <v>normalweight</v>
      </c>
    </row>
    <row r="1747" spans="1:10" ht="15.75" customHeight="1">
      <c r="A1747" t="s">
        <v>1189</v>
      </c>
      <c r="B1747">
        <v>38.83</v>
      </c>
      <c r="C1747">
        <v>4.78</v>
      </c>
      <c r="E1747" t="s">
        <v>4685</v>
      </c>
      <c r="F1747" t="s">
        <v>4685</v>
      </c>
      <c r="G1747" t="s">
        <v>4688</v>
      </c>
      <c r="H1747" s="2">
        <v>1</v>
      </c>
      <c r="I1747" t="s">
        <v>4685</v>
      </c>
      <c r="J1747" t="str">
        <f t="shared" si="7"/>
        <v>normalweight</v>
      </c>
    </row>
    <row r="1748" spans="1:10" ht="15.75" customHeight="1">
      <c r="A1748" t="s">
        <v>1187</v>
      </c>
      <c r="B1748">
        <v>23.44</v>
      </c>
      <c r="C1748">
        <v>4.6500000000000004</v>
      </c>
      <c r="E1748" t="s">
        <v>4686</v>
      </c>
      <c r="F1748" t="s">
        <v>4685</v>
      </c>
      <c r="G1748" t="s">
        <v>4685</v>
      </c>
      <c r="H1748" s="2">
        <v>1</v>
      </c>
      <c r="I1748" t="s">
        <v>4685</v>
      </c>
      <c r="J1748" t="str">
        <f t="shared" si="7"/>
        <v>normalweight</v>
      </c>
    </row>
    <row r="1749" spans="1:10" ht="15.75" customHeight="1">
      <c r="A1749" t="s">
        <v>1185</v>
      </c>
      <c r="B1749">
        <v>24.13</v>
      </c>
      <c r="C1749">
        <v>5.2</v>
      </c>
      <c r="E1749" t="s">
        <v>4685</v>
      </c>
      <c r="F1749" t="s">
        <v>4685</v>
      </c>
      <c r="G1749" t="s">
        <v>4685</v>
      </c>
      <c r="H1749" s="2">
        <v>1</v>
      </c>
      <c r="I1749" t="s">
        <v>4685</v>
      </c>
      <c r="J1749" t="str">
        <f t="shared" si="7"/>
        <v>normalweight</v>
      </c>
    </row>
    <row r="1750" spans="1:10" ht="15.75" customHeight="1">
      <c r="A1750" t="s">
        <v>1183</v>
      </c>
      <c r="B1750">
        <v>42.13</v>
      </c>
      <c r="C1750">
        <v>4.54</v>
      </c>
      <c r="E1750" t="s">
        <v>4686</v>
      </c>
      <c r="F1750" t="s">
        <v>4685</v>
      </c>
      <c r="G1750" t="s">
        <v>4685</v>
      </c>
      <c r="H1750" s="2">
        <v>1</v>
      </c>
      <c r="I1750" t="s">
        <v>4685</v>
      </c>
      <c r="J1750" t="str">
        <f t="shared" si="7"/>
        <v>normalweight</v>
      </c>
    </row>
    <row r="1751" spans="1:10" ht="15.75" customHeight="1">
      <c r="A1751" t="s">
        <v>1181</v>
      </c>
      <c r="B1751">
        <v>17.86</v>
      </c>
      <c r="C1751">
        <v>4.1100000000000003</v>
      </c>
      <c r="E1751" t="s">
        <v>4685</v>
      </c>
      <c r="F1751" t="s">
        <v>4685</v>
      </c>
      <c r="G1751" t="s">
        <v>4685</v>
      </c>
      <c r="H1751" s="2">
        <v>1</v>
      </c>
      <c r="I1751" t="s">
        <v>4685</v>
      </c>
      <c r="J1751" t="str">
        <f t="shared" si="7"/>
        <v>underweight</v>
      </c>
    </row>
    <row r="1752" spans="1:10" ht="15.75" customHeight="1">
      <c r="A1752" t="s">
        <v>1179</v>
      </c>
      <c r="B1752">
        <v>32.78</v>
      </c>
      <c r="C1752">
        <v>4.63</v>
      </c>
      <c r="E1752" t="s">
        <v>4685</v>
      </c>
      <c r="F1752" t="s">
        <v>4685</v>
      </c>
      <c r="G1752" t="s">
        <v>4685</v>
      </c>
      <c r="H1752" s="2">
        <v>0</v>
      </c>
      <c r="I1752" t="s">
        <v>4685</v>
      </c>
      <c r="J1752" t="str">
        <f t="shared" si="7"/>
        <v>normalweight</v>
      </c>
    </row>
    <row r="1753" spans="1:10" ht="15.75" customHeight="1">
      <c r="A1753" t="s">
        <v>1177</v>
      </c>
      <c r="B1753">
        <v>23.9</v>
      </c>
      <c r="C1753">
        <v>6.06</v>
      </c>
      <c r="E1753" t="s">
        <v>4686</v>
      </c>
      <c r="F1753" t="s">
        <v>4685</v>
      </c>
      <c r="G1753" t="s">
        <v>4688</v>
      </c>
      <c r="H1753" s="2">
        <v>1</v>
      </c>
      <c r="I1753" t="s">
        <v>4685</v>
      </c>
      <c r="J1753" t="str">
        <f t="shared" si="7"/>
        <v>normalweight</v>
      </c>
    </row>
    <row r="1754" spans="1:10" ht="15.75" customHeight="1">
      <c r="A1754" t="s">
        <v>1175</v>
      </c>
      <c r="B1754">
        <v>15.47</v>
      </c>
      <c r="C1754">
        <v>8.43</v>
      </c>
      <c r="D1754" s="6" t="s">
        <v>4684</v>
      </c>
      <c r="E1754" t="s">
        <v>4685</v>
      </c>
      <c r="F1754" t="s">
        <v>4685</v>
      </c>
      <c r="G1754" t="s">
        <v>4685</v>
      </c>
      <c r="H1754" s="2">
        <v>0</v>
      </c>
      <c r="I1754" t="s">
        <v>4685</v>
      </c>
      <c r="J1754" t="str">
        <f t="shared" si="7"/>
        <v>underweight</v>
      </c>
    </row>
    <row r="1755" spans="1:10" ht="15.75" customHeight="1">
      <c r="A1755" t="s">
        <v>1173</v>
      </c>
      <c r="B1755">
        <v>28.54</v>
      </c>
      <c r="C1755">
        <v>5.51</v>
      </c>
      <c r="E1755" t="s">
        <v>4685</v>
      </c>
      <c r="F1755" t="s">
        <v>4685</v>
      </c>
      <c r="G1755" t="s">
        <v>4688</v>
      </c>
      <c r="H1755" s="2">
        <v>1</v>
      </c>
      <c r="I1755" t="s">
        <v>4685</v>
      </c>
      <c r="J1755" t="str">
        <f t="shared" si="7"/>
        <v>normalweight</v>
      </c>
    </row>
    <row r="1756" spans="1:10" ht="15.75" customHeight="1">
      <c r="A1756" t="s">
        <v>1171</v>
      </c>
      <c r="B1756">
        <v>18.54</v>
      </c>
      <c r="C1756">
        <v>4.95</v>
      </c>
      <c r="E1756" t="s">
        <v>4685</v>
      </c>
      <c r="F1756" t="s">
        <v>4685</v>
      </c>
      <c r="G1756" t="s">
        <v>4685</v>
      </c>
      <c r="H1756" s="2">
        <v>0</v>
      </c>
      <c r="I1756" t="s">
        <v>4685</v>
      </c>
      <c r="J1756" t="str">
        <f t="shared" si="7"/>
        <v>normalweight</v>
      </c>
    </row>
    <row r="1757" spans="1:10" ht="15.75" customHeight="1">
      <c r="A1757" t="s">
        <v>1169</v>
      </c>
      <c r="B1757">
        <v>32.18</v>
      </c>
      <c r="C1757">
        <v>6.44</v>
      </c>
      <c r="E1757" t="s">
        <v>4686</v>
      </c>
      <c r="F1757" t="s">
        <v>4685</v>
      </c>
      <c r="G1757" t="s">
        <v>4688</v>
      </c>
      <c r="H1757" s="2">
        <v>1</v>
      </c>
      <c r="I1757" t="s">
        <v>4685</v>
      </c>
      <c r="J1757" t="str">
        <f t="shared" si="7"/>
        <v>normalweight</v>
      </c>
    </row>
    <row r="1758" spans="1:10" ht="15.75" customHeight="1">
      <c r="A1758" t="s">
        <v>1167</v>
      </c>
      <c r="B1758">
        <v>37.380000000000003</v>
      </c>
      <c r="C1758">
        <v>6.05</v>
      </c>
      <c r="E1758" t="s">
        <v>4686</v>
      </c>
      <c r="F1758" t="s">
        <v>4685</v>
      </c>
      <c r="G1758" t="s">
        <v>4685</v>
      </c>
      <c r="H1758" s="2">
        <v>0</v>
      </c>
      <c r="I1758" t="s">
        <v>4685</v>
      </c>
      <c r="J1758" t="str">
        <f t="shared" si="7"/>
        <v>normalweight</v>
      </c>
    </row>
    <row r="1759" spans="1:10" ht="15.75" customHeight="1">
      <c r="A1759" t="s">
        <v>1165</v>
      </c>
      <c r="B1759">
        <v>31.12</v>
      </c>
      <c r="C1759">
        <v>4.76</v>
      </c>
      <c r="E1759" t="s">
        <v>4686</v>
      </c>
      <c r="F1759" t="s">
        <v>4685</v>
      </c>
      <c r="G1759" t="s">
        <v>4688</v>
      </c>
      <c r="H1759" s="2">
        <v>1</v>
      </c>
      <c r="I1759" t="s">
        <v>4685</v>
      </c>
      <c r="J1759" t="str">
        <f t="shared" si="7"/>
        <v>normalweight</v>
      </c>
    </row>
    <row r="1760" spans="1:10" ht="15.75" customHeight="1">
      <c r="A1760" t="s">
        <v>1163</v>
      </c>
      <c r="B1760">
        <v>22.01</v>
      </c>
      <c r="C1760">
        <v>6.72</v>
      </c>
      <c r="D1760" s="6" t="s">
        <v>4684</v>
      </c>
      <c r="E1760" t="s">
        <v>4686</v>
      </c>
      <c r="F1760" t="s">
        <v>4685</v>
      </c>
      <c r="G1760" t="s">
        <v>4685</v>
      </c>
      <c r="H1760" s="2">
        <v>1</v>
      </c>
      <c r="I1760" t="s">
        <v>4685</v>
      </c>
      <c r="J1760" t="str">
        <f t="shared" si="7"/>
        <v>normalweight</v>
      </c>
    </row>
    <row r="1761" spans="1:10" ht="15.75" customHeight="1">
      <c r="A1761" t="s">
        <v>1161</v>
      </c>
      <c r="B1761">
        <v>27.645</v>
      </c>
      <c r="C1761">
        <v>5.7</v>
      </c>
      <c r="E1761" t="s">
        <v>4685</v>
      </c>
      <c r="F1761" t="s">
        <v>4685</v>
      </c>
      <c r="G1761" t="s">
        <v>4685</v>
      </c>
      <c r="H1761" s="2">
        <v>0</v>
      </c>
      <c r="I1761" t="s">
        <v>4685</v>
      </c>
      <c r="J1761" t="str">
        <f t="shared" si="7"/>
        <v>normalweight</v>
      </c>
    </row>
    <row r="1762" spans="1:10" ht="15.75" customHeight="1">
      <c r="A1762" t="s">
        <v>1159</v>
      </c>
      <c r="B1762">
        <v>29.64</v>
      </c>
      <c r="C1762">
        <v>5.31</v>
      </c>
      <c r="E1762" t="s">
        <v>4686</v>
      </c>
      <c r="F1762" t="s">
        <v>4685</v>
      </c>
      <c r="G1762" t="s">
        <v>4685</v>
      </c>
      <c r="H1762" s="2">
        <v>0</v>
      </c>
      <c r="I1762" t="s">
        <v>4685</v>
      </c>
      <c r="J1762" t="str">
        <f t="shared" si="7"/>
        <v>normalweight</v>
      </c>
    </row>
    <row r="1763" spans="1:10" ht="15.75" customHeight="1">
      <c r="A1763" t="s">
        <v>1157</v>
      </c>
      <c r="B1763">
        <v>33.700000000000003</v>
      </c>
      <c r="C1763">
        <v>4.32</v>
      </c>
      <c r="E1763" t="s">
        <v>4686</v>
      </c>
      <c r="F1763" t="s">
        <v>4685</v>
      </c>
      <c r="G1763" t="s">
        <v>4685</v>
      </c>
      <c r="H1763" s="2">
        <v>1</v>
      </c>
      <c r="I1763" t="s">
        <v>4685</v>
      </c>
      <c r="J1763" t="str">
        <f t="shared" si="7"/>
        <v>normalweight</v>
      </c>
    </row>
    <row r="1764" spans="1:10" ht="15.75" customHeight="1">
      <c r="A1764" t="s">
        <v>1155</v>
      </c>
      <c r="B1764">
        <v>27.5</v>
      </c>
      <c r="C1764">
        <v>4.2300000000000004</v>
      </c>
      <c r="E1764" t="s">
        <v>4686</v>
      </c>
      <c r="F1764" t="s">
        <v>4685</v>
      </c>
      <c r="G1764" t="s">
        <v>4685</v>
      </c>
      <c r="H1764" s="2">
        <v>1</v>
      </c>
      <c r="I1764" t="s">
        <v>4685</v>
      </c>
      <c r="J1764" t="str">
        <f t="shared" si="7"/>
        <v>normalweight</v>
      </c>
    </row>
    <row r="1765" spans="1:10" ht="15.75" customHeight="1">
      <c r="A1765" t="s">
        <v>1153</v>
      </c>
      <c r="B1765">
        <v>16.12</v>
      </c>
      <c r="C1765">
        <v>6.09</v>
      </c>
      <c r="E1765" t="s">
        <v>4685</v>
      </c>
      <c r="F1765" t="s">
        <v>4685</v>
      </c>
      <c r="G1765" t="s">
        <v>4685</v>
      </c>
      <c r="H1765" s="2">
        <v>0</v>
      </c>
      <c r="I1765" t="s">
        <v>4685</v>
      </c>
      <c r="J1765" t="str">
        <f t="shared" si="7"/>
        <v>underweight</v>
      </c>
    </row>
    <row r="1766" spans="1:10" ht="15.75" customHeight="1">
      <c r="A1766" t="s">
        <v>1151</v>
      </c>
      <c r="B1766">
        <v>26.73</v>
      </c>
      <c r="C1766">
        <v>4.74</v>
      </c>
      <c r="E1766" t="s">
        <v>4686</v>
      </c>
      <c r="F1766" t="s">
        <v>4685</v>
      </c>
      <c r="G1766" t="s">
        <v>4685</v>
      </c>
      <c r="H1766" s="2">
        <v>1</v>
      </c>
      <c r="I1766" t="s">
        <v>4685</v>
      </c>
      <c r="J1766" t="str">
        <f t="shared" si="7"/>
        <v>normalweight</v>
      </c>
    </row>
    <row r="1767" spans="1:10" ht="15.75" customHeight="1">
      <c r="A1767" t="s">
        <v>1149</v>
      </c>
      <c r="B1767">
        <v>37.25</v>
      </c>
      <c r="C1767">
        <v>6.23</v>
      </c>
      <c r="E1767" t="s">
        <v>4686</v>
      </c>
      <c r="F1767" t="s">
        <v>4685</v>
      </c>
      <c r="G1767" t="s">
        <v>4685</v>
      </c>
      <c r="H1767" s="2">
        <v>0</v>
      </c>
      <c r="I1767" t="s">
        <v>4685</v>
      </c>
      <c r="J1767" t="str">
        <f t="shared" si="7"/>
        <v>normalweight</v>
      </c>
    </row>
    <row r="1768" spans="1:10" ht="15.75" customHeight="1">
      <c r="A1768" t="s">
        <v>1147</v>
      </c>
      <c r="B1768">
        <v>23.56</v>
      </c>
      <c r="C1768">
        <v>5.45</v>
      </c>
      <c r="E1768" t="s">
        <v>4686</v>
      </c>
      <c r="F1768" t="s">
        <v>4685</v>
      </c>
      <c r="G1768" t="s">
        <v>4685</v>
      </c>
      <c r="H1768" s="2">
        <v>1</v>
      </c>
      <c r="I1768" t="s">
        <v>4685</v>
      </c>
      <c r="J1768" t="str">
        <f t="shared" si="7"/>
        <v>normalweight</v>
      </c>
    </row>
    <row r="1769" spans="1:10" ht="15.75" customHeight="1">
      <c r="A1769" t="s">
        <v>1145</v>
      </c>
      <c r="B1769">
        <v>15.84</v>
      </c>
      <c r="C1769">
        <v>10.34</v>
      </c>
      <c r="D1769" s="6" t="s">
        <v>4684</v>
      </c>
      <c r="E1769" t="s">
        <v>4685</v>
      </c>
      <c r="F1769" t="s">
        <v>4685</v>
      </c>
      <c r="G1769" t="s">
        <v>4685</v>
      </c>
      <c r="H1769" s="2">
        <v>2</v>
      </c>
      <c r="I1769" t="s">
        <v>4685</v>
      </c>
      <c r="J1769" t="str">
        <f t="shared" si="7"/>
        <v>underweight</v>
      </c>
    </row>
    <row r="1770" spans="1:10" ht="15.75" customHeight="1">
      <c r="A1770" t="s">
        <v>1143</v>
      </c>
      <c r="B1770">
        <v>36.630000000000003</v>
      </c>
      <c r="C1770">
        <v>5.15</v>
      </c>
      <c r="E1770" t="s">
        <v>4685</v>
      </c>
      <c r="F1770" t="s">
        <v>4685</v>
      </c>
      <c r="G1770" t="s">
        <v>4685</v>
      </c>
      <c r="H1770" s="2">
        <v>0</v>
      </c>
      <c r="I1770" t="s">
        <v>4685</v>
      </c>
      <c r="J1770" t="str">
        <f t="shared" si="7"/>
        <v>normalweight</v>
      </c>
    </row>
    <row r="1771" spans="1:10" ht="15.75" customHeight="1">
      <c r="A1771" t="s">
        <v>1141</v>
      </c>
      <c r="B1771">
        <v>16.47</v>
      </c>
      <c r="C1771">
        <v>11.72</v>
      </c>
      <c r="D1771" s="6" t="s">
        <v>4684</v>
      </c>
      <c r="E1771" t="s">
        <v>4685</v>
      </c>
      <c r="F1771" t="s">
        <v>4685</v>
      </c>
      <c r="G1771" t="s">
        <v>4685</v>
      </c>
      <c r="H1771" s="2">
        <v>0</v>
      </c>
      <c r="I1771" t="s">
        <v>4685</v>
      </c>
      <c r="J1771" t="str">
        <f t="shared" si="7"/>
        <v>underweight</v>
      </c>
    </row>
    <row r="1772" spans="1:10" ht="15.75" customHeight="1">
      <c r="A1772" t="s">
        <v>1139</v>
      </c>
      <c r="B1772">
        <v>25.8</v>
      </c>
      <c r="C1772">
        <v>5.29</v>
      </c>
      <c r="E1772" t="s">
        <v>4685</v>
      </c>
      <c r="F1772" t="s">
        <v>4685</v>
      </c>
      <c r="G1772" t="s">
        <v>4685</v>
      </c>
      <c r="H1772" s="2">
        <v>0</v>
      </c>
      <c r="I1772" t="s">
        <v>4685</v>
      </c>
      <c r="J1772" t="str">
        <f t="shared" si="7"/>
        <v>normalweight</v>
      </c>
    </row>
    <row r="1773" spans="1:10" ht="15.75" customHeight="1">
      <c r="A1773" t="s">
        <v>1137</v>
      </c>
      <c r="B1773">
        <v>23.6</v>
      </c>
      <c r="C1773">
        <v>4.33</v>
      </c>
      <c r="E1773" t="s">
        <v>4685</v>
      </c>
      <c r="F1773" t="s">
        <v>4685</v>
      </c>
      <c r="G1773" t="s">
        <v>4685</v>
      </c>
      <c r="H1773" s="2">
        <v>0</v>
      </c>
      <c r="I1773" t="s">
        <v>4685</v>
      </c>
      <c r="J1773" t="str">
        <f t="shared" si="7"/>
        <v>normalweight</v>
      </c>
    </row>
    <row r="1774" spans="1:10" ht="15.75" customHeight="1">
      <c r="A1774" t="s">
        <v>1135</v>
      </c>
      <c r="B1774">
        <v>32.11</v>
      </c>
      <c r="C1774">
        <v>6.24</v>
      </c>
      <c r="E1774" t="s">
        <v>4685</v>
      </c>
      <c r="F1774" t="s">
        <v>4685</v>
      </c>
      <c r="G1774" t="s">
        <v>4688</v>
      </c>
      <c r="H1774" s="2">
        <v>1</v>
      </c>
      <c r="I1774" t="s">
        <v>4685</v>
      </c>
      <c r="J1774" t="str">
        <f t="shared" si="7"/>
        <v>normalweight</v>
      </c>
    </row>
    <row r="1775" spans="1:10" ht="15.75" customHeight="1">
      <c r="A1775" t="s">
        <v>1133</v>
      </c>
      <c r="B1775">
        <v>30.114999999999998</v>
      </c>
      <c r="C1775">
        <v>11.61</v>
      </c>
      <c r="D1775" s="6" t="s">
        <v>4684</v>
      </c>
      <c r="E1775" t="s">
        <v>4685</v>
      </c>
      <c r="F1775" t="s">
        <v>4685</v>
      </c>
      <c r="G1775" t="s">
        <v>4685</v>
      </c>
      <c r="H1775" s="2">
        <v>0</v>
      </c>
      <c r="I1775" t="s">
        <v>4685</v>
      </c>
      <c r="J1775" t="str">
        <f t="shared" si="7"/>
        <v>normalweight</v>
      </c>
    </row>
    <row r="1776" spans="1:10" ht="15.75" customHeight="1">
      <c r="A1776" t="s">
        <v>1131</v>
      </c>
      <c r="B1776">
        <v>20.28</v>
      </c>
      <c r="C1776">
        <v>11.07</v>
      </c>
      <c r="D1776" s="6" t="s">
        <v>4684</v>
      </c>
      <c r="E1776" t="s">
        <v>4686</v>
      </c>
      <c r="F1776" t="s">
        <v>4685</v>
      </c>
      <c r="G1776" t="s">
        <v>4685</v>
      </c>
      <c r="H1776" s="2">
        <v>0</v>
      </c>
      <c r="I1776" t="s">
        <v>4685</v>
      </c>
      <c r="J1776" t="str">
        <f t="shared" si="7"/>
        <v>normalweight</v>
      </c>
    </row>
    <row r="1777" spans="1:10" ht="15.75" customHeight="1">
      <c r="A1777" t="s">
        <v>1129</v>
      </c>
      <c r="B1777">
        <v>20.234999999999999</v>
      </c>
      <c r="C1777">
        <v>5.19</v>
      </c>
      <c r="E1777" t="s">
        <v>4685</v>
      </c>
      <c r="F1777" t="s">
        <v>4685</v>
      </c>
      <c r="G1777" t="s">
        <v>4688</v>
      </c>
      <c r="H1777" s="2">
        <v>1</v>
      </c>
      <c r="I1777" t="s">
        <v>4685</v>
      </c>
      <c r="J1777" t="str">
        <f t="shared" si="7"/>
        <v>normalweight</v>
      </c>
    </row>
    <row r="1778" spans="1:10" ht="15.75" customHeight="1">
      <c r="A1778" t="s">
        <v>1127</v>
      </c>
      <c r="B1778">
        <v>25.27</v>
      </c>
      <c r="C1778">
        <v>5.7</v>
      </c>
      <c r="E1778" t="s">
        <v>4686</v>
      </c>
      <c r="F1778" t="s">
        <v>4685</v>
      </c>
      <c r="G1778" t="s">
        <v>4685</v>
      </c>
      <c r="H1778" s="2">
        <v>1</v>
      </c>
      <c r="I1778" t="s">
        <v>4685</v>
      </c>
      <c r="J1778" t="str">
        <f t="shared" si="7"/>
        <v>normalweight</v>
      </c>
    </row>
    <row r="1779" spans="1:10" ht="15.75" customHeight="1">
      <c r="A1779" t="s">
        <v>1125</v>
      </c>
      <c r="B1779">
        <v>24.24</v>
      </c>
      <c r="C1779">
        <v>6.15</v>
      </c>
      <c r="E1779" t="s">
        <v>4685</v>
      </c>
      <c r="F1779" t="s">
        <v>4685</v>
      </c>
      <c r="G1779" t="s">
        <v>4685</v>
      </c>
      <c r="H1779" s="2">
        <v>0</v>
      </c>
      <c r="I1779" t="s">
        <v>4685</v>
      </c>
      <c r="J1779" t="str">
        <f t="shared" si="7"/>
        <v>normalweight</v>
      </c>
    </row>
    <row r="1780" spans="1:10" ht="15.75" customHeight="1">
      <c r="A1780" t="s">
        <v>1123</v>
      </c>
      <c r="B1780">
        <v>35.75</v>
      </c>
      <c r="C1780">
        <v>5.07</v>
      </c>
      <c r="E1780" t="s">
        <v>4685</v>
      </c>
      <c r="F1780" t="s">
        <v>4685</v>
      </c>
      <c r="G1780" t="s">
        <v>4685</v>
      </c>
      <c r="H1780" s="2">
        <v>0</v>
      </c>
      <c r="I1780" t="s">
        <v>4685</v>
      </c>
      <c r="J1780" t="str">
        <f t="shared" si="7"/>
        <v>normalweight</v>
      </c>
    </row>
    <row r="1781" spans="1:10" ht="15.75" customHeight="1">
      <c r="A1781" t="s">
        <v>1121</v>
      </c>
      <c r="B1781">
        <v>29.92</v>
      </c>
      <c r="C1781">
        <v>10.97</v>
      </c>
      <c r="D1781" s="6" t="s">
        <v>4684</v>
      </c>
      <c r="E1781" t="s">
        <v>4686</v>
      </c>
      <c r="F1781" t="s">
        <v>4685</v>
      </c>
      <c r="G1781" t="s">
        <v>4685</v>
      </c>
      <c r="H1781" s="2">
        <v>1</v>
      </c>
      <c r="I1781" t="s">
        <v>4685</v>
      </c>
      <c r="J1781" t="str">
        <f t="shared" si="7"/>
        <v>normalweight</v>
      </c>
    </row>
    <row r="1782" spans="1:10" ht="15.75" customHeight="1">
      <c r="A1782" t="s">
        <v>1119</v>
      </c>
      <c r="B1782">
        <v>26.2</v>
      </c>
      <c r="C1782">
        <v>10.93</v>
      </c>
      <c r="D1782" s="6" t="s">
        <v>4684</v>
      </c>
      <c r="E1782" t="s">
        <v>4686</v>
      </c>
      <c r="F1782" t="s">
        <v>4685</v>
      </c>
      <c r="G1782" t="s">
        <v>4685</v>
      </c>
      <c r="H1782" s="2">
        <v>1</v>
      </c>
      <c r="I1782" t="s">
        <v>4685</v>
      </c>
      <c r="J1782" t="str">
        <f t="shared" si="7"/>
        <v>normalweight</v>
      </c>
    </row>
    <row r="1783" spans="1:10" ht="15.75" customHeight="1">
      <c r="A1783" t="s">
        <v>1117</v>
      </c>
      <c r="B1783">
        <v>26.695</v>
      </c>
      <c r="C1783">
        <v>4.21</v>
      </c>
      <c r="E1783" t="s">
        <v>4686</v>
      </c>
      <c r="F1783" t="s">
        <v>4685</v>
      </c>
      <c r="G1783" t="s">
        <v>4688</v>
      </c>
      <c r="H1783" s="2">
        <v>1</v>
      </c>
      <c r="I1783" t="s">
        <v>4685</v>
      </c>
      <c r="J1783" t="str">
        <f t="shared" si="7"/>
        <v>normalweight</v>
      </c>
    </row>
    <row r="1784" spans="1:10" ht="15.75" customHeight="1">
      <c r="A1784" t="s">
        <v>1115</v>
      </c>
      <c r="B1784">
        <v>23.16</v>
      </c>
      <c r="C1784">
        <v>5.5</v>
      </c>
      <c r="E1784" t="s">
        <v>4685</v>
      </c>
      <c r="F1784" t="s">
        <v>4685</v>
      </c>
      <c r="G1784" t="s">
        <v>4685</v>
      </c>
      <c r="H1784" s="2">
        <v>0</v>
      </c>
      <c r="I1784" t="s">
        <v>4685</v>
      </c>
      <c r="J1784" t="str">
        <f t="shared" si="7"/>
        <v>normalweight</v>
      </c>
    </row>
    <row r="1785" spans="1:10" ht="15.75" customHeight="1">
      <c r="A1785" t="s">
        <v>1113</v>
      </c>
      <c r="B1785">
        <v>32.585000000000001</v>
      </c>
      <c r="C1785">
        <v>4.93</v>
      </c>
      <c r="E1785" t="s">
        <v>4686</v>
      </c>
      <c r="F1785" t="s">
        <v>4685</v>
      </c>
      <c r="G1785" t="s">
        <v>4685</v>
      </c>
      <c r="H1785" s="2">
        <v>1</v>
      </c>
      <c r="I1785" t="s">
        <v>4685</v>
      </c>
      <c r="J1785" t="str">
        <f t="shared" si="7"/>
        <v>normalweight</v>
      </c>
    </row>
    <row r="1786" spans="1:10" ht="15.75" customHeight="1">
      <c r="A1786" t="s">
        <v>1111</v>
      </c>
      <c r="B1786">
        <v>33.97</v>
      </c>
      <c r="C1786">
        <v>5.6</v>
      </c>
      <c r="E1786" t="s">
        <v>4686</v>
      </c>
      <c r="F1786" t="s">
        <v>4685</v>
      </c>
      <c r="G1786" t="s">
        <v>4685</v>
      </c>
      <c r="H1786" s="2">
        <v>0</v>
      </c>
      <c r="I1786" t="s">
        <v>4685</v>
      </c>
      <c r="J1786" t="str">
        <f t="shared" si="7"/>
        <v>normalweight</v>
      </c>
    </row>
    <row r="1787" spans="1:10" ht="15.75" customHeight="1">
      <c r="A1787" t="s">
        <v>1109</v>
      </c>
      <c r="B1787">
        <v>16.57</v>
      </c>
      <c r="C1787">
        <v>9.99</v>
      </c>
      <c r="D1787" s="6" t="s">
        <v>4684</v>
      </c>
      <c r="E1787" t="s">
        <v>4685</v>
      </c>
      <c r="F1787" t="s">
        <v>4685</v>
      </c>
      <c r="G1787" t="s">
        <v>4685</v>
      </c>
      <c r="H1787" s="2">
        <v>0</v>
      </c>
      <c r="I1787" t="s">
        <v>4685</v>
      </c>
      <c r="J1787" t="str">
        <f t="shared" si="7"/>
        <v>underweight</v>
      </c>
    </row>
    <row r="1788" spans="1:10" ht="15.75" customHeight="1">
      <c r="A1788" t="s">
        <v>1107</v>
      </c>
      <c r="B1788">
        <v>17.55</v>
      </c>
      <c r="C1788">
        <v>5.93</v>
      </c>
      <c r="E1788" t="s">
        <v>4685</v>
      </c>
      <c r="F1788" t="s">
        <v>4685</v>
      </c>
      <c r="G1788" t="s">
        <v>4688</v>
      </c>
      <c r="H1788" s="2">
        <v>1</v>
      </c>
      <c r="I1788" t="s">
        <v>4685</v>
      </c>
      <c r="J1788" t="str">
        <f t="shared" si="7"/>
        <v>underweight</v>
      </c>
    </row>
    <row r="1789" spans="1:10" ht="15.75" customHeight="1">
      <c r="A1789" t="s">
        <v>1105</v>
      </c>
      <c r="B1789">
        <v>29.41</v>
      </c>
      <c r="C1789">
        <v>6.29</v>
      </c>
      <c r="E1789" t="s">
        <v>4686</v>
      </c>
      <c r="F1789" t="s">
        <v>4685</v>
      </c>
      <c r="G1789" t="s">
        <v>4685</v>
      </c>
      <c r="H1789" s="2">
        <v>1</v>
      </c>
      <c r="I1789" t="s">
        <v>4685</v>
      </c>
      <c r="J1789" t="str">
        <f t="shared" si="7"/>
        <v>normalweight</v>
      </c>
    </row>
    <row r="1790" spans="1:10" ht="15.75" customHeight="1">
      <c r="A1790" t="s">
        <v>1103</v>
      </c>
      <c r="B1790">
        <v>17.91</v>
      </c>
      <c r="C1790">
        <v>5.65</v>
      </c>
      <c r="E1790" t="s">
        <v>4685</v>
      </c>
      <c r="F1790" t="s">
        <v>4685</v>
      </c>
      <c r="G1790" t="s">
        <v>4685</v>
      </c>
      <c r="H1790" s="2">
        <v>1</v>
      </c>
      <c r="I1790" t="s">
        <v>4685</v>
      </c>
      <c r="J1790" t="str">
        <f t="shared" si="7"/>
        <v>underweight</v>
      </c>
    </row>
    <row r="1791" spans="1:10" ht="15.75" customHeight="1">
      <c r="A1791" t="s">
        <v>1101</v>
      </c>
      <c r="B1791">
        <v>31.57</v>
      </c>
      <c r="C1791">
        <v>6.15</v>
      </c>
      <c r="E1791" t="s">
        <v>4685</v>
      </c>
      <c r="F1791" t="s">
        <v>4685</v>
      </c>
      <c r="G1791" t="s">
        <v>4685</v>
      </c>
      <c r="H1791" s="2">
        <v>1</v>
      </c>
      <c r="I1791" t="s">
        <v>4685</v>
      </c>
      <c r="J1791" t="str">
        <f t="shared" si="7"/>
        <v>normalweight</v>
      </c>
    </row>
    <row r="1792" spans="1:10" ht="15.75" customHeight="1">
      <c r="A1792" t="s">
        <v>1099</v>
      </c>
      <c r="B1792">
        <v>33.18</v>
      </c>
      <c r="C1792">
        <v>5.22</v>
      </c>
      <c r="E1792" t="s">
        <v>4685</v>
      </c>
      <c r="F1792" t="s">
        <v>4686</v>
      </c>
      <c r="G1792" t="s">
        <v>4685</v>
      </c>
      <c r="H1792" s="2">
        <v>1</v>
      </c>
      <c r="I1792" t="s">
        <v>4685</v>
      </c>
      <c r="J1792" t="str">
        <f t="shared" si="7"/>
        <v>normalweight</v>
      </c>
    </row>
    <row r="1793" spans="1:10" ht="15.75" customHeight="1">
      <c r="A1793" t="s">
        <v>1097</v>
      </c>
      <c r="B1793">
        <v>37</v>
      </c>
      <c r="C1793">
        <v>11.66</v>
      </c>
      <c r="D1793" s="6" t="s">
        <v>4684</v>
      </c>
      <c r="E1793" t="s">
        <v>4685</v>
      </c>
      <c r="F1793" t="s">
        <v>4685</v>
      </c>
      <c r="G1793" t="s">
        <v>4685</v>
      </c>
      <c r="H1793" s="2">
        <v>0</v>
      </c>
      <c r="I1793" t="s">
        <v>4685</v>
      </c>
      <c r="J1793" t="str">
        <f t="shared" si="7"/>
        <v>normalweight</v>
      </c>
    </row>
    <row r="1794" spans="1:10" ht="15.75" customHeight="1">
      <c r="A1794" t="s">
        <v>1095</v>
      </c>
      <c r="B1794">
        <v>18.905000000000001</v>
      </c>
      <c r="C1794">
        <v>4.91</v>
      </c>
      <c r="E1794" t="s">
        <v>4686</v>
      </c>
      <c r="F1794" t="s">
        <v>4685</v>
      </c>
      <c r="G1794" t="s">
        <v>4685</v>
      </c>
      <c r="H1794" s="2">
        <v>1</v>
      </c>
      <c r="I1794" t="s">
        <v>4685</v>
      </c>
      <c r="J1794" t="str">
        <f t="shared" si="7"/>
        <v>normalweight</v>
      </c>
    </row>
    <row r="1795" spans="1:10" ht="15.75" customHeight="1">
      <c r="A1795" t="s">
        <v>1093</v>
      </c>
      <c r="B1795">
        <v>20.03</v>
      </c>
      <c r="C1795">
        <v>9.25</v>
      </c>
      <c r="D1795" s="6" t="s">
        <v>4684</v>
      </c>
      <c r="E1795" t="s">
        <v>4686</v>
      </c>
      <c r="F1795" t="s">
        <v>4685</v>
      </c>
      <c r="G1795" t="s">
        <v>4685</v>
      </c>
      <c r="H1795" s="2">
        <v>0</v>
      </c>
      <c r="I1795" t="s">
        <v>4685</v>
      </c>
      <c r="J1795" t="str">
        <f t="shared" si="7"/>
        <v>normalweight</v>
      </c>
    </row>
    <row r="1796" spans="1:10" ht="15.75" customHeight="1">
      <c r="A1796" t="s">
        <v>1091</v>
      </c>
      <c r="B1796">
        <v>16.7</v>
      </c>
      <c r="C1796">
        <v>11.48</v>
      </c>
      <c r="D1796" s="6" t="s">
        <v>4684</v>
      </c>
      <c r="E1796" t="s">
        <v>4685</v>
      </c>
      <c r="F1796" t="s">
        <v>4685</v>
      </c>
      <c r="G1796" t="s">
        <v>4685</v>
      </c>
      <c r="H1796" s="2">
        <v>0</v>
      </c>
      <c r="I1796" t="s">
        <v>4685</v>
      </c>
      <c r="J1796" t="str">
        <f t="shared" si="7"/>
        <v>underweight</v>
      </c>
    </row>
    <row r="1797" spans="1:10" ht="15.75" customHeight="1">
      <c r="A1797" t="s">
        <v>1089</v>
      </c>
      <c r="B1797">
        <v>39.82</v>
      </c>
      <c r="C1797">
        <v>6.06</v>
      </c>
      <c r="D1797" s="13" t="s">
        <v>4733</v>
      </c>
      <c r="E1797" t="s">
        <v>4685</v>
      </c>
      <c r="F1797" t="s">
        <v>4685</v>
      </c>
      <c r="G1797" t="s">
        <v>4685</v>
      </c>
      <c r="H1797" s="2">
        <v>0</v>
      </c>
      <c r="I1797" t="s">
        <v>4685</v>
      </c>
      <c r="J1797" t="str">
        <f t="shared" si="7"/>
        <v>normalweight</v>
      </c>
    </row>
    <row r="1798" spans="1:10" ht="15.75" customHeight="1">
      <c r="A1798" t="s">
        <v>1087</v>
      </c>
      <c r="B1798">
        <v>22.04</v>
      </c>
      <c r="C1798">
        <v>5.86</v>
      </c>
      <c r="D1798" s="13" t="s">
        <v>4733</v>
      </c>
      <c r="E1798" t="s">
        <v>4685</v>
      </c>
      <c r="F1798" t="s">
        <v>4685</v>
      </c>
      <c r="G1798" t="s">
        <v>4685</v>
      </c>
      <c r="H1798" s="2">
        <v>1</v>
      </c>
      <c r="I1798" t="s">
        <v>4685</v>
      </c>
      <c r="J1798" t="str">
        <f t="shared" si="7"/>
        <v>normalweight</v>
      </c>
    </row>
    <row r="1799" spans="1:10" ht="15.75" customHeight="1">
      <c r="A1799" t="s">
        <v>1085</v>
      </c>
      <c r="B1799">
        <v>28.27</v>
      </c>
      <c r="C1799">
        <v>5.33</v>
      </c>
      <c r="D1799" s="13" t="s">
        <v>4732</v>
      </c>
      <c r="E1799" t="s">
        <v>4685</v>
      </c>
      <c r="F1799" t="s">
        <v>4685</v>
      </c>
      <c r="G1799" t="s">
        <v>4685</v>
      </c>
      <c r="H1799" s="2">
        <v>0</v>
      </c>
      <c r="I1799" t="s">
        <v>4685</v>
      </c>
      <c r="J1799" t="str">
        <f t="shared" si="7"/>
        <v>normalweight</v>
      </c>
    </row>
    <row r="1800" spans="1:10" ht="15.75" customHeight="1">
      <c r="A1800" t="s">
        <v>1083</v>
      </c>
      <c r="B1800">
        <v>18.5</v>
      </c>
      <c r="C1800">
        <v>5.33</v>
      </c>
      <c r="D1800" s="13" t="s">
        <v>4732</v>
      </c>
      <c r="E1800" t="s">
        <v>4685</v>
      </c>
      <c r="F1800" t="s">
        <v>4685</v>
      </c>
      <c r="G1800" t="s">
        <v>4685</v>
      </c>
      <c r="H1800" s="2">
        <v>0</v>
      </c>
      <c r="I1800" t="s">
        <v>4685</v>
      </c>
      <c r="J1800" t="str">
        <f t="shared" si="7"/>
        <v>underweight</v>
      </c>
    </row>
    <row r="1801" spans="1:10" ht="15.75" customHeight="1">
      <c r="A1801" t="s">
        <v>1081</v>
      </c>
      <c r="B1801">
        <v>38.6</v>
      </c>
      <c r="C1801">
        <v>6.02</v>
      </c>
      <c r="D1801" s="13" t="s">
        <v>4733</v>
      </c>
      <c r="E1801" t="s">
        <v>4685</v>
      </c>
      <c r="F1801" t="s">
        <v>4685</v>
      </c>
      <c r="G1801" t="s">
        <v>4685</v>
      </c>
      <c r="H1801" s="2">
        <v>1</v>
      </c>
      <c r="I1801" t="s">
        <v>4685</v>
      </c>
      <c r="J1801" t="str">
        <f t="shared" si="7"/>
        <v>normalweight</v>
      </c>
    </row>
    <row r="1802" spans="1:10" ht="15.75" customHeight="1">
      <c r="A1802" t="s">
        <v>1079</v>
      </c>
      <c r="B1802">
        <v>43.12</v>
      </c>
      <c r="C1802">
        <v>6.25</v>
      </c>
      <c r="D1802" s="13" t="s">
        <v>4733</v>
      </c>
      <c r="E1802" t="s">
        <v>4685</v>
      </c>
      <c r="F1802" t="s">
        <v>4685</v>
      </c>
      <c r="G1802" t="s">
        <v>4685</v>
      </c>
      <c r="H1802" s="2">
        <v>1</v>
      </c>
      <c r="I1802" t="s">
        <v>4685</v>
      </c>
      <c r="J1802" t="str">
        <f t="shared" si="7"/>
        <v>normalweight</v>
      </c>
    </row>
    <row r="1803" spans="1:10" ht="15.75" customHeight="1">
      <c r="A1803" t="s">
        <v>1077</v>
      </c>
      <c r="B1803">
        <v>30.5</v>
      </c>
      <c r="C1803">
        <v>4.8099999999999996</v>
      </c>
      <c r="D1803" s="13" t="s">
        <v>4732</v>
      </c>
      <c r="E1803" t="s">
        <v>4685</v>
      </c>
      <c r="F1803" t="s">
        <v>4685</v>
      </c>
      <c r="G1803" t="s">
        <v>4685</v>
      </c>
      <c r="H1803" s="2">
        <v>1</v>
      </c>
      <c r="I1803" t="s">
        <v>4685</v>
      </c>
      <c r="J1803" t="str">
        <f t="shared" si="7"/>
        <v>normalweight</v>
      </c>
    </row>
    <row r="1804" spans="1:10" ht="15.75" customHeight="1">
      <c r="A1804" t="s">
        <v>1075</v>
      </c>
      <c r="B1804">
        <v>27.61</v>
      </c>
      <c r="C1804">
        <v>4.5999999999999996</v>
      </c>
      <c r="D1804" s="13" t="s">
        <v>4732</v>
      </c>
      <c r="E1804" t="s">
        <v>4685</v>
      </c>
      <c r="F1804" t="s">
        <v>4685</v>
      </c>
      <c r="G1804" t="s">
        <v>4685</v>
      </c>
      <c r="H1804" s="2">
        <v>1</v>
      </c>
      <c r="I1804" t="s">
        <v>4685</v>
      </c>
      <c r="J1804" t="str">
        <f t="shared" si="7"/>
        <v>normalweight</v>
      </c>
    </row>
    <row r="1805" spans="1:10" ht="15.75" customHeight="1">
      <c r="A1805" t="s">
        <v>1073</v>
      </c>
      <c r="B1805">
        <v>27.1</v>
      </c>
      <c r="C1805">
        <v>5.08</v>
      </c>
      <c r="D1805" s="13" t="s">
        <v>4732</v>
      </c>
      <c r="E1805" t="s">
        <v>4685</v>
      </c>
      <c r="F1805" t="s">
        <v>4685</v>
      </c>
      <c r="G1805" t="s">
        <v>4685</v>
      </c>
      <c r="H1805" s="2">
        <v>1</v>
      </c>
      <c r="I1805" t="s">
        <v>4685</v>
      </c>
      <c r="J1805" t="str">
        <f t="shared" si="7"/>
        <v>normalweight</v>
      </c>
    </row>
    <row r="1806" spans="1:10" ht="15.75" customHeight="1">
      <c r="A1806" t="s">
        <v>1071</v>
      </c>
      <c r="B1806">
        <v>35.93</v>
      </c>
      <c r="C1806">
        <v>5.43</v>
      </c>
      <c r="D1806" s="13" t="s">
        <v>4732</v>
      </c>
      <c r="E1806" t="s">
        <v>4685</v>
      </c>
      <c r="F1806" t="s">
        <v>4686</v>
      </c>
      <c r="G1806" t="s">
        <v>4685</v>
      </c>
      <c r="H1806" s="2">
        <v>1</v>
      </c>
      <c r="I1806" t="s">
        <v>4685</v>
      </c>
      <c r="J1806" t="str">
        <f t="shared" si="7"/>
        <v>normalweight</v>
      </c>
    </row>
    <row r="1807" spans="1:10" ht="15.75" customHeight="1">
      <c r="A1807" t="s">
        <v>1069</v>
      </c>
      <c r="B1807">
        <v>32.68</v>
      </c>
      <c r="C1807">
        <v>5.44</v>
      </c>
      <c r="D1807" s="13" t="s">
        <v>4732</v>
      </c>
      <c r="E1807" t="s">
        <v>4685</v>
      </c>
      <c r="F1807" t="s">
        <v>4685</v>
      </c>
      <c r="G1807" t="s">
        <v>4685</v>
      </c>
      <c r="H1807" s="2">
        <v>0</v>
      </c>
      <c r="I1807" t="s">
        <v>4685</v>
      </c>
      <c r="J1807" t="str">
        <f t="shared" ref="J1807:J2061" si="8">IF(B1807&lt;=18.5,"underweight",IF(B1807&gt;=18.5-24.9,"normalweight",IF(B1807&gt;=25-29.9,"overweight","obesity")))</f>
        <v>normalweight</v>
      </c>
    </row>
    <row r="1808" spans="1:10" ht="15.75" customHeight="1">
      <c r="A1808" t="s">
        <v>1067</v>
      </c>
      <c r="B1808">
        <v>20.74</v>
      </c>
      <c r="C1808">
        <v>11.69</v>
      </c>
      <c r="D1808" s="6" t="s">
        <v>4684</v>
      </c>
      <c r="E1808" t="s">
        <v>4686</v>
      </c>
      <c r="F1808" t="s">
        <v>4685</v>
      </c>
      <c r="G1808" t="s">
        <v>4685</v>
      </c>
      <c r="H1808" s="2">
        <v>1</v>
      </c>
      <c r="I1808" t="s">
        <v>4685</v>
      </c>
      <c r="J1808" t="str">
        <f t="shared" si="8"/>
        <v>normalweight</v>
      </c>
    </row>
    <row r="1809" spans="1:10" ht="15.75" customHeight="1">
      <c r="A1809" t="s">
        <v>1065</v>
      </c>
      <c r="B1809">
        <v>15.57</v>
      </c>
      <c r="C1809">
        <v>6.07</v>
      </c>
      <c r="D1809" s="13" t="s">
        <v>4733</v>
      </c>
      <c r="E1809" t="s">
        <v>4685</v>
      </c>
      <c r="F1809" t="s">
        <v>4685</v>
      </c>
      <c r="G1809" t="s">
        <v>4685</v>
      </c>
      <c r="H1809" s="2">
        <v>0</v>
      </c>
      <c r="I1809" t="s">
        <v>4685</v>
      </c>
      <c r="J1809" t="str">
        <f t="shared" si="8"/>
        <v>underweight</v>
      </c>
    </row>
    <row r="1810" spans="1:10" ht="15.75" customHeight="1">
      <c r="A1810" t="s">
        <v>1063</v>
      </c>
      <c r="B1810">
        <v>23.844999999999999</v>
      </c>
      <c r="C1810">
        <v>4.3600000000000003</v>
      </c>
      <c r="D1810" s="13" t="s">
        <v>4732</v>
      </c>
      <c r="E1810" t="s">
        <v>4685</v>
      </c>
      <c r="F1810" t="s">
        <v>4685</v>
      </c>
      <c r="G1810" t="s">
        <v>4685</v>
      </c>
      <c r="H1810" s="2">
        <v>0</v>
      </c>
      <c r="I1810" t="s">
        <v>4685</v>
      </c>
      <c r="J1810" t="str">
        <f t="shared" si="8"/>
        <v>normalweight</v>
      </c>
    </row>
    <row r="1811" spans="1:10" ht="15.75" customHeight="1">
      <c r="A1811" t="s">
        <v>1061</v>
      </c>
      <c r="B1811">
        <v>22.895</v>
      </c>
      <c r="C1811">
        <v>5.24</v>
      </c>
      <c r="D1811" s="13" t="s">
        <v>4732</v>
      </c>
      <c r="E1811" t="s">
        <v>4685</v>
      </c>
      <c r="F1811" t="s">
        <v>4685</v>
      </c>
      <c r="G1811" t="s">
        <v>4685</v>
      </c>
      <c r="H1811" s="2">
        <v>1</v>
      </c>
      <c r="I1811" t="s">
        <v>4685</v>
      </c>
      <c r="J1811" t="str">
        <f t="shared" si="8"/>
        <v>normalweight</v>
      </c>
    </row>
    <row r="1812" spans="1:10" ht="15.75" customHeight="1">
      <c r="A1812" t="s">
        <v>1059</v>
      </c>
      <c r="B1812">
        <v>21.945</v>
      </c>
      <c r="C1812">
        <v>5.37</v>
      </c>
      <c r="D1812" s="13" t="s">
        <v>4732</v>
      </c>
      <c r="E1812" t="s">
        <v>4685</v>
      </c>
      <c r="F1812" t="s">
        <v>4685</v>
      </c>
      <c r="G1812" t="s">
        <v>4685</v>
      </c>
      <c r="H1812" s="2">
        <v>1</v>
      </c>
      <c r="I1812" t="s">
        <v>4685</v>
      </c>
      <c r="J1812" t="str">
        <f t="shared" si="8"/>
        <v>normalweight</v>
      </c>
    </row>
    <row r="1813" spans="1:10" ht="15.75" customHeight="1">
      <c r="A1813" t="s">
        <v>1057</v>
      </c>
      <c r="B1813">
        <v>19.47</v>
      </c>
      <c r="C1813">
        <v>6.6</v>
      </c>
      <c r="D1813" s="13" t="s">
        <v>4733</v>
      </c>
      <c r="E1813" t="s">
        <v>4686</v>
      </c>
      <c r="F1813" t="s">
        <v>4685</v>
      </c>
      <c r="G1813" t="s">
        <v>4685</v>
      </c>
      <c r="H1813" s="2">
        <v>0</v>
      </c>
      <c r="I1813" t="s">
        <v>4685</v>
      </c>
      <c r="J1813" t="str">
        <f t="shared" si="8"/>
        <v>normalweight</v>
      </c>
    </row>
    <row r="1814" spans="1:10" ht="15.75" customHeight="1">
      <c r="A1814" t="s">
        <v>1055</v>
      </c>
      <c r="B1814">
        <v>15.61</v>
      </c>
      <c r="C1814">
        <v>5.77</v>
      </c>
      <c r="D1814" s="13" t="s">
        <v>4733</v>
      </c>
      <c r="E1814" t="s">
        <v>4685</v>
      </c>
      <c r="F1814" t="s">
        <v>4685</v>
      </c>
      <c r="G1814" t="s">
        <v>4685</v>
      </c>
      <c r="H1814" s="2">
        <v>0</v>
      </c>
      <c r="I1814" t="s">
        <v>4685</v>
      </c>
      <c r="J1814" t="str">
        <f t="shared" si="8"/>
        <v>underweight</v>
      </c>
    </row>
    <row r="1815" spans="1:10" ht="15.75" customHeight="1">
      <c r="A1815" t="s">
        <v>1053</v>
      </c>
      <c r="B1815">
        <v>28.6</v>
      </c>
      <c r="C1815">
        <v>6.08</v>
      </c>
      <c r="D1815" s="13" t="s">
        <v>4733</v>
      </c>
      <c r="E1815" t="s">
        <v>4685</v>
      </c>
      <c r="F1815" t="s">
        <v>4685</v>
      </c>
      <c r="G1815" t="s">
        <v>4688</v>
      </c>
      <c r="H1815" s="2">
        <v>1</v>
      </c>
      <c r="I1815" t="s">
        <v>4685</v>
      </c>
      <c r="J1815" t="str">
        <f t="shared" si="8"/>
        <v>normalweight</v>
      </c>
    </row>
    <row r="1816" spans="1:10" ht="15.75" customHeight="1">
      <c r="A1816" t="s">
        <v>1051</v>
      </c>
      <c r="B1816">
        <v>46.53</v>
      </c>
      <c r="C1816">
        <v>4.16</v>
      </c>
      <c r="D1816" s="13" t="s">
        <v>4732</v>
      </c>
      <c r="E1816" t="s">
        <v>4685</v>
      </c>
      <c r="F1816" t="s">
        <v>4685</v>
      </c>
      <c r="G1816" t="s">
        <v>4685</v>
      </c>
      <c r="H1816" s="2">
        <v>0</v>
      </c>
      <c r="I1816" t="s">
        <v>4685</v>
      </c>
      <c r="J1816" t="str">
        <f t="shared" si="8"/>
        <v>normalweight</v>
      </c>
    </row>
    <row r="1817" spans="1:10" ht="15.75" customHeight="1">
      <c r="A1817" t="s">
        <v>1049</v>
      </c>
      <c r="B1817">
        <v>34.99</v>
      </c>
      <c r="C1817">
        <v>5.0999999999999996</v>
      </c>
      <c r="D1817" s="13" t="s">
        <v>4732</v>
      </c>
      <c r="E1817" t="s">
        <v>4685</v>
      </c>
      <c r="F1817" t="s">
        <v>4685</v>
      </c>
      <c r="G1817" t="s">
        <v>4688</v>
      </c>
      <c r="H1817" s="2">
        <v>1</v>
      </c>
      <c r="I1817" t="s">
        <v>4685</v>
      </c>
      <c r="J1817" t="str">
        <f t="shared" si="8"/>
        <v>normalweight</v>
      </c>
    </row>
    <row r="1818" spans="1:10" ht="15.75" customHeight="1">
      <c r="A1818" t="s">
        <v>1047</v>
      </c>
      <c r="B1818">
        <v>17.05</v>
      </c>
      <c r="C1818">
        <v>5.3</v>
      </c>
      <c r="D1818" s="13" t="s">
        <v>4732</v>
      </c>
      <c r="E1818" t="s">
        <v>4685</v>
      </c>
      <c r="F1818" t="s">
        <v>4685</v>
      </c>
      <c r="G1818" t="s">
        <v>4688</v>
      </c>
      <c r="H1818" s="2">
        <v>1</v>
      </c>
      <c r="I1818" t="s">
        <v>4685</v>
      </c>
      <c r="J1818" t="str">
        <f t="shared" si="8"/>
        <v>underweight</v>
      </c>
    </row>
    <row r="1819" spans="1:10" ht="15.75" customHeight="1">
      <c r="A1819" t="s">
        <v>1045</v>
      </c>
      <c r="B1819">
        <v>37.18</v>
      </c>
      <c r="C1819">
        <v>4.9000000000000004</v>
      </c>
      <c r="D1819" s="13" t="s">
        <v>4732</v>
      </c>
      <c r="E1819" t="s">
        <v>4685</v>
      </c>
      <c r="F1819" t="s">
        <v>4685</v>
      </c>
      <c r="G1819" t="s">
        <v>4685</v>
      </c>
      <c r="H1819" s="2">
        <v>0</v>
      </c>
      <c r="I1819" t="s">
        <v>4685</v>
      </c>
      <c r="J1819" t="str">
        <f t="shared" si="8"/>
        <v>normalweight</v>
      </c>
    </row>
    <row r="1820" spans="1:10" ht="15.75" customHeight="1">
      <c r="A1820" t="s">
        <v>1043</v>
      </c>
      <c r="B1820">
        <v>35.200000000000003</v>
      </c>
      <c r="C1820">
        <v>5.55</v>
      </c>
      <c r="D1820" s="13" t="s">
        <v>4732</v>
      </c>
      <c r="E1820" t="s">
        <v>4685</v>
      </c>
      <c r="F1820" t="s">
        <v>4685</v>
      </c>
      <c r="G1820" t="s">
        <v>4685</v>
      </c>
      <c r="H1820" s="2">
        <v>0</v>
      </c>
      <c r="I1820" t="s">
        <v>4685</v>
      </c>
      <c r="J1820" t="str">
        <f t="shared" si="8"/>
        <v>normalweight</v>
      </c>
    </row>
    <row r="1821" spans="1:10" ht="15.75" customHeight="1">
      <c r="A1821" t="s">
        <v>1041</v>
      </c>
      <c r="B1821">
        <v>37.335000000000001</v>
      </c>
      <c r="C1821">
        <v>4.95</v>
      </c>
      <c r="D1821" s="13" t="s">
        <v>4732</v>
      </c>
      <c r="E1821" t="s">
        <v>4685</v>
      </c>
      <c r="F1821" t="s">
        <v>4685</v>
      </c>
      <c r="G1821" t="s">
        <v>4685</v>
      </c>
      <c r="H1821" s="2">
        <v>0</v>
      </c>
      <c r="I1821" t="s">
        <v>4685</v>
      </c>
      <c r="J1821" t="str">
        <f t="shared" si="8"/>
        <v>normalweight</v>
      </c>
    </row>
    <row r="1822" spans="1:10" ht="15.75" customHeight="1">
      <c r="A1822" t="s">
        <v>1039</v>
      </c>
      <c r="B1822">
        <v>27.265000000000001</v>
      </c>
      <c r="C1822">
        <v>6.46</v>
      </c>
      <c r="D1822" s="13" t="s">
        <v>4733</v>
      </c>
      <c r="E1822" t="s">
        <v>4686</v>
      </c>
      <c r="F1822" t="s">
        <v>4685</v>
      </c>
      <c r="G1822" t="s">
        <v>4685</v>
      </c>
      <c r="H1822" s="2">
        <v>0</v>
      </c>
      <c r="I1822" t="s">
        <v>4685</v>
      </c>
      <c r="J1822" t="str">
        <f t="shared" si="8"/>
        <v>normalweight</v>
      </c>
    </row>
    <row r="1823" spans="1:10" ht="15.75" customHeight="1">
      <c r="A1823" t="s">
        <v>1037</v>
      </c>
      <c r="B1823">
        <v>30.8</v>
      </c>
      <c r="C1823">
        <v>4.9000000000000004</v>
      </c>
      <c r="D1823" s="13" t="s">
        <v>4732</v>
      </c>
      <c r="E1823" t="s">
        <v>4686</v>
      </c>
      <c r="F1823" t="s">
        <v>4685</v>
      </c>
      <c r="G1823" t="s">
        <v>4685</v>
      </c>
      <c r="H1823" s="2">
        <v>0</v>
      </c>
      <c r="I1823" t="s">
        <v>4685</v>
      </c>
      <c r="J1823" t="str">
        <f t="shared" si="8"/>
        <v>normalweight</v>
      </c>
    </row>
    <row r="1824" spans="1:10" ht="15.75" customHeight="1">
      <c r="A1824" t="s">
        <v>1035</v>
      </c>
      <c r="B1824">
        <v>30.21</v>
      </c>
      <c r="C1824">
        <v>5.21</v>
      </c>
      <c r="D1824" t="s">
        <v>4732</v>
      </c>
      <c r="E1824" t="s">
        <v>4685</v>
      </c>
      <c r="F1824" t="s">
        <v>4685</v>
      </c>
      <c r="G1824" t="s">
        <v>4685</v>
      </c>
      <c r="H1824" s="2">
        <v>1</v>
      </c>
      <c r="I1824" t="s">
        <v>4685</v>
      </c>
      <c r="J1824" t="str">
        <f t="shared" si="8"/>
        <v>normalweight</v>
      </c>
    </row>
    <row r="1825" spans="1:10" ht="15.75" customHeight="1">
      <c r="A1825" t="s">
        <v>1033</v>
      </c>
      <c r="B1825">
        <v>35.340000000000003</v>
      </c>
      <c r="C1825">
        <v>4.13</v>
      </c>
      <c r="D1825" t="s">
        <v>4732</v>
      </c>
      <c r="E1825" t="s">
        <v>4685</v>
      </c>
      <c r="F1825" t="s">
        <v>4686</v>
      </c>
      <c r="G1825" t="s">
        <v>4685</v>
      </c>
      <c r="H1825" s="2">
        <v>1</v>
      </c>
      <c r="I1825" t="s">
        <v>4685</v>
      </c>
      <c r="J1825" t="str">
        <f t="shared" si="8"/>
        <v>normalweight</v>
      </c>
    </row>
    <row r="1826" spans="1:10" ht="15.75" customHeight="1">
      <c r="A1826" t="s">
        <v>1031</v>
      </c>
      <c r="B1826">
        <v>26.695</v>
      </c>
      <c r="C1826">
        <v>5.28</v>
      </c>
      <c r="D1826" t="s">
        <v>4732</v>
      </c>
      <c r="E1826" t="s">
        <v>4685</v>
      </c>
      <c r="F1826" t="s">
        <v>4685</v>
      </c>
      <c r="G1826" t="s">
        <v>4685</v>
      </c>
      <c r="H1826" s="2">
        <v>0</v>
      </c>
      <c r="I1826" t="s">
        <v>4685</v>
      </c>
      <c r="J1826" t="str">
        <f t="shared" si="8"/>
        <v>normalweight</v>
      </c>
    </row>
    <row r="1827" spans="1:10" ht="15.75" customHeight="1">
      <c r="A1827" t="s">
        <v>1029</v>
      </c>
      <c r="B1827">
        <v>29.355</v>
      </c>
      <c r="C1827">
        <v>4.68</v>
      </c>
      <c r="D1827" t="s">
        <v>4732</v>
      </c>
      <c r="E1827" t="s">
        <v>4686</v>
      </c>
      <c r="F1827" t="s">
        <v>4685</v>
      </c>
      <c r="G1827" t="s">
        <v>4685</v>
      </c>
      <c r="H1827" s="2">
        <v>0</v>
      </c>
      <c r="I1827" t="s">
        <v>4685</v>
      </c>
      <c r="J1827" t="str">
        <f t="shared" si="8"/>
        <v>normalweight</v>
      </c>
    </row>
    <row r="1828" spans="1:10" ht="15.75" customHeight="1">
      <c r="A1828" t="s">
        <v>1027</v>
      </c>
      <c r="B1828">
        <v>29.59</v>
      </c>
      <c r="C1828">
        <v>4.0599999999999996</v>
      </c>
      <c r="D1828" t="s">
        <v>4732</v>
      </c>
      <c r="E1828" t="s">
        <v>4685</v>
      </c>
      <c r="F1828" t="s">
        <v>4685</v>
      </c>
      <c r="G1828" t="s">
        <v>4685</v>
      </c>
      <c r="H1828" s="2">
        <v>0</v>
      </c>
      <c r="I1828" t="s">
        <v>4685</v>
      </c>
      <c r="J1828" t="str">
        <f t="shared" si="8"/>
        <v>normalweight</v>
      </c>
    </row>
    <row r="1829" spans="1:10" ht="15.75" customHeight="1">
      <c r="A1829" t="s">
        <v>1025</v>
      </c>
      <c r="B1829">
        <v>31.35</v>
      </c>
      <c r="C1829">
        <v>4.2</v>
      </c>
      <c r="D1829" t="s">
        <v>4732</v>
      </c>
      <c r="E1829" t="s">
        <v>4685</v>
      </c>
      <c r="F1829" t="s">
        <v>4686</v>
      </c>
      <c r="G1829" t="s">
        <v>4685</v>
      </c>
      <c r="H1829" s="2">
        <v>1</v>
      </c>
      <c r="I1829" t="s">
        <v>4685</v>
      </c>
      <c r="J1829" t="str">
        <f t="shared" si="8"/>
        <v>normalweight</v>
      </c>
    </row>
    <row r="1830" spans="1:10" ht="15.75" customHeight="1">
      <c r="A1830" t="s">
        <v>1023</v>
      </c>
      <c r="B1830">
        <v>20.52</v>
      </c>
      <c r="C1830">
        <v>4.83</v>
      </c>
      <c r="D1830" t="s">
        <v>4732</v>
      </c>
      <c r="E1830" t="s">
        <v>4685</v>
      </c>
      <c r="F1830" t="s">
        <v>4685</v>
      </c>
      <c r="G1830" t="s">
        <v>4685</v>
      </c>
      <c r="H1830" s="2">
        <v>0</v>
      </c>
      <c r="I1830" t="s">
        <v>4685</v>
      </c>
      <c r="J1830" t="str">
        <f t="shared" si="8"/>
        <v>normalweight</v>
      </c>
    </row>
    <row r="1831" spans="1:10" ht="15.75" customHeight="1">
      <c r="A1831" t="s">
        <v>1021</v>
      </c>
      <c r="B1831">
        <v>42.9</v>
      </c>
      <c r="C1831">
        <v>4.87</v>
      </c>
      <c r="D1831" t="s">
        <v>4732</v>
      </c>
      <c r="E1831" t="s">
        <v>4686</v>
      </c>
      <c r="F1831" t="s">
        <v>4685</v>
      </c>
      <c r="G1831" t="s">
        <v>4685</v>
      </c>
      <c r="H1831" s="2">
        <v>1</v>
      </c>
      <c r="I1831" t="s">
        <v>4685</v>
      </c>
      <c r="J1831" t="str">
        <f t="shared" si="8"/>
        <v>normalweight</v>
      </c>
    </row>
    <row r="1832" spans="1:10" ht="15.75" customHeight="1">
      <c r="A1832" t="s">
        <v>1019</v>
      </c>
      <c r="B1832">
        <v>24.6</v>
      </c>
      <c r="C1832">
        <v>5.86</v>
      </c>
      <c r="D1832" t="s">
        <v>4733</v>
      </c>
      <c r="E1832" t="s">
        <v>4685</v>
      </c>
      <c r="F1832" t="s">
        <v>4685</v>
      </c>
      <c r="G1832" t="s">
        <v>4688</v>
      </c>
      <c r="H1832" s="2">
        <v>1</v>
      </c>
      <c r="I1832" t="s">
        <v>4685</v>
      </c>
      <c r="J1832" t="str">
        <f t="shared" si="8"/>
        <v>normalweight</v>
      </c>
    </row>
    <row r="1833" spans="1:10" ht="15.75" customHeight="1">
      <c r="A1833" t="s">
        <v>1017</v>
      </c>
      <c r="B1833">
        <v>28.405000000000001</v>
      </c>
      <c r="C1833">
        <v>4.12</v>
      </c>
      <c r="D1833" t="s">
        <v>4732</v>
      </c>
      <c r="E1833" t="s">
        <v>4685</v>
      </c>
      <c r="F1833" t="s">
        <v>4685</v>
      </c>
      <c r="G1833" t="s">
        <v>4685</v>
      </c>
      <c r="H1833" s="2">
        <v>1</v>
      </c>
      <c r="I1833" t="s">
        <v>4685</v>
      </c>
      <c r="J1833" t="str">
        <f t="shared" si="8"/>
        <v>normalweight</v>
      </c>
    </row>
    <row r="1834" spans="1:10" ht="15.75" customHeight="1">
      <c r="A1834" t="s">
        <v>1015</v>
      </c>
      <c r="B1834">
        <v>34.674999999999997</v>
      </c>
      <c r="C1834">
        <v>5.71</v>
      </c>
      <c r="D1834" t="s">
        <v>4733</v>
      </c>
      <c r="E1834" t="s">
        <v>4686</v>
      </c>
      <c r="F1834" t="s">
        <v>4685</v>
      </c>
      <c r="G1834" t="s">
        <v>4685</v>
      </c>
      <c r="H1834" s="2">
        <v>1</v>
      </c>
      <c r="I1834" t="s">
        <v>4685</v>
      </c>
      <c r="J1834" t="str">
        <f t="shared" si="8"/>
        <v>normalweight</v>
      </c>
    </row>
    <row r="1835" spans="1:10" ht="15.75" customHeight="1">
      <c r="A1835" t="s">
        <v>1013</v>
      </c>
      <c r="B1835">
        <v>18.850000000000001</v>
      </c>
      <c r="C1835">
        <v>6.03</v>
      </c>
      <c r="D1835" t="s">
        <v>4733</v>
      </c>
      <c r="E1835" t="s">
        <v>4685</v>
      </c>
      <c r="F1835" t="s">
        <v>4685</v>
      </c>
      <c r="G1835" t="s">
        <v>4685</v>
      </c>
      <c r="H1835" s="2">
        <v>1</v>
      </c>
      <c r="I1835" t="s">
        <v>4685</v>
      </c>
      <c r="J1835" t="str">
        <f t="shared" si="8"/>
        <v>normalweight</v>
      </c>
    </row>
    <row r="1836" spans="1:10" ht="15.75" customHeight="1">
      <c r="A1836" t="s">
        <v>1011</v>
      </c>
      <c r="B1836">
        <v>34.130000000000003</v>
      </c>
      <c r="C1836">
        <v>5.65</v>
      </c>
      <c r="D1836" t="s">
        <v>4733</v>
      </c>
      <c r="E1836" t="s">
        <v>4685</v>
      </c>
      <c r="F1836" t="s">
        <v>4685</v>
      </c>
      <c r="G1836" t="s">
        <v>4688</v>
      </c>
      <c r="H1836" s="2">
        <v>1</v>
      </c>
      <c r="I1836" t="s">
        <v>4685</v>
      </c>
      <c r="J1836" t="str">
        <f t="shared" si="8"/>
        <v>normalweight</v>
      </c>
    </row>
    <row r="1837" spans="1:10" ht="15.75" customHeight="1">
      <c r="A1837" t="s">
        <v>1009</v>
      </c>
      <c r="B1837">
        <v>17.34</v>
      </c>
      <c r="C1837">
        <v>5.05</v>
      </c>
      <c r="D1837" t="s">
        <v>4732</v>
      </c>
      <c r="E1837" t="s">
        <v>4685</v>
      </c>
      <c r="F1837" t="s">
        <v>4685</v>
      </c>
      <c r="G1837" t="s">
        <v>4685</v>
      </c>
      <c r="H1837" s="2">
        <v>0</v>
      </c>
      <c r="I1837" t="s">
        <v>4685</v>
      </c>
      <c r="J1837" t="str">
        <f t="shared" si="8"/>
        <v>underweight</v>
      </c>
    </row>
    <row r="1838" spans="1:10" ht="15.75" customHeight="1">
      <c r="A1838" t="s">
        <v>1007</v>
      </c>
      <c r="B1838">
        <v>17.440000000000001</v>
      </c>
      <c r="C1838">
        <v>6.26</v>
      </c>
      <c r="D1838" t="s">
        <v>4733</v>
      </c>
      <c r="E1838" t="s">
        <v>4685</v>
      </c>
      <c r="F1838" t="s">
        <v>4685</v>
      </c>
      <c r="G1838" t="s">
        <v>4685</v>
      </c>
      <c r="H1838" s="2">
        <v>0</v>
      </c>
      <c r="I1838" t="s">
        <v>4685</v>
      </c>
      <c r="J1838" t="str">
        <f t="shared" si="8"/>
        <v>underweight</v>
      </c>
    </row>
    <row r="1839" spans="1:10" ht="15.75" customHeight="1">
      <c r="A1839" t="s">
        <v>1005</v>
      </c>
      <c r="B1839">
        <v>33.659999999999997</v>
      </c>
      <c r="C1839">
        <v>4.08</v>
      </c>
      <c r="D1839" t="s">
        <v>4732</v>
      </c>
      <c r="E1839" t="s">
        <v>4686</v>
      </c>
      <c r="F1839" t="s">
        <v>4685</v>
      </c>
      <c r="G1839" t="s">
        <v>4688</v>
      </c>
      <c r="H1839" s="2">
        <v>1</v>
      </c>
      <c r="I1839" t="s">
        <v>4685</v>
      </c>
      <c r="J1839" t="str">
        <f t="shared" si="8"/>
        <v>normalweight</v>
      </c>
    </row>
    <row r="1840" spans="1:10" ht="15.75" customHeight="1">
      <c r="A1840" t="s">
        <v>1003</v>
      </c>
      <c r="B1840">
        <v>21.375</v>
      </c>
      <c r="C1840">
        <v>6.19</v>
      </c>
      <c r="D1840" t="s">
        <v>4733</v>
      </c>
      <c r="E1840" t="s">
        <v>4686</v>
      </c>
      <c r="F1840" t="s">
        <v>4685</v>
      </c>
      <c r="G1840" t="s">
        <v>4685</v>
      </c>
      <c r="H1840" s="2">
        <v>1</v>
      </c>
      <c r="I1840" t="s">
        <v>4685</v>
      </c>
      <c r="J1840" t="str">
        <f t="shared" si="8"/>
        <v>normalweight</v>
      </c>
    </row>
    <row r="1841" spans="1:10" ht="15.75" customHeight="1">
      <c r="A1841" t="s">
        <v>1001</v>
      </c>
      <c r="B1841">
        <v>27.14</v>
      </c>
      <c r="C1841">
        <v>6.01</v>
      </c>
      <c r="D1841" t="s">
        <v>4733</v>
      </c>
      <c r="E1841" t="s">
        <v>4685</v>
      </c>
      <c r="F1841" t="s">
        <v>4685</v>
      </c>
      <c r="G1841" t="s">
        <v>4685</v>
      </c>
      <c r="H1841" s="2">
        <v>1</v>
      </c>
      <c r="I1841" t="s">
        <v>4685</v>
      </c>
      <c r="J1841" t="str">
        <f t="shared" si="8"/>
        <v>normalweight</v>
      </c>
    </row>
    <row r="1842" spans="1:10" ht="15.75" customHeight="1">
      <c r="A1842" t="s">
        <v>999</v>
      </c>
      <c r="B1842">
        <v>35.78</v>
      </c>
      <c r="C1842">
        <v>6.07</v>
      </c>
      <c r="D1842" t="s">
        <v>4733</v>
      </c>
      <c r="E1842" t="s">
        <v>4685</v>
      </c>
      <c r="F1842" t="s">
        <v>4686</v>
      </c>
      <c r="G1842" t="s">
        <v>4685</v>
      </c>
      <c r="H1842" s="2">
        <v>1</v>
      </c>
      <c r="I1842" t="s">
        <v>4685</v>
      </c>
      <c r="J1842" t="str">
        <f t="shared" si="8"/>
        <v>normalweight</v>
      </c>
    </row>
    <row r="1843" spans="1:10" ht="15.75" customHeight="1">
      <c r="A1843" t="s">
        <v>997</v>
      </c>
      <c r="B1843">
        <v>34.96</v>
      </c>
      <c r="C1843">
        <v>5.63</v>
      </c>
      <c r="D1843" t="s">
        <v>4733</v>
      </c>
      <c r="E1843" t="s">
        <v>4685</v>
      </c>
      <c r="F1843" t="s">
        <v>4685</v>
      </c>
      <c r="G1843" t="s">
        <v>4685</v>
      </c>
      <c r="H1843" s="2">
        <v>0</v>
      </c>
      <c r="I1843" t="s">
        <v>4685</v>
      </c>
      <c r="J1843" t="str">
        <f t="shared" si="8"/>
        <v>normalweight</v>
      </c>
    </row>
    <row r="1844" spans="1:10" ht="15.75" customHeight="1">
      <c r="A1844" t="s">
        <v>995</v>
      </c>
      <c r="B1844">
        <v>38.39</v>
      </c>
      <c r="C1844">
        <v>6.05</v>
      </c>
      <c r="D1844" t="s">
        <v>4733</v>
      </c>
      <c r="E1844" t="s">
        <v>4685</v>
      </c>
      <c r="F1844" t="s">
        <v>4685</v>
      </c>
      <c r="G1844" t="s">
        <v>4685</v>
      </c>
      <c r="H1844" s="2">
        <v>0</v>
      </c>
      <c r="I1844" t="s">
        <v>4685</v>
      </c>
      <c r="J1844" t="str">
        <f t="shared" si="8"/>
        <v>normalweight</v>
      </c>
    </row>
    <row r="1845" spans="1:10" ht="15.75" customHeight="1">
      <c r="A1845" t="s">
        <v>993</v>
      </c>
      <c r="B1845">
        <v>33.82</v>
      </c>
      <c r="C1845">
        <v>4.6500000000000004</v>
      </c>
      <c r="D1845" t="s">
        <v>4732</v>
      </c>
      <c r="E1845" t="s">
        <v>4685</v>
      </c>
      <c r="F1845" t="s">
        <v>4685</v>
      </c>
      <c r="G1845" t="s">
        <v>4685</v>
      </c>
      <c r="H1845" s="2">
        <v>0</v>
      </c>
      <c r="I1845" t="s">
        <v>4685</v>
      </c>
      <c r="J1845" t="str">
        <f t="shared" si="8"/>
        <v>normalweight</v>
      </c>
    </row>
    <row r="1846" spans="1:10" ht="15.75" customHeight="1">
      <c r="A1846" t="s">
        <v>991</v>
      </c>
      <c r="B1846">
        <v>27.835000000000001</v>
      </c>
      <c r="C1846">
        <v>5.37</v>
      </c>
      <c r="D1846" t="s">
        <v>4732</v>
      </c>
      <c r="E1846" t="s">
        <v>4685</v>
      </c>
      <c r="F1846" t="s">
        <v>4685</v>
      </c>
      <c r="G1846" t="s">
        <v>4685</v>
      </c>
      <c r="H1846" s="2">
        <v>0</v>
      </c>
      <c r="I1846" t="s">
        <v>4685</v>
      </c>
      <c r="J1846" t="str">
        <f t="shared" si="8"/>
        <v>normalweight</v>
      </c>
    </row>
    <row r="1847" spans="1:10" ht="15.75" customHeight="1">
      <c r="A1847" t="s">
        <v>989</v>
      </c>
      <c r="B1847">
        <v>33</v>
      </c>
      <c r="C1847">
        <v>5.39</v>
      </c>
      <c r="D1847" t="s">
        <v>4733</v>
      </c>
      <c r="E1847" t="s">
        <v>4685</v>
      </c>
      <c r="F1847" t="s">
        <v>4685</v>
      </c>
      <c r="G1847" t="s">
        <v>4685</v>
      </c>
      <c r="H1847" s="2">
        <v>0</v>
      </c>
      <c r="I1847" t="s">
        <v>4685</v>
      </c>
      <c r="J1847" t="str">
        <f t="shared" si="8"/>
        <v>normalweight</v>
      </c>
    </row>
    <row r="1848" spans="1:10" ht="15.75" customHeight="1">
      <c r="A1848" t="s">
        <v>987</v>
      </c>
      <c r="B1848">
        <v>26.885000000000002</v>
      </c>
      <c r="C1848">
        <v>5.86</v>
      </c>
      <c r="D1848" t="s">
        <v>4733</v>
      </c>
      <c r="E1848" t="s">
        <v>4685</v>
      </c>
      <c r="F1848" t="s">
        <v>4685</v>
      </c>
      <c r="G1848" t="s">
        <v>4685</v>
      </c>
      <c r="H1848" s="2">
        <v>0</v>
      </c>
      <c r="I1848" t="s">
        <v>4685</v>
      </c>
      <c r="J1848" t="str">
        <f t="shared" si="8"/>
        <v>normalweight</v>
      </c>
    </row>
    <row r="1849" spans="1:10" ht="15.75" customHeight="1">
      <c r="A1849" t="s">
        <v>985</v>
      </c>
      <c r="B1849">
        <v>29.26</v>
      </c>
      <c r="C1849">
        <v>4.4400000000000004</v>
      </c>
      <c r="D1849" t="s">
        <v>4732</v>
      </c>
      <c r="E1849" t="s">
        <v>4685</v>
      </c>
      <c r="F1849" t="s">
        <v>4685</v>
      </c>
      <c r="G1849" t="s">
        <v>4685</v>
      </c>
      <c r="H1849" s="2">
        <v>0</v>
      </c>
      <c r="I1849" t="s">
        <v>4685</v>
      </c>
      <c r="J1849" t="str">
        <f t="shared" si="8"/>
        <v>normalweight</v>
      </c>
    </row>
    <row r="1850" spans="1:10" ht="15.75" customHeight="1">
      <c r="A1850" t="s">
        <v>983</v>
      </c>
      <c r="B1850">
        <v>26.98</v>
      </c>
      <c r="C1850">
        <v>4.41</v>
      </c>
      <c r="D1850" t="s">
        <v>4732</v>
      </c>
      <c r="E1850" t="s">
        <v>4685</v>
      </c>
      <c r="F1850" t="s">
        <v>4685</v>
      </c>
      <c r="G1850" t="s">
        <v>4685</v>
      </c>
      <c r="H1850" s="2">
        <v>0</v>
      </c>
      <c r="I1850" t="s">
        <v>4685</v>
      </c>
      <c r="J1850" t="str">
        <f t="shared" si="8"/>
        <v>normalweight</v>
      </c>
    </row>
    <row r="1851" spans="1:10" ht="15.75" customHeight="1">
      <c r="A1851" t="s">
        <v>981</v>
      </c>
      <c r="B1851">
        <v>32.11</v>
      </c>
      <c r="C1851">
        <v>5.19</v>
      </c>
      <c r="D1851" t="s">
        <v>4732</v>
      </c>
      <c r="E1851" t="s">
        <v>4685</v>
      </c>
      <c r="F1851" t="s">
        <v>4685</v>
      </c>
      <c r="G1851" t="s">
        <v>4688</v>
      </c>
      <c r="H1851" s="2">
        <v>1</v>
      </c>
      <c r="I1851" t="s">
        <v>4685</v>
      </c>
      <c r="J1851" t="str">
        <f t="shared" si="8"/>
        <v>normalweight</v>
      </c>
    </row>
    <row r="1852" spans="1:10" ht="15.75" customHeight="1">
      <c r="A1852" t="s">
        <v>979</v>
      </c>
      <c r="B1852">
        <v>31.73</v>
      </c>
      <c r="C1852">
        <v>5.16</v>
      </c>
      <c r="D1852" t="s">
        <v>4732</v>
      </c>
      <c r="E1852" t="s">
        <v>4685</v>
      </c>
      <c r="F1852" t="s">
        <v>4685</v>
      </c>
      <c r="G1852" t="s">
        <v>4688</v>
      </c>
      <c r="H1852" s="2">
        <v>1</v>
      </c>
      <c r="I1852" t="s">
        <v>4685</v>
      </c>
      <c r="J1852" t="str">
        <f t="shared" si="8"/>
        <v>normalweight</v>
      </c>
    </row>
    <row r="1853" spans="1:10" ht="15.75" customHeight="1">
      <c r="A1853" t="s">
        <v>977</v>
      </c>
      <c r="B1853">
        <v>22.515000000000001</v>
      </c>
      <c r="C1853">
        <v>4.24</v>
      </c>
      <c r="D1853" t="s">
        <v>4732</v>
      </c>
      <c r="E1853" t="s">
        <v>4685</v>
      </c>
      <c r="F1853" t="s">
        <v>4685</v>
      </c>
      <c r="G1853" t="s">
        <v>4685</v>
      </c>
      <c r="H1853" s="2">
        <v>0</v>
      </c>
      <c r="I1853" t="s">
        <v>4685</v>
      </c>
      <c r="J1853" t="str">
        <f t="shared" si="8"/>
        <v>normalweight</v>
      </c>
    </row>
    <row r="1854" spans="1:10" ht="15.75" customHeight="1">
      <c r="A1854" t="s">
        <v>975</v>
      </c>
      <c r="B1854">
        <v>25.9</v>
      </c>
      <c r="C1854">
        <v>5.45</v>
      </c>
      <c r="D1854" t="s">
        <v>4732</v>
      </c>
      <c r="E1854" t="s">
        <v>4685</v>
      </c>
      <c r="F1854" t="s">
        <v>4685</v>
      </c>
      <c r="G1854" t="s">
        <v>4685</v>
      </c>
      <c r="H1854" s="2">
        <v>1</v>
      </c>
      <c r="I1854" t="s">
        <v>4685</v>
      </c>
      <c r="J1854" t="str">
        <f t="shared" si="8"/>
        <v>normalweight</v>
      </c>
    </row>
    <row r="1855" spans="1:10" ht="15.75" customHeight="1">
      <c r="A1855" t="s">
        <v>973</v>
      </c>
      <c r="B1855">
        <v>27.72</v>
      </c>
      <c r="C1855">
        <v>5.03</v>
      </c>
      <c r="D1855" t="s">
        <v>4732</v>
      </c>
      <c r="E1855" t="s">
        <v>4686</v>
      </c>
      <c r="F1855" t="s">
        <v>4685</v>
      </c>
      <c r="G1855" t="s">
        <v>4685</v>
      </c>
      <c r="H1855" s="2">
        <v>1</v>
      </c>
      <c r="I1855" t="s">
        <v>4685</v>
      </c>
      <c r="J1855" t="str">
        <f t="shared" si="8"/>
        <v>normalweight</v>
      </c>
    </row>
    <row r="1856" spans="1:10" ht="15.75" customHeight="1">
      <c r="A1856" t="s">
        <v>971</v>
      </c>
      <c r="B1856">
        <v>31.5</v>
      </c>
      <c r="C1856">
        <v>9.6199999999999992</v>
      </c>
      <c r="D1856" s="6" t="s">
        <v>4684</v>
      </c>
      <c r="E1856" t="s">
        <v>4686</v>
      </c>
      <c r="F1856" t="s">
        <v>4685</v>
      </c>
      <c r="G1856" t="s">
        <v>4685</v>
      </c>
      <c r="H1856" s="2">
        <v>1</v>
      </c>
      <c r="I1856" t="s">
        <v>4685</v>
      </c>
      <c r="J1856" t="str">
        <f t="shared" si="8"/>
        <v>normalweight</v>
      </c>
    </row>
    <row r="1857" spans="1:10" ht="15.75" customHeight="1">
      <c r="A1857" t="s">
        <v>969</v>
      </c>
      <c r="B1857">
        <v>29.7</v>
      </c>
      <c r="C1857">
        <v>6.77</v>
      </c>
      <c r="D1857" s="6" t="s">
        <v>4684</v>
      </c>
      <c r="E1857" t="s">
        <v>4686</v>
      </c>
      <c r="F1857" t="s">
        <v>4685</v>
      </c>
      <c r="G1857" t="s">
        <v>4685</v>
      </c>
      <c r="H1857" s="2">
        <v>1</v>
      </c>
      <c r="I1857" t="s">
        <v>4685</v>
      </c>
      <c r="J1857" t="str">
        <f t="shared" si="8"/>
        <v>normalweight</v>
      </c>
    </row>
    <row r="1858" spans="1:10" ht="15.75" customHeight="1">
      <c r="A1858" t="s">
        <v>967</v>
      </c>
      <c r="B1858">
        <v>21.26</v>
      </c>
      <c r="C1858">
        <v>5.36</v>
      </c>
      <c r="D1858" t="s">
        <v>4732</v>
      </c>
      <c r="E1858" t="s">
        <v>4686</v>
      </c>
      <c r="F1858" t="s">
        <v>4685</v>
      </c>
      <c r="G1858" t="s">
        <v>4685</v>
      </c>
      <c r="H1858" s="2">
        <v>1</v>
      </c>
      <c r="I1858" t="s">
        <v>4685</v>
      </c>
      <c r="J1858" t="str">
        <f t="shared" si="8"/>
        <v>normalweight</v>
      </c>
    </row>
    <row r="1859" spans="1:10" ht="15.75" customHeight="1">
      <c r="A1859" t="s">
        <v>965</v>
      </c>
      <c r="B1859">
        <v>17.09</v>
      </c>
      <c r="C1859">
        <v>5.69</v>
      </c>
      <c r="D1859" t="s">
        <v>4733</v>
      </c>
      <c r="E1859" t="s">
        <v>4685</v>
      </c>
      <c r="F1859" t="s">
        <v>4685</v>
      </c>
      <c r="G1859" t="s">
        <v>4685</v>
      </c>
      <c r="H1859" s="2">
        <v>0</v>
      </c>
      <c r="I1859" t="s">
        <v>4685</v>
      </c>
      <c r="J1859" t="str">
        <f t="shared" si="8"/>
        <v>underweight</v>
      </c>
    </row>
    <row r="1860" spans="1:10" ht="15.75" customHeight="1">
      <c r="A1860" t="s">
        <v>963</v>
      </c>
      <c r="B1860">
        <v>24.3</v>
      </c>
      <c r="C1860">
        <v>4.9000000000000004</v>
      </c>
      <c r="D1860" t="s">
        <v>4732</v>
      </c>
      <c r="E1860" t="s">
        <v>4686</v>
      </c>
      <c r="F1860" t="s">
        <v>4685</v>
      </c>
      <c r="G1860" t="s">
        <v>4688</v>
      </c>
      <c r="H1860" s="2">
        <v>1</v>
      </c>
      <c r="I1860" t="s">
        <v>4685</v>
      </c>
      <c r="J1860" t="str">
        <f t="shared" si="8"/>
        <v>normalweight</v>
      </c>
    </row>
    <row r="1861" spans="1:10" ht="15.75" customHeight="1">
      <c r="A1861" t="s">
        <v>961</v>
      </c>
      <c r="B1861">
        <v>29.734999999999999</v>
      </c>
      <c r="C1861">
        <v>5.78</v>
      </c>
      <c r="D1861" t="s">
        <v>4733</v>
      </c>
      <c r="E1861" t="s">
        <v>4685</v>
      </c>
      <c r="F1861" t="s">
        <v>4685</v>
      </c>
      <c r="G1861" t="s">
        <v>4685</v>
      </c>
      <c r="H1861" s="2">
        <v>0</v>
      </c>
      <c r="I1861" t="s">
        <v>4685</v>
      </c>
      <c r="J1861" t="str">
        <f t="shared" si="8"/>
        <v>normalweight</v>
      </c>
    </row>
    <row r="1862" spans="1:10" ht="15.75" customHeight="1">
      <c r="A1862" t="s">
        <v>959</v>
      </c>
      <c r="B1862">
        <v>29.26</v>
      </c>
      <c r="C1862">
        <v>4.7</v>
      </c>
      <c r="D1862" t="s">
        <v>4732</v>
      </c>
      <c r="E1862" t="s">
        <v>4685</v>
      </c>
      <c r="F1862" t="s">
        <v>4685</v>
      </c>
      <c r="G1862" t="s">
        <v>4685</v>
      </c>
      <c r="H1862" s="2">
        <v>0</v>
      </c>
      <c r="I1862" t="s">
        <v>4685</v>
      </c>
      <c r="J1862" t="str">
        <f t="shared" si="8"/>
        <v>normalweight</v>
      </c>
    </row>
    <row r="1863" spans="1:10" ht="15.75" customHeight="1">
      <c r="A1863" t="s">
        <v>957</v>
      </c>
      <c r="B1863">
        <v>33</v>
      </c>
      <c r="C1863">
        <v>6.28</v>
      </c>
      <c r="D1863" t="s">
        <v>4733</v>
      </c>
      <c r="E1863" t="s">
        <v>4685</v>
      </c>
      <c r="F1863" t="s">
        <v>4685</v>
      </c>
      <c r="G1863" t="s">
        <v>4685</v>
      </c>
      <c r="H1863" s="2">
        <v>0</v>
      </c>
      <c r="I1863" t="s">
        <v>4685</v>
      </c>
      <c r="J1863" t="str">
        <f t="shared" si="8"/>
        <v>normalweight</v>
      </c>
    </row>
    <row r="1864" spans="1:10" ht="15.75" customHeight="1">
      <c r="A1864" t="s">
        <v>955</v>
      </c>
      <c r="B1864">
        <v>31.065000000000001</v>
      </c>
      <c r="C1864">
        <v>4.2300000000000004</v>
      </c>
      <c r="D1864" t="s">
        <v>4732</v>
      </c>
      <c r="E1864" t="s">
        <v>4685</v>
      </c>
      <c r="F1864" t="s">
        <v>4685</v>
      </c>
      <c r="G1864" t="s">
        <v>4685</v>
      </c>
      <c r="H1864" s="2">
        <v>0</v>
      </c>
      <c r="I1864" t="s">
        <v>4685</v>
      </c>
      <c r="J1864" t="str">
        <f t="shared" si="8"/>
        <v>normalweight</v>
      </c>
    </row>
    <row r="1865" spans="1:10" ht="15.75" customHeight="1">
      <c r="A1865" t="s">
        <v>4689</v>
      </c>
      <c r="B1865">
        <v>26.51</v>
      </c>
      <c r="C1865">
        <v>6.17</v>
      </c>
      <c r="D1865" t="s">
        <v>4733</v>
      </c>
      <c r="E1865" t="s">
        <v>4685</v>
      </c>
      <c r="F1865" t="s">
        <v>4685</v>
      </c>
      <c r="G1865" t="s">
        <v>4685</v>
      </c>
      <c r="H1865" s="2">
        <v>0</v>
      </c>
      <c r="I1865" t="s">
        <v>4685</v>
      </c>
      <c r="J1865" t="str">
        <f t="shared" si="8"/>
        <v>normalweight</v>
      </c>
    </row>
    <row r="1866" spans="1:10" ht="15.75" customHeight="1">
      <c r="A1866" t="s">
        <v>953</v>
      </c>
      <c r="B1866">
        <v>28.88</v>
      </c>
      <c r="C1866">
        <v>4.96</v>
      </c>
      <c r="D1866" t="s">
        <v>4733</v>
      </c>
      <c r="E1866" t="s">
        <v>4685</v>
      </c>
      <c r="F1866" t="s">
        <v>4685</v>
      </c>
      <c r="G1866" t="s">
        <v>4685</v>
      </c>
      <c r="H1866" s="2">
        <v>0</v>
      </c>
      <c r="I1866" t="s">
        <v>4685</v>
      </c>
      <c r="J1866" t="str">
        <f t="shared" si="8"/>
        <v>normalweight</v>
      </c>
    </row>
    <row r="1867" spans="1:10" ht="15.75" customHeight="1">
      <c r="A1867" t="s">
        <v>951</v>
      </c>
      <c r="B1867">
        <v>35.814999999999998</v>
      </c>
      <c r="C1867">
        <v>5.1100000000000003</v>
      </c>
      <c r="D1867" t="s">
        <v>4732</v>
      </c>
      <c r="E1867" t="s">
        <v>4686</v>
      </c>
      <c r="F1867" t="s">
        <v>4685</v>
      </c>
      <c r="G1867" t="s">
        <v>4685</v>
      </c>
      <c r="H1867" s="2">
        <v>1</v>
      </c>
      <c r="I1867" t="s">
        <v>4685</v>
      </c>
      <c r="J1867" t="str">
        <f t="shared" si="8"/>
        <v>normalweight</v>
      </c>
    </row>
    <row r="1868" spans="1:10" ht="15.75" customHeight="1">
      <c r="A1868" t="s">
        <v>949</v>
      </c>
      <c r="B1868">
        <v>21.28</v>
      </c>
      <c r="C1868">
        <v>4.05</v>
      </c>
      <c r="D1868" t="s">
        <v>4732</v>
      </c>
      <c r="E1868" t="s">
        <v>4685</v>
      </c>
      <c r="F1868" t="s">
        <v>4686</v>
      </c>
      <c r="G1868" t="s">
        <v>4685</v>
      </c>
      <c r="H1868" s="2">
        <v>1</v>
      </c>
      <c r="I1868" t="s">
        <v>4685</v>
      </c>
      <c r="J1868" t="str">
        <f t="shared" si="8"/>
        <v>normalweight</v>
      </c>
    </row>
    <row r="1869" spans="1:10" ht="15.75" customHeight="1">
      <c r="A1869" t="s">
        <v>947</v>
      </c>
      <c r="B1869">
        <v>33.81</v>
      </c>
      <c r="C1869">
        <v>6.49</v>
      </c>
      <c r="D1869" t="s">
        <v>4733</v>
      </c>
      <c r="E1869" t="s">
        <v>4685</v>
      </c>
      <c r="F1869" t="s">
        <v>4685</v>
      </c>
      <c r="G1869" t="s">
        <v>4688</v>
      </c>
      <c r="H1869" s="2">
        <v>1</v>
      </c>
      <c r="I1869" t="s">
        <v>4685</v>
      </c>
      <c r="J1869" t="str">
        <f t="shared" si="8"/>
        <v>normalweight</v>
      </c>
    </row>
    <row r="1870" spans="1:10" ht="15.75" customHeight="1">
      <c r="A1870" t="s">
        <v>945</v>
      </c>
      <c r="B1870">
        <v>44.22</v>
      </c>
      <c r="C1870">
        <v>4.1900000000000004</v>
      </c>
      <c r="D1870" t="s">
        <v>4732</v>
      </c>
      <c r="E1870" t="s">
        <v>4685</v>
      </c>
      <c r="F1870" t="s">
        <v>4685</v>
      </c>
      <c r="G1870" t="s">
        <v>4685</v>
      </c>
      <c r="H1870" s="2">
        <v>1</v>
      </c>
      <c r="I1870" t="s">
        <v>4685</v>
      </c>
      <c r="J1870" t="str">
        <f t="shared" si="8"/>
        <v>normalweight</v>
      </c>
    </row>
    <row r="1871" spans="1:10" ht="15.75" customHeight="1">
      <c r="A1871" t="s">
        <v>943</v>
      </c>
      <c r="B1871">
        <v>15.46</v>
      </c>
      <c r="C1871">
        <v>4.99</v>
      </c>
      <c r="D1871" t="s">
        <v>4732</v>
      </c>
      <c r="E1871" t="s">
        <v>4686</v>
      </c>
      <c r="F1871" t="s">
        <v>4685</v>
      </c>
      <c r="G1871" t="s">
        <v>4688</v>
      </c>
      <c r="H1871" s="2">
        <v>1</v>
      </c>
      <c r="I1871" t="s">
        <v>4685</v>
      </c>
      <c r="J1871" t="str">
        <f t="shared" si="8"/>
        <v>underweight</v>
      </c>
    </row>
    <row r="1872" spans="1:10" ht="15.75" customHeight="1">
      <c r="A1872" t="s">
        <v>941</v>
      </c>
      <c r="B1872">
        <v>30.3</v>
      </c>
      <c r="C1872">
        <v>4.7699999999999996</v>
      </c>
      <c r="D1872" t="s">
        <v>4732</v>
      </c>
      <c r="E1872" t="s">
        <v>4686</v>
      </c>
      <c r="F1872" t="s">
        <v>4685</v>
      </c>
      <c r="G1872" t="s">
        <v>4685</v>
      </c>
      <c r="H1872" s="2">
        <v>1</v>
      </c>
      <c r="I1872" t="s">
        <v>4685</v>
      </c>
      <c r="J1872" t="str">
        <f t="shared" si="8"/>
        <v>normalweight</v>
      </c>
    </row>
    <row r="1873" spans="1:10" ht="15.75" customHeight="1">
      <c r="A1873" t="s">
        <v>939</v>
      </c>
      <c r="B1873">
        <v>16.670000000000002</v>
      </c>
      <c r="C1873">
        <v>5.46</v>
      </c>
      <c r="D1873" t="s">
        <v>4732</v>
      </c>
      <c r="E1873" t="s">
        <v>4685</v>
      </c>
      <c r="F1873" t="s">
        <v>4685</v>
      </c>
      <c r="G1873" t="s">
        <v>4685</v>
      </c>
      <c r="H1873" s="2">
        <v>0</v>
      </c>
      <c r="I1873" t="s">
        <v>4685</v>
      </c>
      <c r="J1873" t="str">
        <f t="shared" si="8"/>
        <v>underweight</v>
      </c>
    </row>
    <row r="1874" spans="1:10" ht="15.75" customHeight="1">
      <c r="A1874" t="s">
        <v>937</v>
      </c>
      <c r="B1874">
        <v>28.594999999999999</v>
      </c>
      <c r="C1874">
        <v>5.43</v>
      </c>
      <c r="D1874" t="s">
        <v>4732</v>
      </c>
      <c r="E1874" t="s">
        <v>4685</v>
      </c>
      <c r="F1874" t="s">
        <v>4685</v>
      </c>
      <c r="G1874" t="s">
        <v>4685</v>
      </c>
      <c r="H1874" s="2">
        <v>0</v>
      </c>
      <c r="I1874" t="s">
        <v>4685</v>
      </c>
      <c r="J1874" t="str">
        <f t="shared" si="8"/>
        <v>normalweight</v>
      </c>
    </row>
    <row r="1875" spans="1:10" ht="15.75" customHeight="1">
      <c r="A1875" t="s">
        <v>935</v>
      </c>
      <c r="B1875">
        <v>25.934999999999999</v>
      </c>
      <c r="C1875">
        <v>4.29</v>
      </c>
      <c r="D1875" t="s">
        <v>4732</v>
      </c>
      <c r="E1875" t="s">
        <v>4685</v>
      </c>
      <c r="F1875" t="s">
        <v>4685</v>
      </c>
      <c r="G1875" t="s">
        <v>4685</v>
      </c>
      <c r="H1875" s="2">
        <v>0</v>
      </c>
      <c r="I1875" t="s">
        <v>4685</v>
      </c>
      <c r="J1875" t="str">
        <f t="shared" si="8"/>
        <v>normalweight</v>
      </c>
    </row>
    <row r="1876" spans="1:10" ht="15.75" customHeight="1">
      <c r="A1876" t="s">
        <v>933</v>
      </c>
      <c r="B1876">
        <v>27.645</v>
      </c>
      <c r="C1876">
        <v>5.25</v>
      </c>
      <c r="D1876" t="s">
        <v>4732</v>
      </c>
      <c r="E1876" t="s">
        <v>4685</v>
      </c>
      <c r="F1876" t="s">
        <v>4685</v>
      </c>
      <c r="G1876" t="s">
        <v>4685</v>
      </c>
      <c r="H1876" s="2">
        <v>1</v>
      </c>
      <c r="I1876" t="s">
        <v>4685</v>
      </c>
      <c r="J1876" t="str">
        <f t="shared" si="8"/>
        <v>normalweight</v>
      </c>
    </row>
    <row r="1877" spans="1:10" ht="15.75" customHeight="1">
      <c r="A1877" t="s">
        <v>931</v>
      </c>
      <c r="B1877">
        <v>30.1</v>
      </c>
      <c r="C1877">
        <v>4.04</v>
      </c>
      <c r="D1877" t="s">
        <v>4732</v>
      </c>
      <c r="E1877" t="s">
        <v>4685</v>
      </c>
      <c r="F1877" t="s">
        <v>4685</v>
      </c>
      <c r="G1877" t="s">
        <v>4685</v>
      </c>
      <c r="H1877" s="2">
        <v>1</v>
      </c>
      <c r="I1877" t="s">
        <v>4685</v>
      </c>
      <c r="J1877" t="str">
        <f t="shared" si="8"/>
        <v>normalweight</v>
      </c>
    </row>
    <row r="1878" spans="1:10" ht="15.75" customHeight="1">
      <c r="A1878" t="s">
        <v>929</v>
      </c>
      <c r="B1878">
        <v>26.79</v>
      </c>
      <c r="C1878">
        <v>5</v>
      </c>
      <c r="D1878" t="s">
        <v>4732</v>
      </c>
      <c r="E1878" t="s">
        <v>4686</v>
      </c>
      <c r="F1878" t="s">
        <v>4685</v>
      </c>
      <c r="G1878" t="s">
        <v>4688</v>
      </c>
      <c r="H1878" s="2">
        <v>1</v>
      </c>
      <c r="I1878" t="s">
        <v>4685</v>
      </c>
      <c r="J1878" t="str">
        <f t="shared" si="8"/>
        <v>normalweight</v>
      </c>
    </row>
    <row r="1879" spans="1:10" ht="15.75" customHeight="1">
      <c r="A1879" t="s">
        <v>927</v>
      </c>
      <c r="B1879">
        <v>27.1</v>
      </c>
      <c r="C1879">
        <v>4.01</v>
      </c>
      <c r="D1879" t="s">
        <v>4732</v>
      </c>
      <c r="E1879" t="s">
        <v>4686</v>
      </c>
      <c r="F1879" t="s">
        <v>4685</v>
      </c>
      <c r="G1879" t="s">
        <v>4685</v>
      </c>
      <c r="H1879" s="2">
        <v>1</v>
      </c>
      <c r="I1879" t="s">
        <v>4685</v>
      </c>
      <c r="J1879" t="str">
        <f t="shared" si="8"/>
        <v>normalweight</v>
      </c>
    </row>
    <row r="1880" spans="1:10" ht="15.75" customHeight="1">
      <c r="A1880" t="s">
        <v>925</v>
      </c>
      <c r="B1880">
        <v>24.31</v>
      </c>
      <c r="C1880">
        <v>5.4</v>
      </c>
      <c r="D1880" t="s">
        <v>4732</v>
      </c>
      <c r="E1880" t="s">
        <v>4685</v>
      </c>
      <c r="F1880" t="s">
        <v>4685</v>
      </c>
      <c r="G1880" t="s">
        <v>4685</v>
      </c>
      <c r="H1880" s="2">
        <v>0</v>
      </c>
      <c r="I1880" t="s">
        <v>4685</v>
      </c>
      <c r="J1880" t="str">
        <f t="shared" si="8"/>
        <v>normalweight</v>
      </c>
    </row>
    <row r="1881" spans="1:10" ht="15.75" customHeight="1">
      <c r="A1881" t="s">
        <v>923</v>
      </c>
      <c r="B1881">
        <v>15.53</v>
      </c>
      <c r="C1881">
        <v>5.81</v>
      </c>
      <c r="D1881" t="s">
        <v>4733</v>
      </c>
      <c r="E1881" t="s">
        <v>4685</v>
      </c>
      <c r="F1881" t="s">
        <v>4685</v>
      </c>
      <c r="G1881" t="s">
        <v>4685</v>
      </c>
      <c r="H1881" s="2">
        <v>1</v>
      </c>
      <c r="I1881" t="s">
        <v>4685</v>
      </c>
      <c r="J1881" t="str">
        <f t="shared" si="8"/>
        <v>underweight</v>
      </c>
    </row>
    <row r="1882" spans="1:10" ht="15.75" customHeight="1">
      <c r="A1882" t="s">
        <v>921</v>
      </c>
      <c r="B1882">
        <v>30.7</v>
      </c>
      <c r="C1882">
        <v>5.82</v>
      </c>
      <c r="D1882" t="s">
        <v>4733</v>
      </c>
      <c r="E1882" t="s">
        <v>4685</v>
      </c>
      <c r="F1882" t="s">
        <v>4685</v>
      </c>
      <c r="G1882" t="s">
        <v>4685</v>
      </c>
      <c r="H1882" s="2">
        <v>1</v>
      </c>
      <c r="I1882" t="s">
        <v>4685</v>
      </c>
      <c r="J1882" t="str">
        <f t="shared" si="8"/>
        <v>normalweight</v>
      </c>
    </row>
    <row r="1883" spans="1:10" ht="15.75" customHeight="1">
      <c r="A1883" t="s">
        <v>919</v>
      </c>
      <c r="B1883">
        <v>33.33</v>
      </c>
      <c r="C1883">
        <v>4.82</v>
      </c>
      <c r="D1883" t="s">
        <v>4732</v>
      </c>
      <c r="E1883" t="s">
        <v>4685</v>
      </c>
      <c r="F1883" t="s">
        <v>4685</v>
      </c>
      <c r="G1883" t="s">
        <v>4685</v>
      </c>
      <c r="H1883" s="2">
        <v>1</v>
      </c>
      <c r="I1883" t="s">
        <v>4685</v>
      </c>
      <c r="J1883" t="str">
        <f t="shared" si="8"/>
        <v>normalweight</v>
      </c>
    </row>
    <row r="1884" spans="1:10" ht="15.75" customHeight="1">
      <c r="A1884" t="s">
        <v>917</v>
      </c>
      <c r="B1884">
        <v>32.4</v>
      </c>
      <c r="C1884">
        <v>5.08</v>
      </c>
      <c r="D1884" t="s">
        <v>4732</v>
      </c>
      <c r="E1884" t="s">
        <v>4685</v>
      </c>
      <c r="F1884" t="s">
        <v>4685</v>
      </c>
      <c r="G1884" t="s">
        <v>4685</v>
      </c>
      <c r="H1884" s="2">
        <v>1</v>
      </c>
      <c r="I1884" t="s">
        <v>4685</v>
      </c>
      <c r="J1884" t="str">
        <f t="shared" si="8"/>
        <v>normalweight</v>
      </c>
    </row>
    <row r="1885" spans="1:10" ht="15.75" customHeight="1">
      <c r="A1885" t="s">
        <v>915</v>
      </c>
      <c r="B1885">
        <v>27.93</v>
      </c>
      <c r="C1885">
        <v>5.59</v>
      </c>
      <c r="D1885" t="s">
        <v>4733</v>
      </c>
      <c r="E1885" t="s">
        <v>4685</v>
      </c>
      <c r="F1885" t="s">
        <v>4685</v>
      </c>
      <c r="G1885" t="s">
        <v>4685</v>
      </c>
      <c r="H1885" s="2">
        <v>1</v>
      </c>
      <c r="I1885" t="s">
        <v>4685</v>
      </c>
      <c r="J1885" t="str">
        <f t="shared" si="8"/>
        <v>normalweight</v>
      </c>
    </row>
    <row r="1886" spans="1:10" ht="15.75" customHeight="1">
      <c r="A1886" t="s">
        <v>913</v>
      </c>
      <c r="B1886">
        <v>21.754999999999999</v>
      </c>
      <c r="C1886">
        <v>5.12</v>
      </c>
      <c r="D1886" t="s">
        <v>4732</v>
      </c>
      <c r="E1886" t="s">
        <v>4685</v>
      </c>
      <c r="F1886" t="s">
        <v>4685</v>
      </c>
      <c r="G1886" t="s">
        <v>4685</v>
      </c>
      <c r="H1886" s="2">
        <v>0</v>
      </c>
      <c r="I1886" t="s">
        <v>4685</v>
      </c>
      <c r="J1886" t="str">
        <f t="shared" si="8"/>
        <v>normalweight</v>
      </c>
    </row>
    <row r="1887" spans="1:10" ht="15.75" customHeight="1">
      <c r="A1887" t="s">
        <v>911</v>
      </c>
      <c r="B1887">
        <v>25.934999999999999</v>
      </c>
      <c r="C1887">
        <v>4.95</v>
      </c>
      <c r="D1887" t="s">
        <v>4732</v>
      </c>
      <c r="E1887" t="s">
        <v>4685</v>
      </c>
      <c r="F1887" t="s">
        <v>4685</v>
      </c>
      <c r="G1887" t="s">
        <v>4685</v>
      </c>
      <c r="H1887" s="2">
        <v>0</v>
      </c>
      <c r="I1887" t="s">
        <v>4685</v>
      </c>
      <c r="J1887" t="str">
        <f t="shared" si="8"/>
        <v>normalweight</v>
      </c>
    </row>
    <row r="1888" spans="1:10" ht="15.75" customHeight="1">
      <c r="A1888" t="s">
        <v>909</v>
      </c>
      <c r="B1888">
        <v>31.5</v>
      </c>
      <c r="C1888">
        <v>6.16</v>
      </c>
      <c r="D1888" t="s">
        <v>4733</v>
      </c>
      <c r="E1888" t="s">
        <v>4685</v>
      </c>
      <c r="F1888" t="s">
        <v>4685</v>
      </c>
      <c r="G1888" t="s">
        <v>4685</v>
      </c>
      <c r="H1888" s="2">
        <v>0</v>
      </c>
      <c r="I1888" t="s">
        <v>4685</v>
      </c>
      <c r="J1888" t="str">
        <f t="shared" si="8"/>
        <v>normalweight</v>
      </c>
    </row>
    <row r="1889" spans="1:10" ht="15.75" customHeight="1">
      <c r="A1889" t="s">
        <v>907</v>
      </c>
      <c r="B1889">
        <v>30.03</v>
      </c>
      <c r="C1889">
        <v>6.41</v>
      </c>
      <c r="D1889" t="s">
        <v>4733</v>
      </c>
      <c r="E1889" t="s">
        <v>4685</v>
      </c>
      <c r="F1889" t="s">
        <v>4685</v>
      </c>
      <c r="G1889" t="s">
        <v>4685</v>
      </c>
      <c r="H1889" s="2">
        <v>0</v>
      </c>
      <c r="I1889" t="s">
        <v>4685</v>
      </c>
      <c r="J1889" t="str">
        <f t="shared" si="8"/>
        <v>normalweight</v>
      </c>
    </row>
    <row r="1890" spans="1:10" ht="15.75" customHeight="1">
      <c r="A1890" t="s">
        <v>905</v>
      </c>
      <c r="B1890">
        <v>33.479999999999997</v>
      </c>
      <c r="C1890">
        <v>8.94</v>
      </c>
      <c r="D1890" s="6" t="s">
        <v>4684</v>
      </c>
      <c r="E1890" t="s">
        <v>4685</v>
      </c>
      <c r="F1890" t="s">
        <v>4685</v>
      </c>
      <c r="G1890" t="s">
        <v>4685</v>
      </c>
      <c r="H1890" s="2">
        <v>0</v>
      </c>
      <c r="I1890" t="s">
        <v>4685</v>
      </c>
      <c r="J1890" t="str">
        <f t="shared" si="8"/>
        <v>normalweight</v>
      </c>
    </row>
    <row r="1891" spans="1:10" ht="15.75" customHeight="1">
      <c r="A1891" t="s">
        <v>903</v>
      </c>
      <c r="B1891">
        <v>16.510000000000002</v>
      </c>
      <c r="C1891">
        <v>4.42</v>
      </c>
      <c r="D1891" t="s">
        <v>4732</v>
      </c>
      <c r="E1891" t="s">
        <v>4686</v>
      </c>
      <c r="F1891" t="s">
        <v>4685</v>
      </c>
      <c r="G1891" t="s">
        <v>4688</v>
      </c>
      <c r="H1891" s="2">
        <v>1</v>
      </c>
      <c r="I1891" t="s">
        <v>4685</v>
      </c>
      <c r="J1891" t="str">
        <f t="shared" si="8"/>
        <v>underweight</v>
      </c>
    </row>
    <row r="1892" spans="1:10" ht="15.75" customHeight="1">
      <c r="A1892" t="s">
        <v>901</v>
      </c>
      <c r="B1892">
        <v>33.155000000000001</v>
      </c>
      <c r="C1892">
        <v>5.3</v>
      </c>
      <c r="D1892" t="s">
        <v>4732</v>
      </c>
      <c r="E1892" t="s">
        <v>4686</v>
      </c>
      <c r="F1892" t="s">
        <v>4685</v>
      </c>
      <c r="G1892" t="s">
        <v>4685</v>
      </c>
      <c r="H1892" s="2">
        <v>1</v>
      </c>
      <c r="I1892" t="s">
        <v>4685</v>
      </c>
      <c r="J1892" t="str">
        <f t="shared" si="8"/>
        <v>normalweight</v>
      </c>
    </row>
    <row r="1893" spans="1:10" ht="15.75" customHeight="1">
      <c r="A1893" t="s">
        <v>899</v>
      </c>
      <c r="B1893">
        <v>37.29</v>
      </c>
      <c r="C1893">
        <v>4.6399999999999997</v>
      </c>
      <c r="D1893" t="s">
        <v>4732</v>
      </c>
      <c r="E1893" t="s">
        <v>4685</v>
      </c>
      <c r="F1893" t="s">
        <v>4685</v>
      </c>
      <c r="G1893" t="s">
        <v>4688</v>
      </c>
      <c r="H1893" s="2">
        <v>1</v>
      </c>
      <c r="I1893" t="s">
        <v>4685</v>
      </c>
      <c r="J1893" t="str">
        <f t="shared" si="8"/>
        <v>normalweight</v>
      </c>
    </row>
    <row r="1894" spans="1:10" ht="15.75" customHeight="1">
      <c r="A1894" t="s">
        <v>897</v>
      </c>
      <c r="B1894">
        <v>20.23</v>
      </c>
      <c r="C1894">
        <v>6.16</v>
      </c>
      <c r="D1894" t="s">
        <v>4733</v>
      </c>
      <c r="E1894" t="s">
        <v>4686</v>
      </c>
      <c r="F1894" t="s">
        <v>4685</v>
      </c>
      <c r="G1894" t="s">
        <v>4685</v>
      </c>
      <c r="H1894" s="2">
        <v>1</v>
      </c>
      <c r="I1894" t="s">
        <v>4685</v>
      </c>
      <c r="J1894" t="str">
        <f t="shared" si="8"/>
        <v>normalweight</v>
      </c>
    </row>
    <row r="1895" spans="1:10" ht="15.75" customHeight="1">
      <c r="A1895" t="s">
        <v>895</v>
      </c>
      <c r="B1895">
        <v>28.975000000000001</v>
      </c>
      <c r="C1895">
        <v>4.12</v>
      </c>
      <c r="D1895" t="s">
        <v>4732</v>
      </c>
      <c r="E1895" t="s">
        <v>4685</v>
      </c>
      <c r="F1895" t="s">
        <v>4685</v>
      </c>
      <c r="G1895" t="s">
        <v>4688</v>
      </c>
      <c r="H1895" s="2">
        <v>1</v>
      </c>
      <c r="I1895" t="s">
        <v>4685</v>
      </c>
      <c r="J1895" t="str">
        <f t="shared" si="8"/>
        <v>normalweight</v>
      </c>
    </row>
    <row r="1896" spans="1:10" ht="15.75" customHeight="1">
      <c r="A1896" t="s">
        <v>893</v>
      </c>
      <c r="B1896">
        <v>16.420000000000002</v>
      </c>
      <c r="C1896">
        <v>5.77</v>
      </c>
      <c r="D1896" t="s">
        <v>4733</v>
      </c>
      <c r="E1896" t="s">
        <v>4686</v>
      </c>
      <c r="F1896" t="s">
        <v>4685</v>
      </c>
      <c r="G1896" t="s">
        <v>4688</v>
      </c>
      <c r="H1896" s="2">
        <v>1</v>
      </c>
      <c r="I1896" t="s">
        <v>4685</v>
      </c>
      <c r="J1896" t="str">
        <f t="shared" si="8"/>
        <v>underweight</v>
      </c>
    </row>
    <row r="1897" spans="1:10" ht="15.75" customHeight="1">
      <c r="A1897" t="s">
        <v>891</v>
      </c>
      <c r="B1897">
        <v>17.559999999999999</v>
      </c>
      <c r="C1897">
        <v>6.2</v>
      </c>
      <c r="D1897" t="s">
        <v>4733</v>
      </c>
      <c r="E1897" t="s">
        <v>4685</v>
      </c>
      <c r="F1897" t="s">
        <v>4685</v>
      </c>
      <c r="G1897" t="s">
        <v>4685</v>
      </c>
      <c r="H1897" s="2">
        <v>1</v>
      </c>
      <c r="I1897" t="s">
        <v>4685</v>
      </c>
      <c r="J1897" t="str">
        <f t="shared" si="8"/>
        <v>underweight</v>
      </c>
    </row>
    <row r="1898" spans="1:10" ht="15.75" customHeight="1">
      <c r="A1898" t="s">
        <v>889</v>
      </c>
      <c r="B1898">
        <v>24.13</v>
      </c>
      <c r="C1898">
        <v>4.3899999999999997</v>
      </c>
      <c r="D1898" t="s">
        <v>4732</v>
      </c>
      <c r="E1898" t="s">
        <v>4685</v>
      </c>
      <c r="F1898" t="s">
        <v>4685</v>
      </c>
      <c r="G1898" t="s">
        <v>4685</v>
      </c>
      <c r="H1898" s="2">
        <v>1</v>
      </c>
      <c r="I1898" t="s">
        <v>4685</v>
      </c>
      <c r="J1898" t="str">
        <f t="shared" si="8"/>
        <v>normalweight</v>
      </c>
    </row>
    <row r="1899" spans="1:10" ht="15.75" customHeight="1">
      <c r="A1899" t="s">
        <v>887</v>
      </c>
      <c r="B1899">
        <v>19.95</v>
      </c>
      <c r="C1899">
        <v>5.13</v>
      </c>
      <c r="D1899" t="s">
        <v>4732</v>
      </c>
      <c r="E1899" t="s">
        <v>4685</v>
      </c>
      <c r="F1899" t="s">
        <v>4686</v>
      </c>
      <c r="G1899" t="s">
        <v>4685</v>
      </c>
      <c r="H1899" s="2">
        <v>2</v>
      </c>
      <c r="I1899" t="s">
        <v>4685</v>
      </c>
      <c r="J1899" t="str">
        <f t="shared" si="8"/>
        <v>normalweight</v>
      </c>
    </row>
    <row r="1900" spans="1:10" ht="15.75" customHeight="1">
      <c r="A1900" t="s">
        <v>885</v>
      </c>
      <c r="B1900">
        <v>21.24</v>
      </c>
      <c r="C1900">
        <v>4.49</v>
      </c>
      <c r="D1900" t="s">
        <v>4732</v>
      </c>
      <c r="E1900" t="s">
        <v>4685</v>
      </c>
      <c r="F1900" t="s">
        <v>4685</v>
      </c>
      <c r="G1900" t="s">
        <v>4685</v>
      </c>
      <c r="H1900" s="2">
        <v>0</v>
      </c>
      <c r="I1900" t="s">
        <v>4685</v>
      </c>
      <c r="J1900" t="str">
        <f t="shared" si="8"/>
        <v>normalweight</v>
      </c>
    </row>
    <row r="1901" spans="1:10" ht="15.75" customHeight="1">
      <c r="A1901" t="s">
        <v>883</v>
      </c>
      <c r="B1901">
        <v>44.22</v>
      </c>
      <c r="C1901">
        <v>6.35</v>
      </c>
      <c r="D1901" t="s">
        <v>4733</v>
      </c>
      <c r="E1901" t="s">
        <v>4685</v>
      </c>
      <c r="F1901" t="s">
        <v>4685</v>
      </c>
      <c r="G1901" t="s">
        <v>4685</v>
      </c>
      <c r="H1901" s="2">
        <v>0</v>
      </c>
      <c r="I1901" t="s">
        <v>4685</v>
      </c>
      <c r="J1901" t="str">
        <f t="shared" si="8"/>
        <v>normalweight</v>
      </c>
    </row>
    <row r="1902" spans="1:10" ht="15.75" customHeight="1">
      <c r="A1902" t="s">
        <v>881</v>
      </c>
      <c r="B1902">
        <v>41.1</v>
      </c>
      <c r="C1902">
        <v>5.79</v>
      </c>
      <c r="D1902" t="s">
        <v>4733</v>
      </c>
      <c r="E1902" t="s">
        <v>4685</v>
      </c>
      <c r="F1902" t="s">
        <v>4685</v>
      </c>
      <c r="G1902" t="s">
        <v>4685</v>
      </c>
      <c r="H1902" s="2">
        <v>0</v>
      </c>
      <c r="I1902" t="s">
        <v>4685</v>
      </c>
      <c r="J1902" t="str">
        <f t="shared" si="8"/>
        <v>normalweight</v>
      </c>
    </row>
    <row r="1903" spans="1:10" ht="15.75" customHeight="1">
      <c r="A1903" t="s">
        <v>879</v>
      </c>
      <c r="B1903">
        <v>34.200000000000003</v>
      </c>
      <c r="C1903">
        <v>4.78</v>
      </c>
      <c r="D1903" t="s">
        <v>4732</v>
      </c>
      <c r="E1903" t="s">
        <v>4686</v>
      </c>
      <c r="F1903" t="s">
        <v>4685</v>
      </c>
      <c r="G1903" t="s">
        <v>4685</v>
      </c>
      <c r="H1903" s="2">
        <v>0</v>
      </c>
      <c r="I1903" t="s">
        <v>4685</v>
      </c>
      <c r="J1903" t="str">
        <f t="shared" si="8"/>
        <v>normalweight</v>
      </c>
    </row>
    <row r="1904" spans="1:10" ht="15.75" customHeight="1">
      <c r="A1904" t="s">
        <v>877</v>
      </c>
      <c r="B1904">
        <v>29.92</v>
      </c>
      <c r="C1904">
        <v>6.02</v>
      </c>
      <c r="D1904" t="s">
        <v>4733</v>
      </c>
      <c r="E1904" t="s">
        <v>4686</v>
      </c>
      <c r="F1904" t="s">
        <v>4685</v>
      </c>
      <c r="G1904" t="s">
        <v>4685</v>
      </c>
      <c r="H1904" s="2">
        <v>0</v>
      </c>
      <c r="I1904" t="s">
        <v>4685</v>
      </c>
      <c r="J1904" t="str">
        <f t="shared" si="8"/>
        <v>normalweight</v>
      </c>
    </row>
    <row r="1905" spans="1:10" ht="15.75" customHeight="1">
      <c r="A1905" t="s">
        <v>875</v>
      </c>
      <c r="B1905">
        <v>28.93</v>
      </c>
      <c r="C1905">
        <v>4.4400000000000004</v>
      </c>
      <c r="D1905" t="s">
        <v>4732</v>
      </c>
      <c r="E1905" t="s">
        <v>4685</v>
      </c>
      <c r="F1905" t="s">
        <v>4685</v>
      </c>
      <c r="G1905" t="s">
        <v>4685</v>
      </c>
      <c r="H1905" s="2">
        <v>0</v>
      </c>
      <c r="I1905" t="s">
        <v>4685</v>
      </c>
      <c r="J1905" t="str">
        <f t="shared" si="8"/>
        <v>normalweight</v>
      </c>
    </row>
    <row r="1906" spans="1:10" ht="15.75" customHeight="1">
      <c r="A1906" t="s">
        <v>873</v>
      </c>
      <c r="B1906">
        <v>31.254999999999999</v>
      </c>
      <c r="C1906">
        <v>5.84</v>
      </c>
      <c r="D1906" t="s">
        <v>4733</v>
      </c>
      <c r="E1906" t="s">
        <v>4686</v>
      </c>
      <c r="F1906" t="s">
        <v>4685</v>
      </c>
      <c r="G1906" t="s">
        <v>4685</v>
      </c>
      <c r="H1906" s="2">
        <v>1</v>
      </c>
      <c r="I1906" t="s">
        <v>4685</v>
      </c>
      <c r="J1906" t="str">
        <f t="shared" si="8"/>
        <v>normalweight</v>
      </c>
    </row>
    <row r="1907" spans="1:10" ht="15.75" customHeight="1">
      <c r="A1907" t="s">
        <v>871</v>
      </c>
      <c r="B1907">
        <v>29.83</v>
      </c>
      <c r="C1907">
        <v>5.39</v>
      </c>
      <c r="D1907" t="s">
        <v>4732</v>
      </c>
      <c r="E1907" t="s">
        <v>4685</v>
      </c>
      <c r="F1907" t="s">
        <v>4685</v>
      </c>
      <c r="G1907" t="s">
        <v>4685</v>
      </c>
      <c r="H1907" s="2">
        <v>0</v>
      </c>
      <c r="I1907" t="s">
        <v>4685</v>
      </c>
      <c r="J1907" t="str">
        <f t="shared" si="8"/>
        <v>normalweight</v>
      </c>
    </row>
    <row r="1908" spans="1:10" ht="15.75" customHeight="1">
      <c r="A1908" t="s">
        <v>869</v>
      </c>
      <c r="B1908">
        <v>29.59</v>
      </c>
      <c r="C1908">
        <v>6.16</v>
      </c>
      <c r="D1908" t="s">
        <v>4733</v>
      </c>
      <c r="E1908" t="s">
        <v>4685</v>
      </c>
      <c r="F1908" t="s">
        <v>4685</v>
      </c>
      <c r="G1908" t="s">
        <v>4688</v>
      </c>
      <c r="H1908" s="2">
        <v>1</v>
      </c>
      <c r="I1908" t="s">
        <v>4685</v>
      </c>
      <c r="J1908" t="str">
        <f t="shared" si="8"/>
        <v>normalweight</v>
      </c>
    </row>
    <row r="1909" spans="1:10" ht="15.75" customHeight="1">
      <c r="A1909" t="s">
        <v>867</v>
      </c>
      <c r="B1909">
        <v>31.16</v>
      </c>
      <c r="C1909">
        <v>4.49</v>
      </c>
      <c r="D1909" t="s">
        <v>4732</v>
      </c>
      <c r="E1909" t="s">
        <v>4685</v>
      </c>
      <c r="F1909" t="s">
        <v>4685</v>
      </c>
      <c r="G1909" t="s">
        <v>4688</v>
      </c>
      <c r="H1909" s="2">
        <v>1</v>
      </c>
      <c r="I1909" t="s">
        <v>4685</v>
      </c>
      <c r="J1909" t="str">
        <f t="shared" si="8"/>
        <v>normalweight</v>
      </c>
    </row>
    <row r="1910" spans="1:10" ht="15.75" customHeight="1">
      <c r="A1910" t="s">
        <v>865</v>
      </c>
      <c r="B1910">
        <v>34.21</v>
      </c>
      <c r="C1910">
        <v>4.4800000000000004</v>
      </c>
      <c r="D1910" t="s">
        <v>4732</v>
      </c>
      <c r="E1910" t="s">
        <v>4686</v>
      </c>
      <c r="F1910" t="s">
        <v>4685</v>
      </c>
      <c r="G1910" t="s">
        <v>4685</v>
      </c>
      <c r="H1910" s="2">
        <v>1</v>
      </c>
      <c r="I1910" t="s">
        <v>4685</v>
      </c>
      <c r="J1910" t="str">
        <f t="shared" si="8"/>
        <v>normalweight</v>
      </c>
    </row>
    <row r="1911" spans="1:10" ht="15.75" customHeight="1">
      <c r="A1911" t="s">
        <v>863</v>
      </c>
      <c r="B1911">
        <v>34.86</v>
      </c>
      <c r="C1911">
        <v>10.97</v>
      </c>
      <c r="D1911" s="6" t="s">
        <v>4684</v>
      </c>
      <c r="E1911" t="s">
        <v>4685</v>
      </c>
      <c r="F1911" t="s">
        <v>4685</v>
      </c>
      <c r="G1911" t="s">
        <v>4685</v>
      </c>
      <c r="H1911" s="2">
        <v>0</v>
      </c>
      <c r="I1911" t="s">
        <v>4685</v>
      </c>
      <c r="J1911" t="str">
        <f t="shared" si="8"/>
        <v>normalweight</v>
      </c>
    </row>
    <row r="1912" spans="1:10" ht="15.75" customHeight="1">
      <c r="A1912" t="s">
        <v>861</v>
      </c>
      <c r="B1912">
        <v>34.58</v>
      </c>
      <c r="C1912">
        <v>5.14</v>
      </c>
      <c r="D1912" t="s">
        <v>4732</v>
      </c>
      <c r="E1912" t="s">
        <v>4685</v>
      </c>
      <c r="F1912" t="s">
        <v>4686</v>
      </c>
      <c r="G1912" t="s">
        <v>4685</v>
      </c>
      <c r="H1912" s="2">
        <v>2</v>
      </c>
      <c r="I1912" t="s">
        <v>4685</v>
      </c>
      <c r="J1912" t="str">
        <f t="shared" si="8"/>
        <v>normalweight</v>
      </c>
    </row>
    <row r="1913" spans="1:10" ht="15.75" customHeight="1">
      <c r="A1913" t="s">
        <v>859</v>
      </c>
      <c r="B1913">
        <v>17.940000000000001</v>
      </c>
      <c r="C1913">
        <v>5.17</v>
      </c>
      <c r="D1913" t="s">
        <v>4732</v>
      </c>
      <c r="E1913" t="s">
        <v>4686</v>
      </c>
      <c r="F1913" t="s">
        <v>4685</v>
      </c>
      <c r="G1913" t="s">
        <v>4685</v>
      </c>
      <c r="H1913" s="2">
        <v>0</v>
      </c>
      <c r="I1913" t="s">
        <v>4685</v>
      </c>
      <c r="J1913" t="str">
        <f t="shared" si="8"/>
        <v>underweight</v>
      </c>
    </row>
    <row r="1914" spans="1:10" ht="15.75" customHeight="1">
      <c r="A1914" t="s">
        <v>857</v>
      </c>
      <c r="B1914">
        <v>26.8</v>
      </c>
      <c r="C1914">
        <v>6.18</v>
      </c>
      <c r="D1914" t="s">
        <v>4733</v>
      </c>
      <c r="E1914" t="s">
        <v>4686</v>
      </c>
      <c r="F1914" t="s">
        <v>4685</v>
      </c>
      <c r="G1914" t="s">
        <v>4688</v>
      </c>
      <c r="H1914" s="2">
        <v>1</v>
      </c>
      <c r="I1914" t="s">
        <v>4685</v>
      </c>
      <c r="J1914" t="str">
        <f t="shared" si="8"/>
        <v>normalweight</v>
      </c>
    </row>
    <row r="1915" spans="1:10" ht="15.75" customHeight="1">
      <c r="A1915" t="s">
        <v>855</v>
      </c>
      <c r="B1915">
        <v>17.690000000000001</v>
      </c>
      <c r="C1915">
        <v>9.07</v>
      </c>
      <c r="D1915" s="6" t="s">
        <v>4684</v>
      </c>
      <c r="E1915" t="s">
        <v>4686</v>
      </c>
      <c r="F1915" t="s">
        <v>4685</v>
      </c>
      <c r="G1915" t="s">
        <v>4685</v>
      </c>
      <c r="H1915" s="2">
        <v>0</v>
      </c>
      <c r="I1915" t="s">
        <v>4685</v>
      </c>
      <c r="J1915" t="str">
        <f t="shared" si="8"/>
        <v>underweight</v>
      </c>
    </row>
    <row r="1916" spans="1:10" ht="15.75" customHeight="1">
      <c r="A1916" t="s">
        <v>853</v>
      </c>
      <c r="B1916">
        <v>25.77</v>
      </c>
      <c r="C1916">
        <v>4.43</v>
      </c>
      <c r="D1916" t="s">
        <v>4732</v>
      </c>
      <c r="E1916" t="s">
        <v>4685</v>
      </c>
      <c r="F1916" t="s">
        <v>4685</v>
      </c>
      <c r="G1916" t="s">
        <v>4688</v>
      </c>
      <c r="H1916" s="2">
        <v>1</v>
      </c>
      <c r="I1916" t="s">
        <v>4685</v>
      </c>
      <c r="J1916" t="str">
        <f t="shared" si="8"/>
        <v>normalweight</v>
      </c>
    </row>
    <row r="1917" spans="1:10" ht="15.75" customHeight="1">
      <c r="A1917" t="s">
        <v>851</v>
      </c>
      <c r="B1917">
        <v>34.46</v>
      </c>
      <c r="C1917">
        <v>4.17</v>
      </c>
      <c r="D1917" t="s">
        <v>4732</v>
      </c>
      <c r="E1917" t="s">
        <v>4685</v>
      </c>
      <c r="F1917" t="s">
        <v>4686</v>
      </c>
      <c r="G1917" t="s">
        <v>4685</v>
      </c>
      <c r="H1917" s="2">
        <v>1</v>
      </c>
      <c r="I1917" t="s">
        <v>4685</v>
      </c>
      <c r="J1917" t="str">
        <f t="shared" si="8"/>
        <v>normalweight</v>
      </c>
    </row>
    <row r="1918" spans="1:10" ht="15.75" customHeight="1">
      <c r="A1918" t="s">
        <v>849</v>
      </c>
      <c r="B1918">
        <v>30.875</v>
      </c>
      <c r="C1918">
        <v>4.95</v>
      </c>
      <c r="D1918" t="s">
        <v>4732</v>
      </c>
      <c r="E1918" t="s">
        <v>4686</v>
      </c>
      <c r="F1918" t="s">
        <v>4685</v>
      </c>
      <c r="G1918" t="s">
        <v>4685</v>
      </c>
      <c r="H1918" s="2">
        <v>0</v>
      </c>
      <c r="I1918" t="s">
        <v>4685</v>
      </c>
      <c r="J1918" t="str">
        <f t="shared" si="8"/>
        <v>normalweight</v>
      </c>
    </row>
    <row r="1919" spans="1:10" ht="15.75" customHeight="1">
      <c r="A1919" t="s">
        <v>847</v>
      </c>
      <c r="B1919">
        <v>39.49</v>
      </c>
      <c r="C1919">
        <v>5.13</v>
      </c>
      <c r="D1919" t="s">
        <v>4732</v>
      </c>
      <c r="E1919" t="s">
        <v>4685</v>
      </c>
      <c r="F1919" t="s">
        <v>4685</v>
      </c>
      <c r="G1919" t="s">
        <v>4685</v>
      </c>
      <c r="H1919" s="2">
        <v>0</v>
      </c>
      <c r="I1919" t="s">
        <v>4685</v>
      </c>
      <c r="J1919" t="str">
        <f t="shared" si="8"/>
        <v>normalweight</v>
      </c>
    </row>
    <row r="1920" spans="1:10" ht="15.75" customHeight="1">
      <c r="A1920" t="s">
        <v>845</v>
      </c>
      <c r="B1920">
        <v>28.88</v>
      </c>
      <c r="C1920">
        <v>4.0999999999999996</v>
      </c>
      <c r="D1920" t="s">
        <v>4732</v>
      </c>
      <c r="E1920" t="s">
        <v>4685</v>
      </c>
      <c r="F1920" t="s">
        <v>4685</v>
      </c>
      <c r="G1920" t="s">
        <v>4685</v>
      </c>
      <c r="H1920" s="2">
        <v>0</v>
      </c>
      <c r="I1920" t="s">
        <v>4685</v>
      </c>
      <c r="J1920" t="str">
        <f t="shared" si="8"/>
        <v>normalweight</v>
      </c>
    </row>
    <row r="1921" spans="1:10" ht="15.75" customHeight="1">
      <c r="A1921" t="s">
        <v>843</v>
      </c>
      <c r="B1921">
        <v>20.234999999999999</v>
      </c>
      <c r="C1921">
        <v>5.01</v>
      </c>
      <c r="D1921" t="s">
        <v>4732</v>
      </c>
      <c r="E1921" t="s">
        <v>4686</v>
      </c>
      <c r="F1921" t="s">
        <v>4685</v>
      </c>
      <c r="G1921" t="s">
        <v>4685</v>
      </c>
      <c r="H1921" s="2">
        <v>0</v>
      </c>
      <c r="I1921" t="s">
        <v>4685</v>
      </c>
      <c r="J1921" t="str">
        <f t="shared" si="8"/>
        <v>normalweight</v>
      </c>
    </row>
    <row r="1922" spans="1:10" ht="15.75" customHeight="1">
      <c r="A1922" t="s">
        <v>841</v>
      </c>
      <c r="B1922">
        <v>30.67</v>
      </c>
      <c r="C1922">
        <v>5.09</v>
      </c>
      <c r="D1922" t="s">
        <v>4732</v>
      </c>
      <c r="E1922" t="s">
        <v>4686</v>
      </c>
      <c r="F1922" t="s">
        <v>4685</v>
      </c>
      <c r="G1922" t="s">
        <v>4685</v>
      </c>
      <c r="H1922" s="2">
        <v>0</v>
      </c>
      <c r="I1922" t="s">
        <v>4685</v>
      </c>
      <c r="J1922" t="str">
        <f t="shared" si="8"/>
        <v>normalweight</v>
      </c>
    </row>
    <row r="1923" spans="1:10" ht="15.75" customHeight="1">
      <c r="A1923" t="s">
        <v>839</v>
      </c>
      <c r="B1923">
        <v>30.875</v>
      </c>
      <c r="C1923">
        <v>6.49</v>
      </c>
      <c r="D1923" t="s">
        <v>4733</v>
      </c>
      <c r="E1923" t="s">
        <v>4685</v>
      </c>
      <c r="F1923" t="s">
        <v>4685</v>
      </c>
      <c r="G1923" t="s">
        <v>4685</v>
      </c>
      <c r="H1923" s="2">
        <v>0</v>
      </c>
      <c r="I1923" t="s">
        <v>4685</v>
      </c>
      <c r="J1923" t="str">
        <f t="shared" si="8"/>
        <v>normalweight</v>
      </c>
    </row>
    <row r="1924" spans="1:10" ht="15.75" customHeight="1">
      <c r="A1924" t="s">
        <v>837</v>
      </c>
      <c r="B1924">
        <v>23.8</v>
      </c>
      <c r="C1924">
        <v>4.08</v>
      </c>
      <c r="D1924" t="s">
        <v>4732</v>
      </c>
      <c r="E1924" t="s">
        <v>4685</v>
      </c>
      <c r="F1924" t="s">
        <v>4685</v>
      </c>
      <c r="G1924" t="s">
        <v>4685</v>
      </c>
      <c r="H1924" s="2">
        <v>0</v>
      </c>
      <c r="I1924" t="s">
        <v>4685</v>
      </c>
      <c r="J1924" t="str">
        <f t="shared" si="8"/>
        <v>normalweight</v>
      </c>
    </row>
    <row r="1925" spans="1:10" ht="15.75" customHeight="1">
      <c r="A1925" t="s">
        <v>835</v>
      </c>
      <c r="B1925">
        <v>15.37</v>
      </c>
      <c r="C1925">
        <v>8.6300000000000008</v>
      </c>
      <c r="D1925" s="6" t="s">
        <v>4684</v>
      </c>
      <c r="E1925" t="s">
        <v>4686</v>
      </c>
      <c r="F1925" t="s">
        <v>4685</v>
      </c>
      <c r="G1925" t="s">
        <v>4685</v>
      </c>
      <c r="H1925" s="2">
        <v>0</v>
      </c>
      <c r="I1925" t="s">
        <v>4685</v>
      </c>
      <c r="J1925" t="str">
        <f t="shared" si="8"/>
        <v>underweight</v>
      </c>
    </row>
    <row r="1926" spans="1:10" ht="15.75" customHeight="1">
      <c r="A1926" t="s">
        <v>833</v>
      </c>
      <c r="B1926">
        <v>30.4</v>
      </c>
      <c r="C1926">
        <v>5.28</v>
      </c>
      <c r="D1926" t="s">
        <v>4732</v>
      </c>
      <c r="E1926" t="s">
        <v>4685</v>
      </c>
      <c r="F1926" t="s">
        <v>4685</v>
      </c>
      <c r="G1926" t="s">
        <v>4685</v>
      </c>
      <c r="H1926" s="2">
        <v>0</v>
      </c>
      <c r="I1926" t="s">
        <v>4685</v>
      </c>
      <c r="J1926" t="str">
        <f t="shared" si="8"/>
        <v>normalweight</v>
      </c>
    </row>
    <row r="1927" spans="1:10" ht="15.75" customHeight="1" thickBot="1">
      <c r="A1927" t="s">
        <v>831</v>
      </c>
      <c r="B1927">
        <v>19.48</v>
      </c>
      <c r="C1927">
        <v>5.63</v>
      </c>
      <c r="D1927" s="10" t="s">
        <v>4733</v>
      </c>
      <c r="E1927" t="s">
        <v>4686</v>
      </c>
      <c r="F1927" t="s">
        <v>4685</v>
      </c>
      <c r="G1927" t="s">
        <v>4685</v>
      </c>
      <c r="H1927" s="2">
        <v>1</v>
      </c>
      <c r="I1927" t="s">
        <v>4685</v>
      </c>
      <c r="J1927" t="str">
        <f t="shared" si="8"/>
        <v>normalweight</v>
      </c>
    </row>
    <row r="1928" spans="1:10" ht="15.75" customHeight="1" thickBot="1">
      <c r="A1928" t="s">
        <v>829</v>
      </c>
      <c r="B1928">
        <v>16.96</v>
      </c>
      <c r="C1928">
        <v>11.47</v>
      </c>
      <c r="D1928" s="6" t="s">
        <v>4684</v>
      </c>
      <c r="E1928" t="s">
        <v>4686</v>
      </c>
      <c r="F1928" t="s">
        <v>4685</v>
      </c>
      <c r="G1928" t="s">
        <v>4685</v>
      </c>
      <c r="H1928" s="2">
        <v>0</v>
      </c>
      <c r="I1928" t="s">
        <v>4685</v>
      </c>
      <c r="J1928" t="str">
        <f t="shared" si="8"/>
        <v>underweight</v>
      </c>
    </row>
    <row r="1929" spans="1:10" ht="15.75" customHeight="1">
      <c r="A1929" t="s">
        <v>827</v>
      </c>
      <c r="B1929">
        <v>19.05</v>
      </c>
      <c r="C1929">
        <v>4.92</v>
      </c>
      <c r="D1929" t="s">
        <v>4732</v>
      </c>
      <c r="E1929" t="s">
        <v>4685</v>
      </c>
      <c r="F1929" t="s">
        <v>4685</v>
      </c>
      <c r="G1929" t="s">
        <v>4685</v>
      </c>
      <c r="H1929" s="2">
        <v>1</v>
      </c>
      <c r="I1929" t="s">
        <v>4685</v>
      </c>
      <c r="J1929" t="str">
        <f t="shared" si="8"/>
        <v>normalweight</v>
      </c>
    </row>
    <row r="1930" spans="1:10" ht="15.75" customHeight="1">
      <c r="A1930" t="s">
        <v>825</v>
      </c>
      <c r="B1930">
        <v>37.619999999999997</v>
      </c>
      <c r="C1930">
        <v>4.18</v>
      </c>
      <c r="D1930" t="s">
        <v>4732</v>
      </c>
      <c r="E1930" t="s">
        <v>4685</v>
      </c>
      <c r="F1930" t="s">
        <v>4685</v>
      </c>
      <c r="G1930" t="s">
        <v>4685</v>
      </c>
      <c r="H1930" s="2">
        <v>0</v>
      </c>
      <c r="I1930" t="s">
        <v>4685</v>
      </c>
      <c r="J1930" t="str">
        <f t="shared" si="8"/>
        <v>normalweight</v>
      </c>
    </row>
    <row r="1931" spans="1:10" ht="15.75" customHeight="1">
      <c r="A1931" t="s">
        <v>823</v>
      </c>
      <c r="B1931">
        <v>29.1</v>
      </c>
      <c r="C1931">
        <v>4.67</v>
      </c>
      <c r="D1931" t="s">
        <v>4732</v>
      </c>
      <c r="E1931" t="s">
        <v>4685</v>
      </c>
      <c r="F1931" t="s">
        <v>4685</v>
      </c>
      <c r="G1931" t="s">
        <v>4685</v>
      </c>
      <c r="H1931" s="2">
        <v>0</v>
      </c>
      <c r="I1931" t="s">
        <v>4685</v>
      </c>
      <c r="J1931" t="str">
        <f t="shared" si="8"/>
        <v>normalweight</v>
      </c>
    </row>
    <row r="1932" spans="1:10" ht="15.75" customHeight="1">
      <c r="A1932" t="s">
        <v>821</v>
      </c>
      <c r="B1932">
        <v>26.62</v>
      </c>
      <c r="C1932">
        <v>6.24</v>
      </c>
      <c r="D1932" s="10" t="s">
        <v>4733</v>
      </c>
      <c r="E1932" t="s">
        <v>4685</v>
      </c>
      <c r="F1932" t="s">
        <v>4685</v>
      </c>
      <c r="G1932" t="s">
        <v>4685</v>
      </c>
      <c r="H1932" s="2">
        <v>0</v>
      </c>
      <c r="I1932" t="s">
        <v>4685</v>
      </c>
      <c r="J1932" t="str">
        <f t="shared" si="8"/>
        <v>normalweight</v>
      </c>
    </row>
    <row r="1933" spans="1:10" ht="15.75" customHeight="1" thickBot="1">
      <c r="A1933" t="s">
        <v>819</v>
      </c>
      <c r="B1933">
        <v>25.74</v>
      </c>
      <c r="C1933">
        <v>5.99</v>
      </c>
      <c r="D1933" s="10" t="s">
        <v>4733</v>
      </c>
      <c r="E1933" t="s">
        <v>4685</v>
      </c>
      <c r="F1933" t="s">
        <v>4685</v>
      </c>
      <c r="G1933" t="s">
        <v>4685</v>
      </c>
      <c r="H1933" s="2">
        <v>0</v>
      </c>
      <c r="I1933" t="s">
        <v>4685</v>
      </c>
      <c r="J1933" t="str">
        <f t="shared" si="8"/>
        <v>normalweight</v>
      </c>
    </row>
    <row r="1934" spans="1:10" ht="15.75" customHeight="1" thickBot="1">
      <c r="A1934" t="s">
        <v>817</v>
      </c>
      <c r="B1934">
        <v>18.22</v>
      </c>
      <c r="C1934">
        <v>10.27</v>
      </c>
      <c r="D1934" s="6" t="s">
        <v>4684</v>
      </c>
      <c r="E1934" t="s">
        <v>4686</v>
      </c>
      <c r="F1934" t="s">
        <v>4685</v>
      </c>
      <c r="G1934" t="s">
        <v>4685</v>
      </c>
      <c r="H1934" s="2">
        <v>1</v>
      </c>
      <c r="I1934" t="s">
        <v>4685</v>
      </c>
      <c r="J1934" t="str">
        <f t="shared" si="8"/>
        <v>underweight</v>
      </c>
    </row>
    <row r="1935" spans="1:10" ht="15.75" customHeight="1">
      <c r="A1935" t="s">
        <v>815</v>
      </c>
      <c r="B1935">
        <v>26.03</v>
      </c>
      <c r="C1935">
        <v>5.97</v>
      </c>
      <c r="D1935" s="10" t="s">
        <v>4733</v>
      </c>
      <c r="E1935" t="s">
        <v>4685</v>
      </c>
      <c r="F1935" t="s">
        <v>4685</v>
      </c>
      <c r="G1935" t="s">
        <v>4688</v>
      </c>
      <c r="H1935" s="2">
        <v>1</v>
      </c>
      <c r="I1935" t="s">
        <v>4685</v>
      </c>
      <c r="J1935" t="str">
        <f t="shared" si="8"/>
        <v>normalweight</v>
      </c>
    </row>
    <row r="1936" spans="1:10" ht="15.75" customHeight="1" thickBot="1">
      <c r="A1936" t="s">
        <v>813</v>
      </c>
      <c r="B1936">
        <v>17.29</v>
      </c>
      <c r="C1936">
        <v>4.9800000000000004</v>
      </c>
      <c r="D1936" t="s">
        <v>4732</v>
      </c>
      <c r="E1936" t="s">
        <v>4685</v>
      </c>
      <c r="F1936" t="s">
        <v>4685</v>
      </c>
      <c r="G1936" t="s">
        <v>4685</v>
      </c>
      <c r="H1936" s="2">
        <v>0</v>
      </c>
      <c r="I1936" t="s">
        <v>4685</v>
      </c>
      <c r="J1936" t="str">
        <f t="shared" si="8"/>
        <v>underweight</v>
      </c>
    </row>
    <row r="1937" spans="1:10" ht="15.75" customHeight="1">
      <c r="A1937" t="s">
        <v>811</v>
      </c>
      <c r="B1937">
        <v>18.170000000000002</v>
      </c>
      <c r="C1937">
        <v>6.91</v>
      </c>
      <c r="D1937" s="6" t="s">
        <v>4684</v>
      </c>
      <c r="E1937" t="s">
        <v>4686</v>
      </c>
      <c r="F1937" t="s">
        <v>4685</v>
      </c>
      <c r="G1937" t="s">
        <v>4685</v>
      </c>
      <c r="H1937" s="2">
        <v>1</v>
      </c>
      <c r="I1937" t="s">
        <v>4685</v>
      </c>
      <c r="J1937" t="str">
        <f t="shared" si="8"/>
        <v>underweight</v>
      </c>
    </row>
    <row r="1938" spans="1:10" ht="15.75" customHeight="1">
      <c r="A1938" t="s">
        <v>809</v>
      </c>
      <c r="B1938">
        <v>32.54</v>
      </c>
      <c r="C1938">
        <v>6.38</v>
      </c>
      <c r="D1938" s="10" t="s">
        <v>4733</v>
      </c>
      <c r="E1938" t="s">
        <v>4685</v>
      </c>
      <c r="F1938" t="s">
        <v>4686</v>
      </c>
      <c r="G1938" t="s">
        <v>4685</v>
      </c>
      <c r="H1938" s="2">
        <v>1</v>
      </c>
      <c r="I1938" t="s">
        <v>4685</v>
      </c>
      <c r="J1938" t="str">
        <f t="shared" si="8"/>
        <v>normalweight</v>
      </c>
    </row>
    <row r="1939" spans="1:10" ht="15.75" customHeight="1">
      <c r="A1939" t="s">
        <v>807</v>
      </c>
      <c r="B1939">
        <v>30.25</v>
      </c>
      <c r="C1939">
        <v>4.7699999999999996</v>
      </c>
      <c r="D1939" t="s">
        <v>4732</v>
      </c>
      <c r="E1939" t="s">
        <v>4685</v>
      </c>
      <c r="F1939" t="s">
        <v>4685</v>
      </c>
      <c r="G1939" t="s">
        <v>4685</v>
      </c>
      <c r="H1939" s="2">
        <v>0</v>
      </c>
      <c r="I1939" t="s">
        <v>4685</v>
      </c>
      <c r="J1939" t="str">
        <f t="shared" si="8"/>
        <v>normalweight</v>
      </c>
    </row>
    <row r="1940" spans="1:10" ht="15.75" customHeight="1">
      <c r="A1940" t="s">
        <v>805</v>
      </c>
      <c r="B1940">
        <v>19.59</v>
      </c>
      <c r="C1940">
        <v>6.04</v>
      </c>
      <c r="D1940" s="10" t="s">
        <v>4733</v>
      </c>
      <c r="E1940" t="s">
        <v>4686</v>
      </c>
      <c r="F1940" t="s">
        <v>4685</v>
      </c>
      <c r="G1940" t="s">
        <v>4685</v>
      </c>
      <c r="H1940" s="2">
        <v>1</v>
      </c>
      <c r="I1940" t="s">
        <v>4685</v>
      </c>
      <c r="J1940" t="str">
        <f t="shared" si="8"/>
        <v>normalweight</v>
      </c>
    </row>
    <row r="1941" spans="1:10" ht="15.75" customHeight="1">
      <c r="A1941" t="s">
        <v>803</v>
      </c>
      <c r="B1941">
        <v>45.9</v>
      </c>
      <c r="C1941">
        <v>4.3</v>
      </c>
      <c r="D1941" t="s">
        <v>4732</v>
      </c>
      <c r="E1941" t="s">
        <v>4686</v>
      </c>
      <c r="F1941" t="s">
        <v>4685</v>
      </c>
      <c r="G1941" t="s">
        <v>4685</v>
      </c>
      <c r="H1941" s="2">
        <v>1</v>
      </c>
      <c r="I1941" t="s">
        <v>4685</v>
      </c>
      <c r="J1941" t="str">
        <f t="shared" si="8"/>
        <v>normalweight</v>
      </c>
    </row>
    <row r="1942" spans="1:10" ht="15.75" customHeight="1">
      <c r="A1942" t="s">
        <v>801</v>
      </c>
      <c r="B1942">
        <v>17.059999999999999</v>
      </c>
      <c r="C1942">
        <v>8.75</v>
      </c>
      <c r="D1942" s="6" t="s">
        <v>4684</v>
      </c>
      <c r="E1942" t="s">
        <v>4686</v>
      </c>
      <c r="F1942" t="s">
        <v>4685</v>
      </c>
      <c r="G1942" t="s">
        <v>4685</v>
      </c>
      <c r="H1942" s="2">
        <v>0</v>
      </c>
      <c r="I1942" t="s">
        <v>4685</v>
      </c>
      <c r="J1942" t="str">
        <f t="shared" si="8"/>
        <v>underweight</v>
      </c>
    </row>
    <row r="1943" spans="1:10" ht="15.75" customHeight="1">
      <c r="A1943" t="s">
        <v>799</v>
      </c>
      <c r="B1943">
        <v>32.07</v>
      </c>
      <c r="C1943">
        <v>5.25</v>
      </c>
      <c r="D1943" t="s">
        <v>4732</v>
      </c>
      <c r="E1943" t="s">
        <v>4685</v>
      </c>
      <c r="F1943" t="s">
        <v>4685</v>
      </c>
      <c r="G1943" t="s">
        <v>4688</v>
      </c>
      <c r="H1943" s="2">
        <v>1</v>
      </c>
      <c r="I1943" t="s">
        <v>4685</v>
      </c>
      <c r="J1943" t="str">
        <f t="shared" si="8"/>
        <v>normalweight</v>
      </c>
    </row>
    <row r="1944" spans="1:10" ht="15.75" customHeight="1">
      <c r="A1944" t="s">
        <v>797</v>
      </c>
      <c r="B1944">
        <v>16.5</v>
      </c>
      <c r="C1944">
        <v>5.03</v>
      </c>
      <c r="D1944" t="s">
        <v>4732</v>
      </c>
      <c r="E1944" t="s">
        <v>4685</v>
      </c>
      <c r="F1944" t="s">
        <v>4685</v>
      </c>
      <c r="G1944" t="s">
        <v>4685</v>
      </c>
      <c r="H1944" s="2">
        <v>1</v>
      </c>
      <c r="I1944" t="s">
        <v>4685</v>
      </c>
      <c r="J1944" t="str">
        <f t="shared" si="8"/>
        <v>underweight</v>
      </c>
    </row>
    <row r="1945" spans="1:10" ht="15.75" customHeight="1">
      <c r="A1945" t="s">
        <v>795</v>
      </c>
      <c r="B1945">
        <v>31.4</v>
      </c>
      <c r="C1945">
        <v>5.88</v>
      </c>
      <c r="D1945" s="10" t="s">
        <v>4733</v>
      </c>
      <c r="E1945" t="s">
        <v>4685</v>
      </c>
      <c r="F1945" t="s">
        <v>4685</v>
      </c>
      <c r="G1945" t="s">
        <v>4685</v>
      </c>
      <c r="H1945" s="2">
        <v>1</v>
      </c>
      <c r="I1945" t="s">
        <v>4685</v>
      </c>
      <c r="J1945" t="str">
        <f t="shared" si="8"/>
        <v>normalweight</v>
      </c>
    </row>
    <row r="1946" spans="1:10" ht="15.75" customHeight="1">
      <c r="A1946" t="s">
        <v>793</v>
      </c>
      <c r="B1946">
        <v>20.36</v>
      </c>
      <c r="C1946">
        <v>4.49</v>
      </c>
      <c r="D1946" t="s">
        <v>4732</v>
      </c>
      <c r="E1946" t="s">
        <v>4685</v>
      </c>
      <c r="F1946" t="s">
        <v>4685</v>
      </c>
      <c r="G1946" t="s">
        <v>4685</v>
      </c>
      <c r="H1946" s="2">
        <v>0</v>
      </c>
      <c r="I1946" t="s">
        <v>4685</v>
      </c>
      <c r="J1946" t="str">
        <f t="shared" si="8"/>
        <v>normalweight</v>
      </c>
    </row>
    <row r="1947" spans="1:10" ht="15.75" customHeight="1">
      <c r="A1947" t="s">
        <v>791</v>
      </c>
      <c r="B1947">
        <v>25.46</v>
      </c>
      <c r="C1947">
        <v>4.1399999999999997</v>
      </c>
      <c r="D1947" t="s">
        <v>4732</v>
      </c>
      <c r="E1947" t="s">
        <v>4685</v>
      </c>
      <c r="F1947" t="s">
        <v>4685</v>
      </c>
      <c r="G1947" t="s">
        <v>4685</v>
      </c>
      <c r="H1947" s="2">
        <v>1</v>
      </c>
      <c r="I1947" t="s">
        <v>4685</v>
      </c>
      <c r="J1947" t="str">
        <f t="shared" si="8"/>
        <v>normalweight</v>
      </c>
    </row>
    <row r="1948" spans="1:10" ht="15.75" customHeight="1">
      <c r="A1948" t="s">
        <v>789</v>
      </c>
      <c r="B1948">
        <v>17.09</v>
      </c>
      <c r="C1948">
        <v>5.8</v>
      </c>
      <c r="D1948" t="s">
        <v>4733</v>
      </c>
      <c r="E1948" t="s">
        <v>4686</v>
      </c>
      <c r="F1948" t="s">
        <v>4685</v>
      </c>
      <c r="G1948" t="s">
        <v>4685</v>
      </c>
      <c r="H1948" s="2">
        <v>0</v>
      </c>
      <c r="I1948" t="s">
        <v>4685</v>
      </c>
      <c r="J1948" t="str">
        <f t="shared" si="8"/>
        <v>underweight</v>
      </c>
    </row>
    <row r="1949" spans="1:10" ht="15.75" customHeight="1">
      <c r="A1949" t="s">
        <v>787</v>
      </c>
      <c r="B1949">
        <v>20.83</v>
      </c>
      <c r="C1949">
        <v>5.12</v>
      </c>
      <c r="D1949" t="s">
        <v>4732</v>
      </c>
      <c r="E1949" t="s">
        <v>4685</v>
      </c>
      <c r="F1949" t="s">
        <v>4685</v>
      </c>
      <c r="G1949" t="s">
        <v>4685</v>
      </c>
      <c r="H1949" s="2">
        <v>0</v>
      </c>
      <c r="I1949" t="s">
        <v>4685</v>
      </c>
      <c r="J1949" t="str">
        <f t="shared" si="8"/>
        <v>normalweight</v>
      </c>
    </row>
    <row r="1950" spans="1:10" ht="15.75" customHeight="1">
      <c r="A1950" t="s">
        <v>785</v>
      </c>
      <c r="B1950">
        <v>18.920000000000002</v>
      </c>
      <c r="C1950">
        <v>5.98</v>
      </c>
      <c r="D1950" t="s">
        <v>4733</v>
      </c>
      <c r="E1950" t="s">
        <v>4686</v>
      </c>
      <c r="F1950" t="s">
        <v>4685</v>
      </c>
      <c r="G1950" t="s">
        <v>4685</v>
      </c>
      <c r="H1950" s="2">
        <v>1</v>
      </c>
      <c r="I1950" t="s">
        <v>4685</v>
      </c>
      <c r="J1950" t="str">
        <f t="shared" si="8"/>
        <v>normalweight</v>
      </c>
    </row>
    <row r="1951" spans="1:10" ht="15.75" customHeight="1">
      <c r="A1951" t="s">
        <v>783</v>
      </c>
      <c r="B1951">
        <v>37.1</v>
      </c>
      <c r="C1951">
        <v>5.46</v>
      </c>
      <c r="D1951" t="s">
        <v>4732</v>
      </c>
      <c r="E1951" t="s">
        <v>4685</v>
      </c>
      <c r="F1951" t="s">
        <v>4685</v>
      </c>
      <c r="G1951" t="s">
        <v>4685</v>
      </c>
      <c r="H1951" s="2">
        <v>0</v>
      </c>
      <c r="I1951" t="s">
        <v>4685</v>
      </c>
      <c r="J1951" t="str">
        <f t="shared" si="8"/>
        <v>normalweight</v>
      </c>
    </row>
    <row r="1952" spans="1:10" ht="15.75" customHeight="1">
      <c r="A1952" t="s">
        <v>781</v>
      </c>
      <c r="B1952">
        <v>22.515000000000001</v>
      </c>
      <c r="C1952">
        <v>4.91</v>
      </c>
      <c r="D1952" t="s">
        <v>4732</v>
      </c>
      <c r="E1952" t="s">
        <v>4686</v>
      </c>
      <c r="F1952" t="s">
        <v>4685</v>
      </c>
      <c r="G1952" t="s">
        <v>4688</v>
      </c>
      <c r="H1952" s="2">
        <v>1</v>
      </c>
      <c r="I1952" t="s">
        <v>4685</v>
      </c>
      <c r="J1952" t="str">
        <f t="shared" si="8"/>
        <v>normalweight</v>
      </c>
    </row>
    <row r="1953" spans="1:10" ht="15.75" customHeight="1">
      <c r="A1953" t="s">
        <v>779</v>
      </c>
      <c r="B1953">
        <v>32.700000000000003</v>
      </c>
      <c r="C1953">
        <v>4.66</v>
      </c>
      <c r="D1953" t="s">
        <v>4732</v>
      </c>
      <c r="E1953" t="s">
        <v>4685</v>
      </c>
      <c r="F1953" t="s">
        <v>4685</v>
      </c>
      <c r="G1953" t="s">
        <v>4685</v>
      </c>
      <c r="H1953" s="2">
        <v>0</v>
      </c>
      <c r="I1953" t="s">
        <v>4685</v>
      </c>
      <c r="J1953" t="str">
        <f t="shared" si="8"/>
        <v>normalweight</v>
      </c>
    </row>
    <row r="1954" spans="1:10" ht="15.75" customHeight="1">
      <c r="A1954" t="s">
        <v>777</v>
      </c>
      <c r="B1954">
        <v>17.75</v>
      </c>
      <c r="C1954">
        <v>6.8</v>
      </c>
      <c r="D1954" s="6" t="s">
        <v>4684</v>
      </c>
      <c r="E1954" t="s">
        <v>4686</v>
      </c>
      <c r="F1954" t="s">
        <v>4685</v>
      </c>
      <c r="G1954" t="s">
        <v>4685</v>
      </c>
      <c r="H1954" s="2">
        <v>1</v>
      </c>
      <c r="I1954" t="s">
        <v>4685</v>
      </c>
      <c r="J1954" t="str">
        <f t="shared" si="8"/>
        <v>underweight</v>
      </c>
    </row>
    <row r="1955" spans="1:10" ht="15.75" customHeight="1">
      <c r="A1955" t="s">
        <v>775</v>
      </c>
      <c r="B1955">
        <v>33.630000000000003</v>
      </c>
      <c r="C1955">
        <v>4.47</v>
      </c>
      <c r="D1955" t="s">
        <v>4732</v>
      </c>
      <c r="E1955" t="s">
        <v>4686</v>
      </c>
      <c r="F1955" t="s">
        <v>4685</v>
      </c>
      <c r="G1955" t="s">
        <v>4685</v>
      </c>
      <c r="H1955" s="2">
        <v>0</v>
      </c>
      <c r="I1955" t="s">
        <v>4685</v>
      </c>
      <c r="J1955" t="str">
        <f t="shared" si="8"/>
        <v>normalweight</v>
      </c>
    </row>
    <row r="1956" spans="1:10" ht="15.75" customHeight="1">
      <c r="A1956" t="s">
        <v>773</v>
      </c>
      <c r="B1956">
        <v>34.799999999999997</v>
      </c>
      <c r="C1956">
        <v>4.08</v>
      </c>
      <c r="D1956" t="s">
        <v>4732</v>
      </c>
      <c r="E1956" t="s">
        <v>4686</v>
      </c>
      <c r="F1956" t="s">
        <v>4685</v>
      </c>
      <c r="G1956" t="s">
        <v>4685</v>
      </c>
      <c r="H1956" s="2">
        <v>1</v>
      </c>
      <c r="I1956" t="s">
        <v>4685</v>
      </c>
      <c r="J1956" t="str">
        <f t="shared" si="8"/>
        <v>normalweight</v>
      </c>
    </row>
    <row r="1957" spans="1:10" ht="15.75" customHeight="1">
      <c r="A1957" t="s">
        <v>771</v>
      </c>
      <c r="B1957">
        <v>16.809999999999999</v>
      </c>
      <c r="C1957">
        <v>5.51</v>
      </c>
      <c r="D1957" t="s">
        <v>4732</v>
      </c>
      <c r="E1957" t="s">
        <v>4686</v>
      </c>
      <c r="F1957" t="s">
        <v>4685</v>
      </c>
      <c r="G1957" t="s">
        <v>4685</v>
      </c>
      <c r="H1957" s="2">
        <v>1</v>
      </c>
      <c r="I1957" t="s">
        <v>4685</v>
      </c>
      <c r="J1957" t="str">
        <f t="shared" si="8"/>
        <v>underweight</v>
      </c>
    </row>
    <row r="1958" spans="1:10" ht="15.75" customHeight="1">
      <c r="A1958" t="s">
        <v>769</v>
      </c>
      <c r="B1958">
        <v>16.690000000000001</v>
      </c>
      <c r="C1958">
        <v>8.4</v>
      </c>
      <c r="D1958" s="6" t="s">
        <v>4684</v>
      </c>
      <c r="E1958" t="s">
        <v>4686</v>
      </c>
      <c r="F1958" t="s">
        <v>4685</v>
      </c>
      <c r="G1958" t="s">
        <v>4685</v>
      </c>
      <c r="H1958" s="2">
        <v>0</v>
      </c>
      <c r="I1958" t="s">
        <v>4685</v>
      </c>
      <c r="J1958" t="str">
        <f t="shared" si="8"/>
        <v>underweight</v>
      </c>
    </row>
    <row r="1959" spans="1:10" ht="15.75" customHeight="1">
      <c r="A1959" t="s">
        <v>767</v>
      </c>
      <c r="B1959">
        <v>23.21</v>
      </c>
      <c r="C1959">
        <v>5.14</v>
      </c>
      <c r="D1959" t="s">
        <v>4732</v>
      </c>
      <c r="E1959" t="s">
        <v>4686</v>
      </c>
      <c r="F1959" t="s">
        <v>4685</v>
      </c>
      <c r="G1959" t="s">
        <v>4685</v>
      </c>
      <c r="H1959" s="2">
        <v>1</v>
      </c>
      <c r="I1959" t="s">
        <v>4685</v>
      </c>
      <c r="J1959" t="str">
        <f t="shared" si="8"/>
        <v>normalweight</v>
      </c>
    </row>
    <row r="1960" spans="1:10" ht="15.75" customHeight="1">
      <c r="A1960" t="s">
        <v>765</v>
      </c>
      <c r="B1960">
        <v>25.175000000000001</v>
      </c>
      <c r="C1960">
        <v>5.21</v>
      </c>
      <c r="D1960" t="s">
        <v>4732</v>
      </c>
      <c r="E1960" t="s">
        <v>4686</v>
      </c>
      <c r="F1960" t="s">
        <v>4685</v>
      </c>
      <c r="G1960" t="s">
        <v>4685</v>
      </c>
      <c r="H1960" s="2">
        <v>1</v>
      </c>
      <c r="I1960" t="s">
        <v>4685</v>
      </c>
      <c r="J1960" t="str">
        <f t="shared" si="8"/>
        <v>normalweight</v>
      </c>
    </row>
    <row r="1961" spans="1:10" ht="15.75" customHeight="1">
      <c r="A1961" t="s">
        <v>763</v>
      </c>
      <c r="B1961">
        <v>34.770000000000003</v>
      </c>
      <c r="C1961">
        <v>6.23</v>
      </c>
      <c r="D1961" t="s">
        <v>4733</v>
      </c>
      <c r="E1961" t="s">
        <v>4685</v>
      </c>
      <c r="F1961" t="s">
        <v>4685</v>
      </c>
      <c r="G1961" t="s">
        <v>4685</v>
      </c>
      <c r="H1961" s="2">
        <v>0</v>
      </c>
      <c r="I1961" t="s">
        <v>4685</v>
      </c>
      <c r="J1961" t="str">
        <f t="shared" si="8"/>
        <v>normalweight</v>
      </c>
    </row>
    <row r="1962" spans="1:10" ht="15.75" customHeight="1">
      <c r="A1962" t="s">
        <v>761</v>
      </c>
      <c r="B1962">
        <v>27.7</v>
      </c>
      <c r="C1962">
        <v>5.6</v>
      </c>
      <c r="D1962" t="s">
        <v>4733</v>
      </c>
      <c r="E1962" t="s">
        <v>4685</v>
      </c>
      <c r="F1962" t="s">
        <v>4685</v>
      </c>
      <c r="G1962" t="s">
        <v>4685</v>
      </c>
      <c r="H1962" s="2">
        <v>1</v>
      </c>
      <c r="I1962" t="s">
        <v>4685</v>
      </c>
      <c r="J1962" t="str">
        <f t="shared" si="8"/>
        <v>normalweight</v>
      </c>
    </row>
    <row r="1963" spans="1:10" ht="15.75" customHeight="1">
      <c r="A1963" t="s">
        <v>759</v>
      </c>
      <c r="B1963">
        <v>19.12</v>
      </c>
      <c r="C1963">
        <v>4.72</v>
      </c>
      <c r="D1963" t="s">
        <v>4732</v>
      </c>
      <c r="E1963" t="s">
        <v>4686</v>
      </c>
      <c r="F1963" t="s">
        <v>4685</v>
      </c>
      <c r="G1963" t="s">
        <v>4685</v>
      </c>
      <c r="H1963" s="2">
        <v>1</v>
      </c>
      <c r="I1963" t="s">
        <v>4685</v>
      </c>
      <c r="J1963" t="str">
        <f t="shared" si="8"/>
        <v>normalweight</v>
      </c>
    </row>
    <row r="1964" spans="1:10" ht="15.75" customHeight="1">
      <c r="A1964" t="s">
        <v>757</v>
      </c>
      <c r="B1964">
        <v>32.67</v>
      </c>
      <c r="C1964">
        <v>4.67</v>
      </c>
      <c r="D1964" t="s">
        <v>4732</v>
      </c>
      <c r="E1964" t="s">
        <v>4685</v>
      </c>
      <c r="F1964" t="s">
        <v>4685</v>
      </c>
      <c r="G1964" t="s">
        <v>4688</v>
      </c>
      <c r="H1964" s="2">
        <v>1</v>
      </c>
      <c r="I1964" t="s">
        <v>4685</v>
      </c>
      <c r="J1964" t="str">
        <f t="shared" si="8"/>
        <v>normalweight</v>
      </c>
    </row>
    <row r="1965" spans="1:10" ht="15.75" customHeight="1">
      <c r="A1965" t="s">
        <v>755</v>
      </c>
      <c r="B1965">
        <v>28.5</v>
      </c>
      <c r="C1965">
        <v>6.11</v>
      </c>
      <c r="D1965" t="s">
        <v>4733</v>
      </c>
      <c r="E1965" t="s">
        <v>4685</v>
      </c>
      <c r="F1965" t="s">
        <v>4685</v>
      </c>
      <c r="G1965" t="s">
        <v>4685</v>
      </c>
      <c r="H1965" s="2">
        <v>1</v>
      </c>
      <c r="I1965" t="s">
        <v>4685</v>
      </c>
      <c r="J1965" t="str">
        <f t="shared" si="8"/>
        <v>normalweight</v>
      </c>
    </row>
    <row r="1966" spans="1:10" ht="15.75" customHeight="1">
      <c r="A1966" t="s">
        <v>753</v>
      </c>
      <c r="B1966">
        <v>39.270000000000003</v>
      </c>
      <c r="C1966">
        <v>6.25</v>
      </c>
      <c r="D1966" t="s">
        <v>4733</v>
      </c>
      <c r="E1966" t="s">
        <v>4685</v>
      </c>
      <c r="F1966" t="s">
        <v>4685</v>
      </c>
      <c r="G1966" t="s">
        <v>4685</v>
      </c>
      <c r="H1966" s="2">
        <v>0</v>
      </c>
      <c r="I1966" t="s">
        <v>4685</v>
      </c>
      <c r="J1966" t="str">
        <f t="shared" si="8"/>
        <v>normalweight</v>
      </c>
    </row>
    <row r="1967" spans="1:10" ht="15.75" customHeight="1">
      <c r="A1967" t="s">
        <v>751</v>
      </c>
      <c r="B1967">
        <v>32.49</v>
      </c>
      <c r="C1967">
        <v>4</v>
      </c>
      <c r="D1967" t="s">
        <v>4732</v>
      </c>
      <c r="E1967" t="s">
        <v>4686</v>
      </c>
      <c r="F1967" t="s">
        <v>4685</v>
      </c>
      <c r="G1967" t="s">
        <v>4685</v>
      </c>
      <c r="H1967" s="2">
        <v>0</v>
      </c>
      <c r="I1967" t="s">
        <v>4685</v>
      </c>
      <c r="J1967" t="str">
        <f t="shared" si="8"/>
        <v>normalweight</v>
      </c>
    </row>
    <row r="1968" spans="1:10" ht="15.75" customHeight="1">
      <c r="A1968" t="s">
        <v>749</v>
      </c>
      <c r="B1968">
        <v>23.7</v>
      </c>
      <c r="C1968">
        <v>5.55</v>
      </c>
      <c r="D1968" s="11" t="s">
        <v>4732</v>
      </c>
      <c r="E1968" t="s">
        <v>4686</v>
      </c>
      <c r="F1968" t="s">
        <v>4685</v>
      </c>
      <c r="G1968" t="s">
        <v>4685</v>
      </c>
      <c r="H1968" s="2">
        <v>0</v>
      </c>
      <c r="I1968" t="s">
        <v>4685</v>
      </c>
      <c r="J1968" t="str">
        <f t="shared" si="8"/>
        <v>normalweight</v>
      </c>
    </row>
    <row r="1969" spans="1:10" ht="15.75" customHeight="1">
      <c r="A1969" t="s">
        <v>747</v>
      </c>
      <c r="B1969">
        <v>30.4</v>
      </c>
      <c r="C1969">
        <v>5.95</v>
      </c>
      <c r="D1969" t="s">
        <v>4733</v>
      </c>
      <c r="E1969" t="s">
        <v>4685</v>
      </c>
      <c r="F1969" t="s">
        <v>4686</v>
      </c>
      <c r="G1969" t="s">
        <v>4685</v>
      </c>
      <c r="H1969" s="2">
        <v>1</v>
      </c>
      <c r="I1969" t="s">
        <v>4685</v>
      </c>
      <c r="J1969" t="str">
        <f t="shared" si="8"/>
        <v>normalweight</v>
      </c>
    </row>
    <row r="1970" spans="1:10" ht="15.75" customHeight="1">
      <c r="A1970" t="s">
        <v>745</v>
      </c>
      <c r="B1970">
        <v>38.94</v>
      </c>
      <c r="C1970">
        <v>4.3600000000000003</v>
      </c>
      <c r="D1970" t="s">
        <v>4732</v>
      </c>
      <c r="E1970" t="s">
        <v>4685</v>
      </c>
      <c r="F1970" t="s">
        <v>4685</v>
      </c>
      <c r="G1970" t="s">
        <v>4688</v>
      </c>
      <c r="H1970" s="2">
        <v>1</v>
      </c>
      <c r="I1970" t="s">
        <v>4685</v>
      </c>
      <c r="J1970" t="str">
        <f t="shared" si="8"/>
        <v>normalweight</v>
      </c>
    </row>
    <row r="1971" spans="1:10" ht="15.75" customHeight="1">
      <c r="A1971" t="s">
        <v>743</v>
      </c>
      <c r="B1971">
        <v>31.02</v>
      </c>
      <c r="C1971">
        <v>4.84</v>
      </c>
      <c r="D1971" t="s">
        <v>4732</v>
      </c>
      <c r="E1971" t="s">
        <v>4685</v>
      </c>
      <c r="F1971" t="s">
        <v>4685</v>
      </c>
      <c r="G1971" t="s">
        <v>4688</v>
      </c>
      <c r="H1971" s="2">
        <v>1</v>
      </c>
      <c r="I1971" t="s">
        <v>4685</v>
      </c>
      <c r="J1971" t="str">
        <f t="shared" si="8"/>
        <v>normalweight</v>
      </c>
    </row>
    <row r="1972" spans="1:10" ht="15.75" customHeight="1">
      <c r="A1972" t="s">
        <v>741</v>
      </c>
      <c r="B1972">
        <v>17.5</v>
      </c>
      <c r="C1972">
        <v>4.5599999999999996</v>
      </c>
      <c r="D1972" t="s">
        <v>4732</v>
      </c>
      <c r="E1972" t="s">
        <v>4685</v>
      </c>
      <c r="F1972" t="s">
        <v>4685</v>
      </c>
      <c r="G1972" t="s">
        <v>4685</v>
      </c>
      <c r="H1972" s="2">
        <v>1</v>
      </c>
      <c r="I1972" t="s">
        <v>4685</v>
      </c>
      <c r="J1972" t="str">
        <f t="shared" si="8"/>
        <v>underweight</v>
      </c>
    </row>
    <row r="1973" spans="1:10" ht="15.75" customHeight="1">
      <c r="A1973" t="s">
        <v>739</v>
      </c>
      <c r="B1973">
        <v>34.799999999999997</v>
      </c>
      <c r="C1973">
        <v>4.42</v>
      </c>
      <c r="D1973" t="s">
        <v>4732</v>
      </c>
      <c r="E1973" t="s">
        <v>4686</v>
      </c>
      <c r="F1973" t="s">
        <v>4686</v>
      </c>
      <c r="G1973" t="s">
        <v>4685</v>
      </c>
      <c r="H1973" s="2">
        <v>2</v>
      </c>
      <c r="I1973" t="s">
        <v>4685</v>
      </c>
      <c r="J1973" t="str">
        <f t="shared" si="8"/>
        <v>normalweight</v>
      </c>
    </row>
    <row r="1974" spans="1:10" ht="15.75" customHeight="1">
      <c r="A1974" t="s">
        <v>737</v>
      </c>
      <c r="B1974">
        <v>17.3</v>
      </c>
      <c r="C1974">
        <v>7.66</v>
      </c>
      <c r="D1974" t="s">
        <v>4732</v>
      </c>
      <c r="E1974" t="s">
        <v>4686</v>
      </c>
      <c r="F1974" t="s">
        <v>4685</v>
      </c>
      <c r="G1974" t="s">
        <v>4685</v>
      </c>
      <c r="H1974" s="2">
        <v>1</v>
      </c>
      <c r="I1974" t="s">
        <v>4685</v>
      </c>
      <c r="J1974" t="str">
        <f t="shared" si="8"/>
        <v>underweight</v>
      </c>
    </row>
    <row r="1975" spans="1:10" ht="15.75" customHeight="1">
      <c r="A1975" t="s">
        <v>735</v>
      </c>
      <c r="B1975">
        <v>32.25</v>
      </c>
      <c r="C1975">
        <v>5.2</v>
      </c>
      <c r="D1975" t="s">
        <v>4732</v>
      </c>
      <c r="E1975" t="s">
        <v>4686</v>
      </c>
      <c r="F1975" t="s">
        <v>4685</v>
      </c>
      <c r="G1975" t="s">
        <v>4685</v>
      </c>
      <c r="H1975" s="2">
        <v>0</v>
      </c>
      <c r="I1975" t="s">
        <v>4685</v>
      </c>
      <c r="J1975" t="str">
        <f t="shared" si="8"/>
        <v>normalweight</v>
      </c>
    </row>
    <row r="1976" spans="1:10" ht="15.75" customHeight="1">
      <c r="A1976" t="s">
        <v>733</v>
      </c>
      <c r="B1976">
        <v>42.4</v>
      </c>
      <c r="C1976">
        <v>5.53</v>
      </c>
      <c r="D1976" t="s">
        <v>4732</v>
      </c>
      <c r="E1976" t="s">
        <v>4686</v>
      </c>
      <c r="F1976" t="s">
        <v>4685</v>
      </c>
      <c r="G1976" t="s">
        <v>4685</v>
      </c>
      <c r="H1976" s="2">
        <v>0</v>
      </c>
      <c r="I1976" t="s">
        <v>4685</v>
      </c>
      <c r="J1976" t="str">
        <f t="shared" si="8"/>
        <v>normalweight</v>
      </c>
    </row>
    <row r="1977" spans="1:10" ht="15.75" customHeight="1">
      <c r="A1977" t="s">
        <v>731</v>
      </c>
      <c r="B1977">
        <v>38.664999999999999</v>
      </c>
      <c r="C1977">
        <v>4.8600000000000003</v>
      </c>
      <c r="D1977" t="s">
        <v>4732</v>
      </c>
      <c r="E1977" t="s">
        <v>4685</v>
      </c>
      <c r="F1977" t="s">
        <v>4686</v>
      </c>
      <c r="G1977" t="s">
        <v>4685</v>
      </c>
      <c r="H1977" s="2">
        <v>1</v>
      </c>
      <c r="I1977" t="s">
        <v>4685</v>
      </c>
      <c r="J1977" t="str">
        <f t="shared" si="8"/>
        <v>normalweight</v>
      </c>
    </row>
    <row r="1978" spans="1:10" ht="15.75" customHeight="1">
      <c r="A1978" t="s">
        <v>729</v>
      </c>
      <c r="B1978">
        <v>29.92</v>
      </c>
      <c r="C1978">
        <v>5.49</v>
      </c>
      <c r="D1978" t="s">
        <v>4732</v>
      </c>
      <c r="E1978" t="s">
        <v>4686</v>
      </c>
      <c r="F1978" t="s">
        <v>4685</v>
      </c>
      <c r="G1978" t="s">
        <v>4685</v>
      </c>
      <c r="H1978" s="2">
        <v>0</v>
      </c>
      <c r="I1978" t="s">
        <v>4685</v>
      </c>
      <c r="J1978" t="str">
        <f t="shared" si="8"/>
        <v>normalweight</v>
      </c>
    </row>
    <row r="1979" spans="1:10" ht="15.75" customHeight="1">
      <c r="A1979" t="s">
        <v>727</v>
      </c>
      <c r="B1979">
        <v>29.48</v>
      </c>
      <c r="C1979">
        <v>4.09</v>
      </c>
      <c r="D1979" t="s">
        <v>4732</v>
      </c>
      <c r="E1979" t="s">
        <v>4686</v>
      </c>
      <c r="F1979" t="s">
        <v>4685</v>
      </c>
      <c r="G1979" t="s">
        <v>4685</v>
      </c>
      <c r="H1979" s="2">
        <v>0</v>
      </c>
      <c r="I1979" t="s">
        <v>4685</v>
      </c>
      <c r="J1979" t="str">
        <f t="shared" si="8"/>
        <v>normalweight</v>
      </c>
    </row>
    <row r="1980" spans="1:10" ht="15.75" customHeight="1">
      <c r="A1980" t="s">
        <v>725</v>
      </c>
      <c r="B1980">
        <v>28.785</v>
      </c>
      <c r="C1980">
        <v>4.3099999999999996</v>
      </c>
      <c r="D1980" t="s">
        <v>4732</v>
      </c>
      <c r="E1980" t="s">
        <v>4686</v>
      </c>
      <c r="F1980" t="s">
        <v>4685</v>
      </c>
      <c r="G1980" t="s">
        <v>4685</v>
      </c>
      <c r="H1980" s="2">
        <v>0</v>
      </c>
      <c r="I1980" t="s">
        <v>4685</v>
      </c>
      <c r="J1980" t="str">
        <f t="shared" si="8"/>
        <v>normalweight</v>
      </c>
    </row>
    <row r="1981" spans="1:10" ht="15.75" customHeight="1">
      <c r="A1981" t="s">
        <v>723</v>
      </c>
      <c r="B1981">
        <v>19.8</v>
      </c>
      <c r="C1981">
        <v>4</v>
      </c>
      <c r="D1981" t="s">
        <v>4732</v>
      </c>
      <c r="E1981" t="s">
        <v>4686</v>
      </c>
      <c r="F1981" t="s">
        <v>4685</v>
      </c>
      <c r="G1981" t="s">
        <v>4685</v>
      </c>
      <c r="H1981" s="2">
        <v>0</v>
      </c>
      <c r="I1981" t="s">
        <v>4685</v>
      </c>
      <c r="J1981" t="str">
        <f t="shared" si="8"/>
        <v>normalweight</v>
      </c>
    </row>
    <row r="1982" spans="1:10" ht="15.75" customHeight="1">
      <c r="A1982" t="s">
        <v>721</v>
      </c>
      <c r="B1982">
        <v>35.53</v>
      </c>
      <c r="C1982">
        <v>4.68</v>
      </c>
      <c r="D1982" t="s">
        <v>4732</v>
      </c>
      <c r="E1982" t="s">
        <v>4685</v>
      </c>
      <c r="F1982" t="s">
        <v>4685</v>
      </c>
      <c r="G1982" t="s">
        <v>4688</v>
      </c>
      <c r="H1982" s="2">
        <v>1</v>
      </c>
      <c r="I1982" t="s">
        <v>4685</v>
      </c>
      <c r="J1982" t="str">
        <f t="shared" si="8"/>
        <v>normalweight</v>
      </c>
    </row>
    <row r="1983" spans="1:10" ht="15.75" customHeight="1">
      <c r="A1983" t="s">
        <v>719</v>
      </c>
      <c r="B1983">
        <v>21.47</v>
      </c>
      <c r="C1983">
        <v>4.0199999999999996</v>
      </c>
      <c r="D1983" t="s">
        <v>4732</v>
      </c>
      <c r="E1983" t="s">
        <v>4686</v>
      </c>
      <c r="F1983" t="s">
        <v>4685</v>
      </c>
      <c r="G1983" t="s">
        <v>4685</v>
      </c>
      <c r="H1983" s="2">
        <v>1</v>
      </c>
      <c r="I1983" t="s">
        <v>4685</v>
      </c>
      <c r="J1983" t="str">
        <f t="shared" si="8"/>
        <v>normalweight</v>
      </c>
    </row>
    <row r="1984" spans="1:10" ht="15.75" customHeight="1">
      <c r="A1984" t="s">
        <v>717</v>
      </c>
      <c r="B1984">
        <v>25.9</v>
      </c>
      <c r="C1984">
        <v>5.12</v>
      </c>
      <c r="D1984" t="s">
        <v>4732</v>
      </c>
      <c r="E1984" t="s">
        <v>4685</v>
      </c>
      <c r="F1984" t="s">
        <v>4685</v>
      </c>
      <c r="G1984" t="s">
        <v>4688</v>
      </c>
      <c r="H1984" s="2">
        <v>1</v>
      </c>
      <c r="I1984" t="s">
        <v>4685</v>
      </c>
      <c r="J1984" t="str">
        <f t="shared" si="8"/>
        <v>normalweight</v>
      </c>
    </row>
    <row r="1985" spans="1:10" ht="15.75" customHeight="1">
      <c r="A1985" t="s">
        <v>715</v>
      </c>
      <c r="B1985">
        <v>20.81</v>
      </c>
      <c r="C1985">
        <v>5.52</v>
      </c>
      <c r="D1985" t="s">
        <v>4732</v>
      </c>
      <c r="E1985" t="s">
        <v>4685</v>
      </c>
      <c r="F1985" t="s">
        <v>4685</v>
      </c>
      <c r="G1985" t="s">
        <v>4685</v>
      </c>
      <c r="H1985" s="2">
        <v>0</v>
      </c>
      <c r="I1985" t="s">
        <v>4685</v>
      </c>
      <c r="J1985" t="str">
        <f t="shared" si="8"/>
        <v>normalweight</v>
      </c>
    </row>
    <row r="1986" spans="1:10" ht="15.75" customHeight="1">
      <c r="A1986" t="s">
        <v>713</v>
      </c>
      <c r="B1986">
        <v>25.84</v>
      </c>
      <c r="C1986">
        <v>5.81</v>
      </c>
      <c r="D1986" t="s">
        <v>4733</v>
      </c>
      <c r="E1986" t="s">
        <v>4686</v>
      </c>
      <c r="F1986" t="s">
        <v>4685</v>
      </c>
      <c r="G1986" t="s">
        <v>4688</v>
      </c>
      <c r="H1986" s="2">
        <v>1</v>
      </c>
      <c r="I1986" t="s">
        <v>4685</v>
      </c>
      <c r="J1986" t="str">
        <f t="shared" si="8"/>
        <v>normalweight</v>
      </c>
    </row>
    <row r="1987" spans="1:10" ht="15.75" customHeight="1">
      <c r="A1987" t="s">
        <v>711</v>
      </c>
      <c r="B1987">
        <v>30.95</v>
      </c>
      <c r="C1987">
        <v>5.16</v>
      </c>
      <c r="D1987" t="s">
        <v>4732</v>
      </c>
      <c r="E1987" t="s">
        <v>4685</v>
      </c>
      <c r="F1987" t="s">
        <v>4685</v>
      </c>
      <c r="G1987" t="s">
        <v>4688</v>
      </c>
      <c r="H1987" s="2">
        <v>1</v>
      </c>
      <c r="I1987" t="s">
        <v>4685</v>
      </c>
      <c r="J1987" t="str">
        <f t="shared" si="8"/>
        <v>normalweight</v>
      </c>
    </row>
    <row r="1988" spans="1:10" ht="15.75" customHeight="1">
      <c r="A1988" t="s">
        <v>709</v>
      </c>
      <c r="B1988">
        <v>30.54</v>
      </c>
      <c r="C1988">
        <v>5</v>
      </c>
      <c r="D1988" t="s">
        <v>4732</v>
      </c>
      <c r="E1988" t="s">
        <v>4685</v>
      </c>
      <c r="F1988" t="s">
        <v>4685</v>
      </c>
      <c r="G1988" t="s">
        <v>4688</v>
      </c>
      <c r="H1988" s="2">
        <v>1</v>
      </c>
      <c r="I1988" t="s">
        <v>4685</v>
      </c>
      <c r="J1988" t="str">
        <f t="shared" si="8"/>
        <v>normalweight</v>
      </c>
    </row>
    <row r="1989" spans="1:10" ht="15.75" customHeight="1">
      <c r="A1989" t="s">
        <v>707</v>
      </c>
      <c r="B1989">
        <v>33.914999999999999</v>
      </c>
      <c r="C1989">
        <v>5.84</v>
      </c>
      <c r="D1989" t="s">
        <v>4733</v>
      </c>
      <c r="E1989" t="s">
        <v>4686</v>
      </c>
      <c r="F1989" t="s">
        <v>4685</v>
      </c>
      <c r="G1989" t="s">
        <v>4685</v>
      </c>
      <c r="H1989" s="2">
        <v>0</v>
      </c>
      <c r="I1989" t="s">
        <v>4685</v>
      </c>
      <c r="J1989" t="str">
        <f t="shared" si="8"/>
        <v>normalweight</v>
      </c>
    </row>
    <row r="1990" spans="1:10" ht="15.75" customHeight="1">
      <c r="A1990" t="s">
        <v>705</v>
      </c>
      <c r="B1990">
        <v>33.31</v>
      </c>
      <c r="C1990">
        <v>4.1900000000000004</v>
      </c>
      <c r="D1990" t="s">
        <v>4732</v>
      </c>
      <c r="E1990" t="s">
        <v>4685</v>
      </c>
      <c r="F1990" t="s">
        <v>4685</v>
      </c>
      <c r="G1990" t="s">
        <v>4688</v>
      </c>
      <c r="H1990" s="2">
        <v>1</v>
      </c>
      <c r="I1990" t="s">
        <v>4685</v>
      </c>
      <c r="J1990" t="str">
        <f t="shared" si="8"/>
        <v>normalweight</v>
      </c>
    </row>
    <row r="1991" spans="1:10" ht="15.75" customHeight="1">
      <c r="A1991" t="s">
        <v>703</v>
      </c>
      <c r="B1991">
        <v>25.745000000000001</v>
      </c>
      <c r="C1991">
        <v>4.62</v>
      </c>
      <c r="D1991" t="s">
        <v>4732</v>
      </c>
      <c r="E1991" t="s">
        <v>4686</v>
      </c>
      <c r="F1991" t="s">
        <v>4685</v>
      </c>
      <c r="G1991" t="s">
        <v>4685</v>
      </c>
      <c r="H1991" s="2">
        <v>0</v>
      </c>
      <c r="I1991" t="s">
        <v>4685</v>
      </c>
      <c r="J1991" t="str">
        <f t="shared" si="8"/>
        <v>normalweight</v>
      </c>
    </row>
    <row r="1992" spans="1:10" ht="15.75" customHeight="1">
      <c r="A1992" t="s">
        <v>701</v>
      </c>
      <c r="B1992">
        <v>37.1</v>
      </c>
      <c r="C1992">
        <v>6.24</v>
      </c>
      <c r="D1992" t="s">
        <v>4733</v>
      </c>
      <c r="E1992" t="s">
        <v>4685</v>
      </c>
      <c r="F1992" t="s">
        <v>4685</v>
      </c>
      <c r="G1992" t="s">
        <v>4685</v>
      </c>
      <c r="H1992" s="2">
        <v>0</v>
      </c>
      <c r="I1992" t="s">
        <v>4685</v>
      </c>
      <c r="J1992" t="str">
        <f t="shared" si="8"/>
        <v>normalweight</v>
      </c>
    </row>
    <row r="1993" spans="1:10" ht="15.75" customHeight="1">
      <c r="A1993" t="s">
        <v>699</v>
      </c>
      <c r="B1993">
        <v>35.435000000000002</v>
      </c>
      <c r="C1993">
        <v>5.81</v>
      </c>
      <c r="D1993" t="s">
        <v>4733</v>
      </c>
      <c r="E1993" t="s">
        <v>4685</v>
      </c>
      <c r="F1993" t="s">
        <v>4685</v>
      </c>
      <c r="G1993" t="s">
        <v>4685</v>
      </c>
      <c r="H1993" s="2">
        <v>0</v>
      </c>
      <c r="I1993" t="s">
        <v>4685</v>
      </c>
      <c r="J1993" t="str">
        <f t="shared" si="8"/>
        <v>normalweight</v>
      </c>
    </row>
    <row r="1994" spans="1:10" ht="15.75" customHeight="1">
      <c r="A1994" t="s">
        <v>697</v>
      </c>
      <c r="B1994">
        <v>20.399999999999999</v>
      </c>
      <c r="C1994">
        <v>4.83</v>
      </c>
      <c r="D1994" t="s">
        <v>4732</v>
      </c>
      <c r="E1994" t="s">
        <v>4685</v>
      </c>
      <c r="F1994" t="s">
        <v>4685</v>
      </c>
      <c r="G1994" t="s">
        <v>4685</v>
      </c>
      <c r="H1994" s="2">
        <v>0</v>
      </c>
      <c r="I1994" t="s">
        <v>4685</v>
      </c>
      <c r="J1994" t="str">
        <f t="shared" si="8"/>
        <v>normalweight</v>
      </c>
    </row>
    <row r="1995" spans="1:10" ht="15.75" customHeight="1">
      <c r="A1995" t="s">
        <v>695</v>
      </c>
      <c r="B1995">
        <v>42.13</v>
      </c>
      <c r="C1995">
        <v>5.72</v>
      </c>
      <c r="D1995" t="s">
        <v>4733</v>
      </c>
      <c r="E1995" t="s">
        <v>4686</v>
      </c>
      <c r="F1995" t="s">
        <v>4685</v>
      </c>
      <c r="G1995" t="s">
        <v>4688</v>
      </c>
      <c r="H1995" s="2">
        <v>1</v>
      </c>
      <c r="I1995" t="s">
        <v>4685</v>
      </c>
      <c r="J1995" t="str">
        <f t="shared" si="8"/>
        <v>normalweight</v>
      </c>
    </row>
    <row r="1996" spans="1:10" ht="15.75" customHeight="1">
      <c r="A1996" t="s">
        <v>693</v>
      </c>
      <c r="B1996">
        <v>33.99</v>
      </c>
      <c r="C1996">
        <v>4.83</v>
      </c>
      <c r="D1996" t="s">
        <v>4732</v>
      </c>
      <c r="E1996" t="s">
        <v>4686</v>
      </c>
      <c r="F1996" t="s">
        <v>4685</v>
      </c>
      <c r="G1996" t="s">
        <v>4688</v>
      </c>
      <c r="H1996" s="2">
        <v>1</v>
      </c>
      <c r="I1996" t="s">
        <v>4685</v>
      </c>
      <c r="J1996" t="str">
        <f t="shared" si="8"/>
        <v>normalweight</v>
      </c>
    </row>
    <row r="1997" spans="1:10" ht="15.75" customHeight="1">
      <c r="A1997" t="s">
        <v>691</v>
      </c>
      <c r="B1997">
        <v>28.594999999999999</v>
      </c>
      <c r="C1997">
        <v>4.1399999999999997</v>
      </c>
      <c r="D1997" t="s">
        <v>4732</v>
      </c>
      <c r="E1997" t="s">
        <v>4686</v>
      </c>
      <c r="F1997" t="s">
        <v>4685</v>
      </c>
      <c r="G1997" t="s">
        <v>4688</v>
      </c>
      <c r="H1997" s="2">
        <v>1</v>
      </c>
      <c r="I1997" t="s">
        <v>4685</v>
      </c>
      <c r="J1997" t="str">
        <f t="shared" si="8"/>
        <v>normalweight</v>
      </c>
    </row>
    <row r="1998" spans="1:10" ht="15.75" customHeight="1">
      <c r="A1998" t="s">
        <v>689</v>
      </c>
      <c r="B1998">
        <v>20.8</v>
      </c>
      <c r="C1998">
        <v>4.07</v>
      </c>
      <c r="D1998" t="s">
        <v>4732</v>
      </c>
      <c r="E1998" t="s">
        <v>4686</v>
      </c>
      <c r="F1998" t="s">
        <v>4685</v>
      </c>
      <c r="G1998" t="s">
        <v>4688</v>
      </c>
      <c r="H1998" s="2">
        <v>1</v>
      </c>
      <c r="I1998" t="s">
        <v>4685</v>
      </c>
      <c r="J1998" t="str">
        <f t="shared" si="8"/>
        <v>normalweight</v>
      </c>
    </row>
    <row r="1999" spans="1:10" ht="15.75" customHeight="1">
      <c r="A1999" t="s">
        <v>687</v>
      </c>
      <c r="B1999">
        <v>23.465</v>
      </c>
      <c r="C1999">
        <v>6.26</v>
      </c>
      <c r="D1999" t="s">
        <v>4733</v>
      </c>
      <c r="E1999" t="s">
        <v>4686</v>
      </c>
      <c r="F1999" t="s">
        <v>4685</v>
      </c>
      <c r="G1999" t="s">
        <v>4688</v>
      </c>
      <c r="H1999" s="2">
        <v>1</v>
      </c>
      <c r="I1999" t="s">
        <v>4685</v>
      </c>
      <c r="J1999" t="str">
        <f t="shared" si="8"/>
        <v>normalweight</v>
      </c>
    </row>
    <row r="2000" spans="1:10" ht="15.75" customHeight="1">
      <c r="A2000" t="s">
        <v>685</v>
      </c>
      <c r="B2000">
        <v>40.185000000000002</v>
      </c>
      <c r="C2000">
        <v>5.88</v>
      </c>
      <c r="D2000" t="s">
        <v>4733</v>
      </c>
      <c r="E2000" t="s">
        <v>4686</v>
      </c>
      <c r="F2000" t="s">
        <v>4685</v>
      </c>
      <c r="G2000" t="s">
        <v>4685</v>
      </c>
      <c r="H2000" s="2">
        <v>0</v>
      </c>
      <c r="I2000" t="s">
        <v>4685</v>
      </c>
      <c r="J2000" t="str">
        <f t="shared" si="8"/>
        <v>normalweight</v>
      </c>
    </row>
    <row r="2001" spans="1:10" ht="15.75" customHeight="1">
      <c r="A2001" t="s">
        <v>683</v>
      </c>
      <c r="B2001">
        <v>21.89</v>
      </c>
      <c r="C2001">
        <v>5.72</v>
      </c>
      <c r="D2001" t="s">
        <v>4733</v>
      </c>
      <c r="E2001" t="s">
        <v>4686</v>
      </c>
      <c r="F2001" t="s">
        <v>4685</v>
      </c>
      <c r="G2001" t="s">
        <v>4685</v>
      </c>
      <c r="H2001" s="2">
        <v>0</v>
      </c>
      <c r="I2001" t="s">
        <v>4685</v>
      </c>
      <c r="J2001" t="str">
        <f t="shared" si="8"/>
        <v>normalweight</v>
      </c>
    </row>
    <row r="2002" spans="1:10" ht="15.75" customHeight="1">
      <c r="A2002" t="s">
        <v>681</v>
      </c>
      <c r="B2002">
        <v>29.34</v>
      </c>
      <c r="C2002">
        <v>6.09</v>
      </c>
      <c r="D2002" t="s">
        <v>4733</v>
      </c>
      <c r="E2002" t="s">
        <v>4686</v>
      </c>
      <c r="F2002" t="s">
        <v>4686</v>
      </c>
      <c r="G2002" t="s">
        <v>4685</v>
      </c>
      <c r="H2002" s="2">
        <v>2</v>
      </c>
      <c r="I2002" t="s">
        <v>4685</v>
      </c>
      <c r="J2002" t="str">
        <f t="shared" si="8"/>
        <v>normalweight</v>
      </c>
    </row>
    <row r="2003" spans="1:10" ht="15.75" customHeight="1">
      <c r="A2003" t="s">
        <v>679</v>
      </c>
      <c r="B2003">
        <v>22.61</v>
      </c>
      <c r="C2003">
        <v>4.25</v>
      </c>
      <c r="D2003" t="s">
        <v>4732</v>
      </c>
      <c r="E2003" t="s">
        <v>4686</v>
      </c>
      <c r="F2003" t="s">
        <v>4685</v>
      </c>
      <c r="G2003" t="s">
        <v>4685</v>
      </c>
      <c r="H2003" s="2">
        <v>0</v>
      </c>
      <c r="I2003" t="s">
        <v>4685</v>
      </c>
      <c r="J2003" t="str">
        <f t="shared" si="8"/>
        <v>normalweight</v>
      </c>
    </row>
    <row r="2004" spans="1:10" ht="15.75" customHeight="1">
      <c r="A2004" t="s">
        <v>677</v>
      </c>
      <c r="B2004">
        <v>22.23</v>
      </c>
      <c r="C2004">
        <v>6.09</v>
      </c>
      <c r="D2004" t="s">
        <v>4733</v>
      </c>
      <c r="E2004" t="s">
        <v>4686</v>
      </c>
      <c r="F2004" t="s">
        <v>4685</v>
      </c>
      <c r="G2004" t="s">
        <v>4685</v>
      </c>
      <c r="H2004" s="2">
        <v>0</v>
      </c>
      <c r="I2004" t="s">
        <v>4685</v>
      </c>
      <c r="J2004" t="str">
        <f t="shared" si="8"/>
        <v>normalweight</v>
      </c>
    </row>
    <row r="2005" spans="1:10" ht="15.75" customHeight="1">
      <c r="A2005" t="s">
        <v>675</v>
      </c>
      <c r="B2005">
        <v>33.4</v>
      </c>
      <c r="C2005">
        <v>5.51</v>
      </c>
      <c r="D2005" t="s">
        <v>4732</v>
      </c>
      <c r="E2005" t="s">
        <v>4685</v>
      </c>
      <c r="F2005" t="s">
        <v>4685</v>
      </c>
      <c r="G2005" t="s">
        <v>4685</v>
      </c>
      <c r="H2005" s="2">
        <v>0</v>
      </c>
      <c r="I2005" t="s">
        <v>4685</v>
      </c>
      <c r="J2005" t="str">
        <f t="shared" si="8"/>
        <v>normalweight</v>
      </c>
    </row>
    <row r="2006" spans="1:10" ht="15.75" customHeight="1">
      <c r="A2006" t="s">
        <v>673</v>
      </c>
      <c r="B2006">
        <v>33.11</v>
      </c>
      <c r="C2006">
        <v>5.63</v>
      </c>
      <c r="D2006" t="s">
        <v>4733</v>
      </c>
      <c r="E2006" t="s">
        <v>4685</v>
      </c>
      <c r="F2006" t="s">
        <v>4685</v>
      </c>
      <c r="G2006" t="s">
        <v>4685</v>
      </c>
      <c r="H2006" s="2">
        <v>0</v>
      </c>
      <c r="I2006" t="s">
        <v>4685</v>
      </c>
      <c r="J2006" t="str">
        <f t="shared" si="8"/>
        <v>normalweight</v>
      </c>
    </row>
    <row r="2007" spans="1:10" ht="15.75" customHeight="1">
      <c r="A2007" t="s">
        <v>671</v>
      </c>
      <c r="B2007">
        <v>16.815000000000001</v>
      </c>
      <c r="C2007">
        <v>5.29</v>
      </c>
      <c r="D2007" t="s">
        <v>4732</v>
      </c>
      <c r="E2007" t="s">
        <v>4686</v>
      </c>
      <c r="F2007" t="s">
        <v>4685</v>
      </c>
      <c r="G2007" t="s">
        <v>4685</v>
      </c>
      <c r="H2007" s="2">
        <v>0</v>
      </c>
      <c r="I2007" t="s">
        <v>4685</v>
      </c>
      <c r="J2007" t="str">
        <f t="shared" si="8"/>
        <v>underweight</v>
      </c>
    </row>
    <row r="2008" spans="1:10" ht="15.75" customHeight="1">
      <c r="A2008" t="s">
        <v>669</v>
      </c>
      <c r="B2008">
        <v>25.61</v>
      </c>
      <c r="C2008">
        <v>4</v>
      </c>
      <c r="D2008" t="s">
        <v>4732</v>
      </c>
      <c r="E2008" t="s">
        <v>4685</v>
      </c>
      <c r="F2008" t="s">
        <v>4685</v>
      </c>
      <c r="G2008" t="s">
        <v>4688</v>
      </c>
      <c r="H2008" s="2">
        <v>1</v>
      </c>
      <c r="I2008" t="s">
        <v>4685</v>
      </c>
      <c r="J2008" t="str">
        <f t="shared" si="8"/>
        <v>normalweight</v>
      </c>
    </row>
    <row r="2009" spans="1:10" ht="15.75" customHeight="1">
      <c r="A2009" t="s">
        <v>667</v>
      </c>
      <c r="B2009">
        <v>25.8</v>
      </c>
      <c r="C2009">
        <v>5.49</v>
      </c>
      <c r="D2009" t="s">
        <v>4732</v>
      </c>
      <c r="E2009" t="s">
        <v>4685</v>
      </c>
      <c r="F2009" t="s">
        <v>4685</v>
      </c>
      <c r="G2009" t="s">
        <v>4685</v>
      </c>
      <c r="H2009" s="2">
        <v>0</v>
      </c>
      <c r="I2009" t="s">
        <v>4685</v>
      </c>
      <c r="J2009" t="str">
        <f t="shared" si="8"/>
        <v>normalweight</v>
      </c>
    </row>
    <row r="2010" spans="1:10" ht="15.75" customHeight="1">
      <c r="A2010" t="s">
        <v>665</v>
      </c>
      <c r="B2010">
        <v>27.39</v>
      </c>
      <c r="C2010">
        <v>5.34</v>
      </c>
      <c r="D2010" t="s">
        <v>4732</v>
      </c>
      <c r="E2010" t="s">
        <v>4685</v>
      </c>
      <c r="F2010" t="s">
        <v>4685</v>
      </c>
      <c r="G2010" t="s">
        <v>4685</v>
      </c>
      <c r="H2010" s="2">
        <v>0</v>
      </c>
      <c r="I2010" t="s">
        <v>4685</v>
      </c>
      <c r="J2010" t="str">
        <f t="shared" si="8"/>
        <v>normalweight</v>
      </c>
    </row>
    <row r="2011" spans="1:10" ht="15.75" customHeight="1">
      <c r="A2011" t="s">
        <v>663</v>
      </c>
      <c r="B2011">
        <v>17.03</v>
      </c>
      <c r="C2011">
        <v>4.12</v>
      </c>
      <c r="D2011" t="s">
        <v>4732</v>
      </c>
      <c r="E2011" t="s">
        <v>4685</v>
      </c>
      <c r="F2011" t="s">
        <v>4685</v>
      </c>
      <c r="G2011" t="s">
        <v>4685</v>
      </c>
      <c r="H2011" s="2">
        <v>1</v>
      </c>
      <c r="I2011" t="s">
        <v>4685</v>
      </c>
      <c r="J2011" t="str">
        <f t="shared" si="8"/>
        <v>underweight</v>
      </c>
    </row>
    <row r="2012" spans="1:10" ht="15.75" customHeight="1">
      <c r="A2012" t="s">
        <v>661</v>
      </c>
      <c r="B2012">
        <v>23.75</v>
      </c>
      <c r="C2012">
        <v>5.49</v>
      </c>
      <c r="D2012" t="s">
        <v>4732</v>
      </c>
      <c r="E2012" t="s">
        <v>4686</v>
      </c>
      <c r="F2012" t="s">
        <v>4685</v>
      </c>
      <c r="G2012" t="s">
        <v>4685</v>
      </c>
      <c r="H2012" s="2">
        <v>0</v>
      </c>
      <c r="I2012" t="s">
        <v>4685</v>
      </c>
      <c r="J2012" t="str">
        <f t="shared" si="8"/>
        <v>normalweight</v>
      </c>
    </row>
    <row r="2013" spans="1:10" ht="15.75" customHeight="1">
      <c r="A2013" t="s">
        <v>659</v>
      </c>
      <c r="B2013">
        <v>26.03</v>
      </c>
      <c r="C2013">
        <v>5.1100000000000003</v>
      </c>
      <c r="D2013" t="s">
        <v>4732</v>
      </c>
      <c r="E2013" t="s">
        <v>4686</v>
      </c>
      <c r="F2013" t="s">
        <v>4685</v>
      </c>
      <c r="G2013" t="s">
        <v>4685</v>
      </c>
      <c r="H2013" s="2">
        <v>1</v>
      </c>
      <c r="I2013" t="s">
        <v>4685</v>
      </c>
      <c r="J2013" t="str">
        <f t="shared" si="8"/>
        <v>normalweight</v>
      </c>
    </row>
    <row r="2014" spans="1:10" ht="15.75" customHeight="1">
      <c r="A2014" t="s">
        <v>657</v>
      </c>
      <c r="B2014">
        <v>16.079999999999998</v>
      </c>
      <c r="C2014">
        <v>5.94</v>
      </c>
      <c r="D2014" t="s">
        <v>4733</v>
      </c>
      <c r="E2014" t="s">
        <v>4685</v>
      </c>
      <c r="F2014" t="s">
        <v>4685</v>
      </c>
      <c r="G2014" t="s">
        <v>4685</v>
      </c>
      <c r="H2014" s="2">
        <v>0</v>
      </c>
      <c r="I2014" t="s">
        <v>4685</v>
      </c>
      <c r="J2014" t="str">
        <f t="shared" si="8"/>
        <v>underweight</v>
      </c>
    </row>
    <row r="2015" spans="1:10" ht="15.75" customHeight="1">
      <c r="A2015" t="s">
        <v>655</v>
      </c>
      <c r="B2015">
        <v>30.875</v>
      </c>
      <c r="C2015">
        <v>5.54</v>
      </c>
      <c r="D2015" t="s">
        <v>4732</v>
      </c>
      <c r="E2015" t="s">
        <v>4685</v>
      </c>
      <c r="F2015" t="s">
        <v>4685</v>
      </c>
      <c r="G2015" t="s">
        <v>4685</v>
      </c>
      <c r="H2015" s="2">
        <v>0</v>
      </c>
      <c r="I2015" t="s">
        <v>4685</v>
      </c>
      <c r="J2015" t="str">
        <f t="shared" si="8"/>
        <v>normalweight</v>
      </c>
    </row>
    <row r="2016" spans="1:10" ht="15.75" customHeight="1">
      <c r="A2016" t="s">
        <v>653</v>
      </c>
      <c r="B2016">
        <v>31.79</v>
      </c>
      <c r="C2016">
        <v>7.09</v>
      </c>
      <c r="D2016" t="s">
        <v>4733</v>
      </c>
      <c r="E2016" t="s">
        <v>4685</v>
      </c>
      <c r="F2016" t="s">
        <v>4685</v>
      </c>
      <c r="G2016" t="s">
        <v>4685</v>
      </c>
      <c r="H2016" s="2">
        <v>0</v>
      </c>
      <c r="I2016" t="s">
        <v>4685</v>
      </c>
      <c r="J2016" t="str">
        <f t="shared" si="8"/>
        <v>normalweight</v>
      </c>
    </row>
    <row r="2017" spans="1:10" ht="15.75" customHeight="1">
      <c r="A2017" t="s">
        <v>651</v>
      </c>
      <c r="B2017">
        <v>28.48</v>
      </c>
      <c r="C2017">
        <v>6.22</v>
      </c>
      <c r="D2017" t="s">
        <v>4733</v>
      </c>
      <c r="E2017" t="s">
        <v>4686</v>
      </c>
      <c r="F2017" t="s">
        <v>4685</v>
      </c>
      <c r="G2017" t="s">
        <v>4688</v>
      </c>
      <c r="H2017" s="2">
        <v>1</v>
      </c>
      <c r="I2017" t="s">
        <v>4685</v>
      </c>
      <c r="J2017" t="str">
        <f t="shared" si="8"/>
        <v>normalweight</v>
      </c>
    </row>
    <row r="2018" spans="1:10" ht="15.75" customHeight="1">
      <c r="A2018" t="s">
        <v>649</v>
      </c>
      <c r="B2018">
        <v>26.6</v>
      </c>
      <c r="C2018">
        <v>4.33</v>
      </c>
      <c r="D2018" t="s">
        <v>4732</v>
      </c>
      <c r="E2018" t="s">
        <v>4685</v>
      </c>
      <c r="F2018" t="s">
        <v>4685</v>
      </c>
      <c r="G2018" t="s">
        <v>4685</v>
      </c>
      <c r="H2018" s="2">
        <v>1</v>
      </c>
      <c r="I2018" t="s">
        <v>4685</v>
      </c>
      <c r="J2018" t="str">
        <f t="shared" si="8"/>
        <v>normalweight</v>
      </c>
    </row>
    <row r="2019" spans="1:10" ht="15.75" customHeight="1">
      <c r="A2019" t="s">
        <v>647</v>
      </c>
      <c r="B2019">
        <v>25.27</v>
      </c>
      <c r="C2019">
        <v>5.83</v>
      </c>
      <c r="D2019" t="s">
        <v>4733</v>
      </c>
      <c r="E2019" t="s">
        <v>4685</v>
      </c>
      <c r="F2019" t="s">
        <v>4685</v>
      </c>
      <c r="G2019" t="s">
        <v>4685</v>
      </c>
      <c r="H2019" s="2">
        <v>1</v>
      </c>
      <c r="I2019" t="s">
        <v>4685</v>
      </c>
      <c r="J2019" t="str">
        <f t="shared" si="8"/>
        <v>normalweight</v>
      </c>
    </row>
    <row r="2020" spans="1:10" ht="15.75" customHeight="1">
      <c r="A2020" t="s">
        <v>645</v>
      </c>
      <c r="B2020">
        <v>34.484999999999999</v>
      </c>
      <c r="C2020">
        <v>4.7</v>
      </c>
      <c r="D2020" t="s">
        <v>4732</v>
      </c>
      <c r="E2020" t="s">
        <v>4686</v>
      </c>
      <c r="F2020" t="s">
        <v>4685</v>
      </c>
      <c r="G2020" t="s">
        <v>4688</v>
      </c>
      <c r="H2020" s="2">
        <v>1</v>
      </c>
      <c r="I2020" t="s">
        <v>4685</v>
      </c>
      <c r="J2020" t="str">
        <f t="shared" si="8"/>
        <v>normalweight</v>
      </c>
    </row>
    <row r="2021" spans="1:10" ht="15.75" customHeight="1">
      <c r="A2021" t="s">
        <v>643</v>
      </c>
      <c r="B2021">
        <v>15.57</v>
      </c>
      <c r="C2021">
        <v>4.07</v>
      </c>
      <c r="D2021" t="s">
        <v>4732</v>
      </c>
      <c r="E2021" t="s">
        <v>4686</v>
      </c>
      <c r="F2021" t="s">
        <v>4685</v>
      </c>
      <c r="G2021" t="s">
        <v>4685</v>
      </c>
      <c r="H2021" s="2">
        <v>1</v>
      </c>
      <c r="I2021" t="s">
        <v>4685</v>
      </c>
      <c r="J2021" t="str">
        <f t="shared" si="8"/>
        <v>underweight</v>
      </c>
    </row>
    <row r="2022" spans="1:10" ht="15.75" customHeight="1">
      <c r="A2022" t="s">
        <v>641</v>
      </c>
      <c r="B2022">
        <v>30.36</v>
      </c>
      <c r="C2022">
        <v>9.39</v>
      </c>
      <c r="D2022" s="6" t="s">
        <v>4684</v>
      </c>
      <c r="E2022" t="s">
        <v>4685</v>
      </c>
      <c r="F2022" t="s">
        <v>4685</v>
      </c>
      <c r="G2022" t="s">
        <v>4685</v>
      </c>
      <c r="H2022" s="2">
        <v>0</v>
      </c>
      <c r="I2022" t="s">
        <v>4685</v>
      </c>
      <c r="J2022" t="str">
        <f t="shared" si="8"/>
        <v>normalweight</v>
      </c>
    </row>
    <row r="2023" spans="1:10" ht="15.75" customHeight="1">
      <c r="A2023" t="s">
        <v>639</v>
      </c>
      <c r="B2023">
        <v>19.37</v>
      </c>
      <c r="C2023">
        <v>4.18</v>
      </c>
      <c r="D2023" t="s">
        <v>4732</v>
      </c>
      <c r="E2023" t="s">
        <v>4685</v>
      </c>
      <c r="F2023" t="s">
        <v>4685</v>
      </c>
      <c r="G2023" t="s">
        <v>4685</v>
      </c>
      <c r="H2023" s="2">
        <v>0</v>
      </c>
      <c r="I2023" t="s">
        <v>4685</v>
      </c>
      <c r="J2023" t="str">
        <f t="shared" si="8"/>
        <v>normalweight</v>
      </c>
    </row>
    <row r="2024" spans="1:10" ht="15.75" customHeight="1">
      <c r="A2024" t="s">
        <v>637</v>
      </c>
      <c r="B2024">
        <v>16.71</v>
      </c>
      <c r="C2024">
        <v>4.18</v>
      </c>
      <c r="D2024" t="s">
        <v>4732</v>
      </c>
      <c r="E2024" t="s">
        <v>4685</v>
      </c>
      <c r="F2024" t="s">
        <v>4685</v>
      </c>
      <c r="G2024" t="s">
        <v>4685</v>
      </c>
      <c r="H2024" s="2">
        <v>1</v>
      </c>
      <c r="I2024" t="s">
        <v>4685</v>
      </c>
      <c r="J2024" t="str">
        <f t="shared" si="8"/>
        <v>underweight</v>
      </c>
    </row>
    <row r="2025" spans="1:10" ht="15.75" customHeight="1">
      <c r="A2025" t="s">
        <v>635</v>
      </c>
      <c r="B2025">
        <v>24.1</v>
      </c>
      <c r="C2025">
        <v>4.4000000000000004</v>
      </c>
      <c r="D2025" t="s">
        <v>4732</v>
      </c>
      <c r="E2025" t="s">
        <v>4686</v>
      </c>
      <c r="F2025" t="s">
        <v>4685</v>
      </c>
      <c r="G2025" t="s">
        <v>4685</v>
      </c>
      <c r="H2025" s="2">
        <v>1</v>
      </c>
      <c r="I2025" t="s">
        <v>4685</v>
      </c>
      <c r="J2025" t="str">
        <f t="shared" si="8"/>
        <v>normalweight</v>
      </c>
    </row>
    <row r="2026" spans="1:10" ht="15.75" customHeight="1">
      <c r="A2026" t="s">
        <v>633</v>
      </c>
      <c r="B2026">
        <v>29.77</v>
      </c>
      <c r="C2026">
        <v>9.9</v>
      </c>
      <c r="D2026" s="6" t="s">
        <v>4684</v>
      </c>
      <c r="E2026" t="s">
        <v>4685</v>
      </c>
      <c r="F2026" t="s">
        <v>4685</v>
      </c>
      <c r="G2026" t="s">
        <v>4685</v>
      </c>
      <c r="H2026" s="2">
        <v>0</v>
      </c>
      <c r="I2026" t="s">
        <v>4685</v>
      </c>
      <c r="J2026" t="str">
        <f t="shared" si="8"/>
        <v>normalweight</v>
      </c>
    </row>
    <row r="2027" spans="1:10" ht="15.75" customHeight="1">
      <c r="A2027" t="s">
        <v>631</v>
      </c>
      <c r="B2027">
        <v>46.53</v>
      </c>
      <c r="C2027">
        <v>4.84</v>
      </c>
      <c r="D2027" t="s">
        <v>4732</v>
      </c>
      <c r="E2027" t="s">
        <v>4686</v>
      </c>
      <c r="F2027" t="s">
        <v>4685</v>
      </c>
      <c r="G2027" t="s">
        <v>4685</v>
      </c>
      <c r="H2027" s="2">
        <v>0</v>
      </c>
      <c r="I2027" t="s">
        <v>4685</v>
      </c>
      <c r="J2027" t="str">
        <f t="shared" si="8"/>
        <v>normalweight</v>
      </c>
    </row>
    <row r="2028" spans="1:10" ht="15.75" customHeight="1">
      <c r="A2028" t="s">
        <v>629</v>
      </c>
      <c r="B2028">
        <v>23.4</v>
      </c>
      <c r="C2028">
        <v>5.53</v>
      </c>
      <c r="D2028" t="s">
        <v>4732</v>
      </c>
      <c r="E2028" t="s">
        <v>4685</v>
      </c>
      <c r="F2028" t="s">
        <v>4685</v>
      </c>
      <c r="G2028" t="s">
        <v>4688</v>
      </c>
      <c r="H2028" s="2">
        <v>1</v>
      </c>
      <c r="I2028" t="s">
        <v>4685</v>
      </c>
      <c r="J2028" t="str">
        <f t="shared" si="8"/>
        <v>normalweight</v>
      </c>
    </row>
    <row r="2029" spans="1:10" ht="15.75" customHeight="1">
      <c r="A2029" t="s">
        <v>627</v>
      </c>
      <c r="B2029">
        <v>30</v>
      </c>
      <c r="C2029">
        <v>4.33</v>
      </c>
      <c r="D2029" t="s">
        <v>4732</v>
      </c>
      <c r="E2029" t="s">
        <v>4686</v>
      </c>
      <c r="F2029" t="s">
        <v>4685</v>
      </c>
      <c r="G2029" t="s">
        <v>4685</v>
      </c>
      <c r="H2029" s="2">
        <v>0</v>
      </c>
      <c r="I2029" t="s">
        <v>4685</v>
      </c>
      <c r="J2029" t="str">
        <f t="shared" si="8"/>
        <v>normalweight</v>
      </c>
    </row>
    <row r="2030" spans="1:10" ht="15.75" customHeight="1">
      <c r="A2030" t="s">
        <v>625</v>
      </c>
      <c r="B2030">
        <v>29.15</v>
      </c>
      <c r="C2030">
        <v>4.91</v>
      </c>
      <c r="D2030" t="s">
        <v>4732</v>
      </c>
      <c r="E2030" t="s">
        <v>4686</v>
      </c>
      <c r="F2030" t="s">
        <v>4685</v>
      </c>
      <c r="G2030" t="s">
        <v>4685</v>
      </c>
      <c r="H2030" s="2">
        <v>0</v>
      </c>
      <c r="I2030" t="s">
        <v>4685</v>
      </c>
      <c r="J2030" t="str">
        <f t="shared" si="8"/>
        <v>normalweight</v>
      </c>
    </row>
    <row r="2031" spans="1:10" ht="15.75" customHeight="1">
      <c r="A2031" t="s">
        <v>623</v>
      </c>
      <c r="B2031">
        <v>34.865000000000002</v>
      </c>
      <c r="C2031">
        <v>4.8</v>
      </c>
      <c r="D2031" t="s">
        <v>4732</v>
      </c>
      <c r="E2031" t="s">
        <v>4685</v>
      </c>
      <c r="F2031" t="s">
        <v>4685</v>
      </c>
      <c r="G2031" t="s">
        <v>4685</v>
      </c>
      <c r="H2031" s="2">
        <v>0</v>
      </c>
      <c r="I2031" t="s">
        <v>4685</v>
      </c>
      <c r="J2031" t="str">
        <f t="shared" si="8"/>
        <v>normalweight</v>
      </c>
    </row>
    <row r="2032" spans="1:10" ht="15.75" customHeight="1">
      <c r="A2032" t="s">
        <v>621</v>
      </c>
      <c r="B2032">
        <v>28.12</v>
      </c>
      <c r="C2032">
        <v>5.55</v>
      </c>
      <c r="D2032" t="s">
        <v>4732</v>
      </c>
      <c r="E2032" t="s">
        <v>4686</v>
      </c>
      <c r="F2032" t="s">
        <v>4686</v>
      </c>
      <c r="G2032" t="s">
        <v>4685</v>
      </c>
      <c r="H2032" s="2">
        <v>2</v>
      </c>
      <c r="I2032" t="s">
        <v>4685</v>
      </c>
      <c r="J2032" t="str">
        <f t="shared" si="8"/>
        <v>normalweight</v>
      </c>
    </row>
    <row r="2033" spans="1:10" ht="15.75" customHeight="1">
      <c r="A2033" t="s">
        <v>619</v>
      </c>
      <c r="B2033">
        <v>29.45</v>
      </c>
      <c r="C2033">
        <v>5.24</v>
      </c>
      <c r="D2033" t="s">
        <v>4732</v>
      </c>
      <c r="E2033" t="s">
        <v>4686</v>
      </c>
      <c r="F2033" t="s">
        <v>4685</v>
      </c>
      <c r="G2033" t="s">
        <v>4685</v>
      </c>
      <c r="H2033" s="2">
        <v>0</v>
      </c>
      <c r="I2033" t="s">
        <v>4685</v>
      </c>
      <c r="J2033" t="str">
        <f t="shared" si="8"/>
        <v>normalweight</v>
      </c>
    </row>
    <row r="2034" spans="1:10" ht="15.75" customHeight="1">
      <c r="A2034" t="s">
        <v>617</v>
      </c>
      <c r="B2034">
        <v>27.94</v>
      </c>
      <c r="C2034">
        <v>6.08</v>
      </c>
      <c r="D2034" t="s">
        <v>4733</v>
      </c>
      <c r="E2034" t="s">
        <v>4685</v>
      </c>
      <c r="F2034" t="s">
        <v>4685</v>
      </c>
      <c r="G2034" t="s">
        <v>4688</v>
      </c>
      <c r="H2034" s="2">
        <v>1</v>
      </c>
      <c r="I2034" t="s">
        <v>4685</v>
      </c>
      <c r="J2034" t="str">
        <f t="shared" si="8"/>
        <v>normalweight</v>
      </c>
    </row>
    <row r="2035" spans="1:10" ht="15.75" customHeight="1">
      <c r="A2035" t="s">
        <v>615</v>
      </c>
      <c r="B2035">
        <v>27.2</v>
      </c>
      <c r="C2035">
        <v>5.83</v>
      </c>
      <c r="D2035" t="s">
        <v>4733</v>
      </c>
      <c r="E2035" t="s">
        <v>4685</v>
      </c>
      <c r="F2035" t="s">
        <v>4685</v>
      </c>
      <c r="G2035" t="s">
        <v>4688</v>
      </c>
      <c r="H2035" s="2">
        <v>1</v>
      </c>
      <c r="I2035" t="s">
        <v>4685</v>
      </c>
      <c r="J2035" t="str">
        <f t="shared" si="8"/>
        <v>normalweight</v>
      </c>
    </row>
    <row r="2036" spans="1:10" ht="15.75" customHeight="1">
      <c r="A2036" t="s">
        <v>613</v>
      </c>
      <c r="B2036">
        <v>33.344999999999999</v>
      </c>
      <c r="C2036">
        <v>4.29</v>
      </c>
      <c r="D2036" t="s">
        <v>4732</v>
      </c>
      <c r="E2036" t="s">
        <v>4685</v>
      </c>
      <c r="F2036" t="s">
        <v>4685</v>
      </c>
      <c r="G2036" t="s">
        <v>4685</v>
      </c>
      <c r="H2036" s="2">
        <v>1</v>
      </c>
      <c r="I2036" t="s">
        <v>4685</v>
      </c>
      <c r="J2036" t="str">
        <f t="shared" si="8"/>
        <v>normalweight</v>
      </c>
    </row>
    <row r="2037" spans="1:10" ht="15.75" customHeight="1">
      <c r="A2037" t="s">
        <v>611</v>
      </c>
      <c r="B2037">
        <v>29.925000000000001</v>
      </c>
      <c r="C2037">
        <v>5.3</v>
      </c>
      <c r="D2037" t="s">
        <v>4732</v>
      </c>
      <c r="E2037" t="s">
        <v>4685</v>
      </c>
      <c r="F2037" t="s">
        <v>4685</v>
      </c>
      <c r="G2037" t="s">
        <v>4685</v>
      </c>
      <c r="H2037" s="2">
        <v>1</v>
      </c>
      <c r="I2037" t="s">
        <v>4685</v>
      </c>
      <c r="J2037" t="str">
        <f t="shared" si="8"/>
        <v>normalweight</v>
      </c>
    </row>
    <row r="2038" spans="1:10" ht="15.75" customHeight="1">
      <c r="A2038" t="s">
        <v>609</v>
      </c>
      <c r="B2038">
        <v>24.225000000000001</v>
      </c>
      <c r="C2038">
        <v>4.42</v>
      </c>
      <c r="D2038" t="s">
        <v>4732</v>
      </c>
      <c r="E2038" t="s">
        <v>4685</v>
      </c>
      <c r="F2038" t="s">
        <v>4685</v>
      </c>
      <c r="G2038" t="s">
        <v>4685</v>
      </c>
      <c r="H2038" s="2">
        <v>1</v>
      </c>
      <c r="I2038" t="s">
        <v>4685</v>
      </c>
      <c r="J2038" t="str">
        <f t="shared" si="8"/>
        <v>normalweight</v>
      </c>
    </row>
    <row r="2039" spans="1:10" ht="15.75" customHeight="1">
      <c r="A2039" t="s">
        <v>607</v>
      </c>
      <c r="B2039">
        <v>29.68</v>
      </c>
      <c r="C2039">
        <v>5.68</v>
      </c>
      <c r="D2039" t="s">
        <v>4733</v>
      </c>
      <c r="E2039" t="s">
        <v>4685</v>
      </c>
      <c r="F2039" t="s">
        <v>4686</v>
      </c>
      <c r="G2039" t="s">
        <v>4685</v>
      </c>
      <c r="H2039" s="2">
        <v>1</v>
      </c>
      <c r="I2039" t="s">
        <v>4685</v>
      </c>
      <c r="J2039" t="str">
        <f t="shared" si="8"/>
        <v>normalweight</v>
      </c>
    </row>
    <row r="2040" spans="1:10" ht="15.75" customHeight="1">
      <c r="A2040" t="s">
        <v>605</v>
      </c>
      <c r="B2040">
        <v>20.614999999999998</v>
      </c>
      <c r="C2040">
        <v>6.05</v>
      </c>
      <c r="D2040" t="s">
        <v>4733</v>
      </c>
      <c r="E2040" t="s">
        <v>4685</v>
      </c>
      <c r="F2040" t="s">
        <v>4685</v>
      </c>
      <c r="G2040" t="s">
        <v>4688</v>
      </c>
      <c r="H2040" s="2">
        <v>1</v>
      </c>
      <c r="I2040" t="s">
        <v>4685</v>
      </c>
      <c r="J2040" t="str">
        <f t="shared" si="8"/>
        <v>normalweight</v>
      </c>
    </row>
    <row r="2041" spans="1:10" ht="15.75" customHeight="1">
      <c r="A2041" t="s">
        <v>603</v>
      </c>
      <c r="B2041">
        <v>32.119999999999997</v>
      </c>
      <c r="C2041">
        <v>5.33</v>
      </c>
      <c r="D2041" t="s">
        <v>4732</v>
      </c>
      <c r="E2041" t="s">
        <v>4685</v>
      </c>
      <c r="F2041" t="s">
        <v>4686</v>
      </c>
      <c r="G2041" t="s">
        <v>4685</v>
      </c>
      <c r="H2041" s="2">
        <v>1</v>
      </c>
      <c r="I2041" t="s">
        <v>4685</v>
      </c>
      <c r="J2041" t="str">
        <f t="shared" si="8"/>
        <v>normalweight</v>
      </c>
    </row>
    <row r="2042" spans="1:10" ht="15.75" customHeight="1">
      <c r="A2042" t="s">
        <v>601</v>
      </c>
      <c r="B2042">
        <v>27.36</v>
      </c>
      <c r="C2042">
        <v>6.22</v>
      </c>
      <c r="D2042" t="s">
        <v>4733</v>
      </c>
      <c r="E2042" t="s">
        <v>4685</v>
      </c>
      <c r="F2042" t="s">
        <v>4685</v>
      </c>
      <c r="G2042" t="s">
        <v>4685</v>
      </c>
      <c r="H2042" s="2">
        <v>0</v>
      </c>
      <c r="I2042" t="s">
        <v>4685</v>
      </c>
      <c r="J2042" t="str">
        <f t="shared" si="8"/>
        <v>normalweight</v>
      </c>
    </row>
    <row r="2043" spans="1:10" ht="15.75" customHeight="1">
      <c r="A2043" t="s">
        <v>599</v>
      </c>
      <c r="B2043">
        <v>17.385000000000002</v>
      </c>
      <c r="C2043">
        <v>5.84</v>
      </c>
      <c r="D2043" t="s">
        <v>4733</v>
      </c>
      <c r="E2043" t="s">
        <v>4685</v>
      </c>
      <c r="F2043" t="s">
        <v>4685</v>
      </c>
      <c r="G2043" t="s">
        <v>4685</v>
      </c>
      <c r="H2043" s="2">
        <v>0</v>
      </c>
      <c r="I2043" t="s">
        <v>4685</v>
      </c>
      <c r="J2043" t="str">
        <f t="shared" si="8"/>
        <v>underweight</v>
      </c>
    </row>
    <row r="2044" spans="1:10" ht="15.75" customHeight="1">
      <c r="A2044" t="s">
        <v>597</v>
      </c>
      <c r="B2044">
        <v>30.13</v>
      </c>
      <c r="C2044">
        <v>5.71</v>
      </c>
      <c r="D2044" t="s">
        <v>4733</v>
      </c>
      <c r="E2044" t="s">
        <v>4685</v>
      </c>
      <c r="F2044" t="s">
        <v>4686</v>
      </c>
      <c r="G2044" t="s">
        <v>4685</v>
      </c>
      <c r="H2044" s="2">
        <v>1</v>
      </c>
      <c r="I2044" t="s">
        <v>4685</v>
      </c>
      <c r="J2044" t="str">
        <f t="shared" si="8"/>
        <v>normalweight</v>
      </c>
    </row>
    <row r="2045" spans="1:10" ht="15.75" customHeight="1">
      <c r="A2045" t="s">
        <v>595</v>
      </c>
      <c r="B2045">
        <v>25.44</v>
      </c>
      <c r="C2045">
        <v>6.04</v>
      </c>
      <c r="D2045" t="s">
        <v>4733</v>
      </c>
      <c r="E2045" t="s">
        <v>4686</v>
      </c>
      <c r="F2045" t="s">
        <v>4685</v>
      </c>
      <c r="G2045" t="s">
        <v>4688</v>
      </c>
      <c r="H2045" s="2">
        <v>1</v>
      </c>
      <c r="I2045" t="s">
        <v>4685</v>
      </c>
      <c r="J2045" t="str">
        <f t="shared" si="8"/>
        <v>normalweight</v>
      </c>
    </row>
    <row r="2046" spans="1:10" ht="15.75" customHeight="1">
      <c r="A2046" t="s">
        <v>593</v>
      </c>
      <c r="B2046">
        <v>39.805</v>
      </c>
      <c r="C2046">
        <v>4.38</v>
      </c>
      <c r="D2046" t="s">
        <v>4732</v>
      </c>
      <c r="E2046" t="s">
        <v>4685</v>
      </c>
      <c r="F2046" t="s">
        <v>4686</v>
      </c>
      <c r="G2046" t="s">
        <v>4685</v>
      </c>
      <c r="H2046" s="2">
        <v>1</v>
      </c>
      <c r="I2046" t="s">
        <v>4685</v>
      </c>
      <c r="J2046" t="str">
        <f t="shared" si="8"/>
        <v>normalweight</v>
      </c>
    </row>
    <row r="2047" spans="1:10" ht="15.75" customHeight="1">
      <c r="A2047" t="s">
        <v>591</v>
      </c>
      <c r="B2047">
        <v>30.4</v>
      </c>
      <c r="C2047">
        <v>5.56</v>
      </c>
      <c r="D2047" t="s">
        <v>4732</v>
      </c>
      <c r="E2047" t="s">
        <v>4686</v>
      </c>
      <c r="F2047" t="s">
        <v>4686</v>
      </c>
      <c r="G2047" t="s">
        <v>4685</v>
      </c>
      <c r="H2047" s="2">
        <v>1</v>
      </c>
      <c r="I2047" t="s">
        <v>4685</v>
      </c>
      <c r="J2047" t="str">
        <f t="shared" si="8"/>
        <v>normalweight</v>
      </c>
    </row>
    <row r="2048" spans="1:10" ht="15.75" customHeight="1">
      <c r="A2048" t="s">
        <v>589</v>
      </c>
      <c r="B2048">
        <v>23.18</v>
      </c>
      <c r="C2048">
        <v>4.24</v>
      </c>
      <c r="D2048" t="s">
        <v>4732</v>
      </c>
      <c r="E2048" t="s">
        <v>4685</v>
      </c>
      <c r="F2048" t="s">
        <v>4686</v>
      </c>
      <c r="G2048" t="s">
        <v>4685</v>
      </c>
      <c r="H2048" s="2">
        <v>1</v>
      </c>
      <c r="I2048" t="s">
        <v>4685</v>
      </c>
      <c r="J2048" t="str">
        <f t="shared" si="8"/>
        <v>normalweight</v>
      </c>
    </row>
    <row r="2049" spans="1:10" ht="15.75" customHeight="1">
      <c r="A2049" t="s">
        <v>587</v>
      </c>
      <c r="B2049">
        <v>39.615000000000002</v>
      </c>
      <c r="C2049">
        <v>6.32</v>
      </c>
      <c r="D2049" t="s">
        <v>4733</v>
      </c>
      <c r="E2049" t="s">
        <v>4685</v>
      </c>
      <c r="F2049" t="s">
        <v>4685</v>
      </c>
      <c r="G2049" t="s">
        <v>4688</v>
      </c>
      <c r="H2049" s="2">
        <v>1</v>
      </c>
      <c r="I2049" t="s">
        <v>4685</v>
      </c>
      <c r="J2049" t="str">
        <f t="shared" si="8"/>
        <v>normalweight</v>
      </c>
    </row>
    <row r="2050" spans="1:10" ht="15.75" customHeight="1">
      <c r="A2050" t="s">
        <v>585</v>
      </c>
      <c r="B2050">
        <v>30.59</v>
      </c>
      <c r="C2050">
        <v>6.3</v>
      </c>
      <c r="D2050" t="s">
        <v>4733</v>
      </c>
      <c r="E2050" t="s">
        <v>4686</v>
      </c>
      <c r="F2050" t="s">
        <v>4685</v>
      </c>
      <c r="G2050" t="s">
        <v>4688</v>
      </c>
      <c r="H2050" s="2">
        <v>1</v>
      </c>
      <c r="I2050" t="s">
        <v>4685</v>
      </c>
      <c r="J2050" t="str">
        <f t="shared" si="8"/>
        <v>normalweight</v>
      </c>
    </row>
    <row r="2051" spans="1:10" ht="15.75" customHeight="1">
      <c r="A2051" t="s">
        <v>583</v>
      </c>
      <c r="B2051">
        <v>16.72</v>
      </c>
      <c r="C2051">
        <v>4.38</v>
      </c>
      <c r="D2051" t="s">
        <v>4732</v>
      </c>
      <c r="E2051" t="s">
        <v>4686</v>
      </c>
      <c r="F2051" t="s">
        <v>4685</v>
      </c>
      <c r="G2051" t="s">
        <v>4685</v>
      </c>
      <c r="H2051" s="2">
        <v>1</v>
      </c>
      <c r="I2051" t="s">
        <v>4685</v>
      </c>
      <c r="J2051" t="str">
        <f t="shared" si="8"/>
        <v>underweight</v>
      </c>
    </row>
    <row r="2052" spans="1:10" ht="15.75" customHeight="1">
      <c r="A2052" t="s">
        <v>581</v>
      </c>
      <c r="B2052">
        <v>26.22</v>
      </c>
      <c r="C2052">
        <v>4.6500000000000004</v>
      </c>
      <c r="D2052" t="s">
        <v>4732</v>
      </c>
      <c r="E2052" t="s">
        <v>4686</v>
      </c>
      <c r="F2052" t="s">
        <v>4685</v>
      </c>
      <c r="G2052" t="s">
        <v>4688</v>
      </c>
      <c r="H2052" s="2">
        <v>1</v>
      </c>
      <c r="I2052" t="s">
        <v>4685</v>
      </c>
      <c r="J2052" t="str">
        <f t="shared" si="8"/>
        <v>normalweight</v>
      </c>
    </row>
    <row r="2053" spans="1:10" ht="15.75" customHeight="1">
      <c r="A2053" t="s">
        <v>579</v>
      </c>
      <c r="B2053">
        <v>31.824999999999999</v>
      </c>
      <c r="C2053">
        <v>4.7</v>
      </c>
      <c r="D2053" t="s">
        <v>4732</v>
      </c>
      <c r="E2053" t="s">
        <v>4685</v>
      </c>
      <c r="F2053" t="s">
        <v>4685</v>
      </c>
      <c r="G2053" t="s">
        <v>4688</v>
      </c>
      <c r="H2053" s="2">
        <v>1</v>
      </c>
      <c r="I2053" t="s">
        <v>4685</v>
      </c>
      <c r="J2053" t="str">
        <f t="shared" si="8"/>
        <v>normalweight</v>
      </c>
    </row>
    <row r="2054" spans="1:10" ht="15.75" customHeight="1">
      <c r="A2054" t="s">
        <v>577</v>
      </c>
      <c r="B2054">
        <v>25.745000000000001</v>
      </c>
      <c r="C2054">
        <v>4.34</v>
      </c>
      <c r="D2054" t="s">
        <v>4732</v>
      </c>
      <c r="E2054" t="s">
        <v>4685</v>
      </c>
      <c r="F2054" t="s">
        <v>4685</v>
      </c>
      <c r="G2054" t="s">
        <v>4688</v>
      </c>
      <c r="H2054" s="2">
        <v>1</v>
      </c>
      <c r="I2054" t="s">
        <v>4685</v>
      </c>
      <c r="J2054" t="str">
        <f t="shared" si="8"/>
        <v>normalweight</v>
      </c>
    </row>
    <row r="2055" spans="1:10" ht="15.75" customHeight="1">
      <c r="A2055" t="s">
        <v>575</v>
      </c>
      <c r="B2055">
        <v>24.605</v>
      </c>
      <c r="C2055">
        <v>5.62</v>
      </c>
      <c r="D2055" t="s">
        <v>4733</v>
      </c>
      <c r="E2055" t="s">
        <v>4685</v>
      </c>
      <c r="F2055" t="s">
        <v>4685</v>
      </c>
      <c r="G2055" t="s">
        <v>4688</v>
      </c>
      <c r="H2055" s="2">
        <v>1</v>
      </c>
      <c r="I2055" t="s">
        <v>4685</v>
      </c>
      <c r="J2055" t="str">
        <f t="shared" si="8"/>
        <v>normalweight</v>
      </c>
    </row>
    <row r="2056" spans="1:10" ht="15.75" customHeight="1">
      <c r="A2056" t="s">
        <v>573</v>
      </c>
      <c r="B2056">
        <v>24.51</v>
      </c>
      <c r="C2056">
        <v>4.24</v>
      </c>
      <c r="D2056" t="s">
        <v>4732</v>
      </c>
      <c r="E2056" t="s">
        <v>4685</v>
      </c>
      <c r="F2056" t="s">
        <v>4685</v>
      </c>
      <c r="G2056" t="s">
        <v>4688</v>
      </c>
      <c r="H2056" s="2">
        <v>1</v>
      </c>
      <c r="I2056" t="s">
        <v>4685</v>
      </c>
      <c r="J2056" t="str">
        <f t="shared" si="8"/>
        <v>normalweight</v>
      </c>
    </row>
    <row r="2057" spans="1:10" ht="15.75" customHeight="1">
      <c r="A2057" t="s">
        <v>571</v>
      </c>
      <c r="B2057">
        <v>31.065000000000001</v>
      </c>
      <c r="C2057">
        <v>4.57</v>
      </c>
      <c r="D2057" t="s">
        <v>4732</v>
      </c>
      <c r="E2057" t="s">
        <v>4686</v>
      </c>
      <c r="F2057" t="s">
        <v>4685</v>
      </c>
      <c r="G2057" t="s">
        <v>4685</v>
      </c>
      <c r="H2057" s="2">
        <v>0</v>
      </c>
      <c r="I2057" t="s">
        <v>4685</v>
      </c>
      <c r="J2057" t="str">
        <f t="shared" si="8"/>
        <v>normalweight</v>
      </c>
    </row>
    <row r="2058" spans="1:10" ht="15.75" customHeight="1">
      <c r="A2058" t="s">
        <v>569</v>
      </c>
      <c r="B2058">
        <v>28.12</v>
      </c>
      <c r="C2058">
        <v>5.05</v>
      </c>
      <c r="D2058" t="s">
        <v>4732</v>
      </c>
      <c r="E2058" t="s">
        <v>4685</v>
      </c>
      <c r="F2058" t="s">
        <v>4685</v>
      </c>
      <c r="G2058" t="s">
        <v>4685</v>
      </c>
      <c r="H2058" s="2">
        <v>0</v>
      </c>
      <c r="I2058" t="s">
        <v>4685</v>
      </c>
      <c r="J2058" t="str">
        <f t="shared" si="8"/>
        <v>normalweight</v>
      </c>
    </row>
    <row r="2059" spans="1:10" ht="15.75" customHeight="1">
      <c r="A2059" t="s">
        <v>567</v>
      </c>
      <c r="B2059">
        <v>38.06</v>
      </c>
      <c r="C2059">
        <v>6.16</v>
      </c>
      <c r="D2059" t="s">
        <v>4733</v>
      </c>
      <c r="E2059" t="s">
        <v>4685</v>
      </c>
      <c r="F2059" t="s">
        <v>4685</v>
      </c>
      <c r="G2059" t="s">
        <v>4685</v>
      </c>
      <c r="H2059" s="2">
        <v>0</v>
      </c>
      <c r="I2059" t="s">
        <v>4685</v>
      </c>
      <c r="J2059" t="str">
        <f t="shared" si="8"/>
        <v>normalweight</v>
      </c>
    </row>
    <row r="2060" spans="1:10" ht="15.75" customHeight="1">
      <c r="A2060" t="s">
        <v>565</v>
      </c>
      <c r="B2060">
        <v>24.96</v>
      </c>
      <c r="C2060">
        <v>4.57</v>
      </c>
      <c r="D2060" t="s">
        <v>4732</v>
      </c>
      <c r="E2060" t="s">
        <v>4685</v>
      </c>
      <c r="F2060" t="s">
        <v>4685</v>
      </c>
      <c r="G2060" t="s">
        <v>4685</v>
      </c>
      <c r="H2060" s="2">
        <v>0</v>
      </c>
      <c r="I2060" t="s">
        <v>4685</v>
      </c>
      <c r="J2060" t="str">
        <f t="shared" si="8"/>
        <v>normalweight</v>
      </c>
    </row>
    <row r="2061" spans="1:10" ht="15.75" customHeight="1">
      <c r="A2061" t="s">
        <v>563</v>
      </c>
      <c r="B2061">
        <v>17.670000000000002</v>
      </c>
      <c r="C2061">
        <v>5.53</v>
      </c>
      <c r="D2061" t="s">
        <v>4732</v>
      </c>
      <c r="E2061" t="s">
        <v>4686</v>
      </c>
      <c r="F2061" t="s">
        <v>4685</v>
      </c>
      <c r="G2061" t="s">
        <v>4685</v>
      </c>
      <c r="H2061" s="2">
        <v>0</v>
      </c>
      <c r="I2061" t="s">
        <v>4685</v>
      </c>
      <c r="J2061" t="str">
        <f t="shared" si="8"/>
        <v>underweight</v>
      </c>
    </row>
    <row r="2062" spans="1:10" ht="15.75" customHeight="1">
      <c r="A2062" t="s">
        <v>561</v>
      </c>
      <c r="B2062">
        <v>31.35</v>
      </c>
      <c r="C2062">
        <v>5.84</v>
      </c>
      <c r="D2062" t="s">
        <v>4733</v>
      </c>
      <c r="E2062" t="s">
        <v>4685</v>
      </c>
      <c r="F2062" t="s">
        <v>4686</v>
      </c>
      <c r="G2062" t="s">
        <v>4685</v>
      </c>
      <c r="H2062" s="2">
        <v>1</v>
      </c>
      <c r="I2062" t="s">
        <v>4685</v>
      </c>
      <c r="J2062" t="str">
        <f t="shared" ref="J2062:J2316" si="9">IF(B2062&lt;=18.5,"underweight",IF(B2062&gt;=18.5-24.9,"normalweight",IF(B2062&gt;=25-29.9,"overweight","obesity")))</f>
        <v>normalweight</v>
      </c>
    </row>
    <row r="2063" spans="1:10" ht="15.75" customHeight="1">
      <c r="A2063" t="s">
        <v>559</v>
      </c>
      <c r="B2063">
        <v>28.31</v>
      </c>
      <c r="C2063">
        <v>6.41</v>
      </c>
      <c r="D2063" t="s">
        <v>4733</v>
      </c>
      <c r="E2063" t="s">
        <v>4685</v>
      </c>
      <c r="F2063" t="s">
        <v>4686</v>
      </c>
      <c r="G2063" t="s">
        <v>4685</v>
      </c>
      <c r="H2063" s="2">
        <v>1</v>
      </c>
      <c r="I2063" t="s">
        <v>4685</v>
      </c>
      <c r="J2063" t="str">
        <f t="shared" si="9"/>
        <v>normalweight</v>
      </c>
    </row>
    <row r="2064" spans="1:10" ht="15.75" customHeight="1">
      <c r="A2064" t="s">
        <v>557</v>
      </c>
      <c r="B2064">
        <v>30.3</v>
      </c>
      <c r="C2064">
        <v>4.7300000000000004</v>
      </c>
      <c r="D2064" t="s">
        <v>4732</v>
      </c>
      <c r="E2064" t="s">
        <v>4686</v>
      </c>
      <c r="F2064" t="s">
        <v>4685</v>
      </c>
      <c r="G2064" t="s">
        <v>4688</v>
      </c>
      <c r="H2064" s="2">
        <v>1</v>
      </c>
      <c r="I2064" t="s">
        <v>4685</v>
      </c>
      <c r="J2064" t="str">
        <f t="shared" si="9"/>
        <v>normalweight</v>
      </c>
    </row>
    <row r="2065" spans="1:10" ht="15.75" customHeight="1">
      <c r="A2065" t="s">
        <v>555</v>
      </c>
      <c r="B2065">
        <v>26.4</v>
      </c>
      <c r="C2065">
        <v>6.22</v>
      </c>
      <c r="D2065" t="s">
        <v>4733</v>
      </c>
      <c r="E2065" t="s">
        <v>4686</v>
      </c>
      <c r="F2065" t="s">
        <v>4685</v>
      </c>
      <c r="G2065" t="s">
        <v>4685</v>
      </c>
      <c r="H2065" s="2">
        <v>0</v>
      </c>
      <c r="I2065" t="s">
        <v>4685</v>
      </c>
      <c r="J2065" t="str">
        <f t="shared" si="9"/>
        <v>normalweight</v>
      </c>
    </row>
    <row r="2066" spans="1:10" ht="15.75" customHeight="1">
      <c r="A2066" t="s">
        <v>553</v>
      </c>
      <c r="B2066">
        <v>22.135000000000002</v>
      </c>
      <c r="C2066">
        <v>4.46</v>
      </c>
      <c r="D2066" t="s">
        <v>4732</v>
      </c>
      <c r="E2066" t="s">
        <v>4686</v>
      </c>
      <c r="F2066" t="s">
        <v>4685</v>
      </c>
      <c r="G2066" t="s">
        <v>4685</v>
      </c>
      <c r="H2066" s="2">
        <v>0</v>
      </c>
      <c r="I2066" t="s">
        <v>4685</v>
      </c>
      <c r="J2066" t="str">
        <f t="shared" si="9"/>
        <v>normalweight</v>
      </c>
    </row>
    <row r="2067" spans="1:10" ht="15.75" customHeight="1">
      <c r="A2067" t="s">
        <v>551</v>
      </c>
      <c r="B2067">
        <v>17.399999999999999</v>
      </c>
      <c r="C2067">
        <v>4.5</v>
      </c>
      <c r="D2067" t="s">
        <v>4732</v>
      </c>
      <c r="E2067" t="s">
        <v>4686</v>
      </c>
      <c r="F2067" t="s">
        <v>4685</v>
      </c>
      <c r="G2067" t="s">
        <v>4685</v>
      </c>
      <c r="H2067" s="2">
        <v>0</v>
      </c>
      <c r="I2067" t="s">
        <v>4685</v>
      </c>
      <c r="J2067" t="str">
        <f t="shared" si="9"/>
        <v>underweight</v>
      </c>
    </row>
    <row r="2068" spans="1:10" ht="15.75" customHeight="1">
      <c r="A2068" t="s">
        <v>549</v>
      </c>
      <c r="B2068">
        <v>28.06</v>
      </c>
      <c r="C2068">
        <v>8.93</v>
      </c>
      <c r="D2068" s="6" t="s">
        <v>4684</v>
      </c>
      <c r="E2068" t="s">
        <v>4685</v>
      </c>
      <c r="F2068" t="s">
        <v>4685</v>
      </c>
      <c r="G2068" t="s">
        <v>4685</v>
      </c>
      <c r="H2068" s="2">
        <v>0</v>
      </c>
      <c r="I2068" t="s">
        <v>4685</v>
      </c>
      <c r="J2068" t="str">
        <f t="shared" si="9"/>
        <v>normalweight</v>
      </c>
    </row>
    <row r="2069" spans="1:10" ht="15.75" customHeight="1">
      <c r="A2069" t="s">
        <v>547</v>
      </c>
      <c r="B2069">
        <v>31.13</v>
      </c>
      <c r="C2069">
        <v>11.02</v>
      </c>
      <c r="D2069" s="6" t="s">
        <v>4684</v>
      </c>
      <c r="E2069" t="s">
        <v>4685</v>
      </c>
      <c r="F2069" t="s">
        <v>4685</v>
      </c>
      <c r="G2069" t="s">
        <v>4685</v>
      </c>
      <c r="H2069" s="2">
        <v>0</v>
      </c>
      <c r="I2069" t="s">
        <v>4685</v>
      </c>
      <c r="J2069" t="str">
        <f t="shared" si="9"/>
        <v>normalweight</v>
      </c>
    </row>
    <row r="2070" spans="1:10" ht="15.75" customHeight="1">
      <c r="A2070" t="s">
        <v>545</v>
      </c>
      <c r="B2070">
        <v>18.46</v>
      </c>
      <c r="C2070">
        <v>5.25</v>
      </c>
      <c r="D2070" t="s">
        <v>4732</v>
      </c>
      <c r="E2070" t="s">
        <v>4685</v>
      </c>
      <c r="F2070" t="s">
        <v>4685</v>
      </c>
      <c r="G2070" t="s">
        <v>4685</v>
      </c>
      <c r="H2070" s="2">
        <v>0</v>
      </c>
      <c r="I2070" t="s">
        <v>4685</v>
      </c>
      <c r="J2070" t="str">
        <f t="shared" si="9"/>
        <v>underweight</v>
      </c>
    </row>
    <row r="2071" spans="1:10" ht="15.75" customHeight="1">
      <c r="A2071" t="s">
        <v>543</v>
      </c>
      <c r="B2071">
        <v>17.3</v>
      </c>
      <c r="C2071">
        <v>4.75</v>
      </c>
      <c r="D2071" t="s">
        <v>4732</v>
      </c>
      <c r="E2071" t="s">
        <v>4685</v>
      </c>
      <c r="F2071" t="s">
        <v>4685</v>
      </c>
      <c r="G2071" t="s">
        <v>4685</v>
      </c>
      <c r="H2071" s="2">
        <v>0</v>
      </c>
      <c r="I2071" t="s">
        <v>4685</v>
      </c>
      <c r="J2071" t="str">
        <f t="shared" si="9"/>
        <v>underweight</v>
      </c>
    </row>
    <row r="2072" spans="1:10" ht="15.75" customHeight="1">
      <c r="A2072" t="s">
        <v>541</v>
      </c>
      <c r="B2072">
        <v>35.625</v>
      </c>
      <c r="C2072">
        <v>4.68</v>
      </c>
      <c r="D2072" t="s">
        <v>4732</v>
      </c>
      <c r="E2072" t="s">
        <v>4686</v>
      </c>
      <c r="F2072" t="s">
        <v>4685</v>
      </c>
      <c r="G2072" t="s">
        <v>4688</v>
      </c>
      <c r="H2072" s="2">
        <v>1</v>
      </c>
      <c r="I2072" t="s">
        <v>4685</v>
      </c>
      <c r="J2072" t="str">
        <f t="shared" si="9"/>
        <v>normalweight</v>
      </c>
    </row>
    <row r="2073" spans="1:10" ht="15.75" customHeight="1">
      <c r="A2073" t="s">
        <v>539</v>
      </c>
      <c r="B2073">
        <v>20.234999999999999</v>
      </c>
      <c r="C2073">
        <v>6.17</v>
      </c>
      <c r="D2073" t="s">
        <v>4733</v>
      </c>
      <c r="E2073" t="s">
        <v>4686</v>
      </c>
      <c r="F2073" t="s">
        <v>4686</v>
      </c>
      <c r="G2073" t="s">
        <v>4685</v>
      </c>
      <c r="H2073" s="2">
        <v>2</v>
      </c>
      <c r="I2073" t="s">
        <v>4685</v>
      </c>
      <c r="J2073" t="str">
        <f t="shared" si="9"/>
        <v>normalweight</v>
      </c>
    </row>
    <row r="2074" spans="1:10" ht="15.75" customHeight="1">
      <c r="A2074" t="s">
        <v>537</v>
      </c>
      <c r="B2074">
        <v>27.55</v>
      </c>
      <c r="C2074">
        <v>4.5599999999999996</v>
      </c>
      <c r="D2074" t="s">
        <v>4732</v>
      </c>
      <c r="E2074" t="s">
        <v>4686</v>
      </c>
      <c r="F2074" t="s">
        <v>4685</v>
      </c>
      <c r="G2074" t="s">
        <v>4688</v>
      </c>
      <c r="H2074" s="2">
        <v>1</v>
      </c>
      <c r="I2074" t="s">
        <v>4685</v>
      </c>
      <c r="J2074" t="str">
        <f t="shared" si="9"/>
        <v>normalweight</v>
      </c>
    </row>
    <row r="2075" spans="1:10" ht="15.75" customHeight="1">
      <c r="A2075" t="s">
        <v>535</v>
      </c>
      <c r="B2075">
        <v>17.97</v>
      </c>
      <c r="C2075">
        <v>6.3</v>
      </c>
      <c r="D2075" t="s">
        <v>4733</v>
      </c>
      <c r="E2075" t="s">
        <v>4685</v>
      </c>
      <c r="F2075" t="s">
        <v>4685</v>
      </c>
      <c r="G2075" t="s">
        <v>4685</v>
      </c>
      <c r="H2075" s="2">
        <v>0</v>
      </c>
      <c r="I2075" t="s">
        <v>4685</v>
      </c>
      <c r="J2075" t="str">
        <f t="shared" si="9"/>
        <v>underweight</v>
      </c>
    </row>
    <row r="2076" spans="1:10" ht="15.75" customHeight="1">
      <c r="A2076" t="s">
        <v>533</v>
      </c>
      <c r="B2076">
        <v>29.98</v>
      </c>
      <c r="C2076">
        <v>6.03</v>
      </c>
      <c r="D2076" t="s">
        <v>4733</v>
      </c>
      <c r="E2076" t="s">
        <v>4685</v>
      </c>
      <c r="F2076" t="s">
        <v>4686</v>
      </c>
      <c r="G2076" t="s">
        <v>4685</v>
      </c>
      <c r="H2076" s="2">
        <v>1</v>
      </c>
      <c r="I2076" t="s">
        <v>4685</v>
      </c>
      <c r="J2076" t="str">
        <f t="shared" si="9"/>
        <v>normalweight</v>
      </c>
    </row>
    <row r="2077" spans="1:10" ht="15.75" customHeight="1">
      <c r="A2077" t="s">
        <v>531</v>
      </c>
      <c r="B2077">
        <v>33.659999999999997</v>
      </c>
      <c r="C2077">
        <v>4.2</v>
      </c>
      <c r="D2077" t="s">
        <v>4732</v>
      </c>
      <c r="E2077" t="s">
        <v>4686</v>
      </c>
      <c r="F2077" t="s">
        <v>4685</v>
      </c>
      <c r="G2077" t="s">
        <v>4685</v>
      </c>
      <c r="H2077" s="2">
        <v>1</v>
      </c>
      <c r="I2077" t="s">
        <v>4685</v>
      </c>
      <c r="J2077" t="str">
        <f t="shared" si="9"/>
        <v>normalweight</v>
      </c>
    </row>
    <row r="2078" spans="1:10" ht="15.75" customHeight="1">
      <c r="A2078" t="s">
        <v>529</v>
      </c>
      <c r="B2078">
        <v>32.67</v>
      </c>
      <c r="C2078">
        <v>5.61</v>
      </c>
      <c r="D2078" t="s">
        <v>4733</v>
      </c>
      <c r="E2078" t="s">
        <v>4686</v>
      </c>
      <c r="F2078" t="s">
        <v>4685</v>
      </c>
      <c r="G2078" t="s">
        <v>4685</v>
      </c>
      <c r="H2078" s="2">
        <v>1</v>
      </c>
      <c r="I2078" t="s">
        <v>4685</v>
      </c>
      <c r="J2078" t="str">
        <f t="shared" si="9"/>
        <v>normalweight</v>
      </c>
    </row>
    <row r="2079" spans="1:10" ht="15.75" customHeight="1">
      <c r="A2079" t="s">
        <v>527</v>
      </c>
      <c r="B2079">
        <v>30.5</v>
      </c>
      <c r="C2079">
        <v>5.88</v>
      </c>
      <c r="D2079" t="s">
        <v>4733</v>
      </c>
      <c r="E2079" t="s">
        <v>4686</v>
      </c>
      <c r="F2079" t="s">
        <v>4685</v>
      </c>
      <c r="G2079" t="s">
        <v>4685</v>
      </c>
      <c r="H2079" s="2">
        <v>1</v>
      </c>
      <c r="I2079" t="s">
        <v>4685</v>
      </c>
      <c r="J2079" t="str">
        <f t="shared" si="9"/>
        <v>normalweight</v>
      </c>
    </row>
    <row r="2080" spans="1:10" ht="15.75" customHeight="1">
      <c r="A2080" t="s">
        <v>525</v>
      </c>
      <c r="B2080">
        <v>23.1</v>
      </c>
      <c r="C2080">
        <v>5.92</v>
      </c>
      <c r="D2080" t="s">
        <v>4733</v>
      </c>
      <c r="E2080" t="s">
        <v>4686</v>
      </c>
      <c r="F2080" t="s">
        <v>4685</v>
      </c>
      <c r="G2080" t="s">
        <v>4685</v>
      </c>
      <c r="H2080" s="2">
        <v>1</v>
      </c>
      <c r="I2080" t="s">
        <v>4685</v>
      </c>
      <c r="J2080" t="str">
        <f t="shared" si="9"/>
        <v>normalweight</v>
      </c>
    </row>
    <row r="2081" spans="1:10" ht="15.75" customHeight="1">
      <c r="A2081" t="s">
        <v>523</v>
      </c>
      <c r="B2081">
        <v>39.49</v>
      </c>
      <c r="C2081">
        <v>4.8099999999999996</v>
      </c>
      <c r="D2081" t="s">
        <v>4732</v>
      </c>
      <c r="E2081" t="s">
        <v>4685</v>
      </c>
      <c r="F2081" t="s">
        <v>4685</v>
      </c>
      <c r="G2081" t="s">
        <v>4685</v>
      </c>
      <c r="H2081" s="2">
        <v>1</v>
      </c>
      <c r="I2081" t="s">
        <v>4685</v>
      </c>
      <c r="J2081" t="str">
        <f t="shared" si="9"/>
        <v>normalweight</v>
      </c>
    </row>
    <row r="2082" spans="1:10" ht="15.75" customHeight="1">
      <c r="A2082" t="s">
        <v>521</v>
      </c>
      <c r="B2082">
        <v>33.99</v>
      </c>
      <c r="C2082">
        <v>4.55</v>
      </c>
      <c r="D2082" t="s">
        <v>4732</v>
      </c>
      <c r="E2082" t="s">
        <v>4685</v>
      </c>
      <c r="F2082" t="s">
        <v>4685</v>
      </c>
      <c r="G2082" t="s">
        <v>4685</v>
      </c>
      <c r="H2082" s="2">
        <v>1</v>
      </c>
      <c r="I2082" t="s">
        <v>4685</v>
      </c>
      <c r="J2082" t="str">
        <f t="shared" si="9"/>
        <v>normalweight</v>
      </c>
    </row>
    <row r="2083" spans="1:10" ht="15.75" customHeight="1">
      <c r="A2083" t="s">
        <v>519</v>
      </c>
      <c r="B2083">
        <v>27.72</v>
      </c>
      <c r="C2083">
        <v>6.43</v>
      </c>
      <c r="D2083" t="s">
        <v>4733</v>
      </c>
      <c r="E2083" t="s">
        <v>4685</v>
      </c>
      <c r="F2083" t="s">
        <v>4685</v>
      </c>
      <c r="G2083" t="s">
        <v>4685</v>
      </c>
      <c r="H2083" s="2">
        <v>1</v>
      </c>
      <c r="I2083" t="s">
        <v>4685</v>
      </c>
      <c r="J2083" t="str">
        <f t="shared" si="9"/>
        <v>normalweight</v>
      </c>
    </row>
    <row r="2084" spans="1:10" ht="15.75" customHeight="1">
      <c r="A2084" t="s">
        <v>517</v>
      </c>
      <c r="B2084">
        <v>30.59</v>
      </c>
      <c r="C2084">
        <v>11.62</v>
      </c>
      <c r="D2084" s="6" t="s">
        <v>4684</v>
      </c>
      <c r="E2084" t="s">
        <v>4685</v>
      </c>
      <c r="F2084" t="s">
        <v>4685</v>
      </c>
      <c r="G2084" t="s">
        <v>4685</v>
      </c>
      <c r="H2084" s="2">
        <v>0</v>
      </c>
      <c r="I2084" t="s">
        <v>4685</v>
      </c>
      <c r="J2084" t="str">
        <f t="shared" si="9"/>
        <v>normalweight</v>
      </c>
    </row>
    <row r="2085" spans="1:10" ht="15.75" customHeight="1">
      <c r="A2085" t="s">
        <v>515</v>
      </c>
      <c r="B2085">
        <v>22.6</v>
      </c>
      <c r="C2085">
        <v>6.04</v>
      </c>
      <c r="D2085" t="s">
        <v>4733</v>
      </c>
      <c r="E2085" t="s">
        <v>4685</v>
      </c>
      <c r="F2085" t="s">
        <v>4685</v>
      </c>
      <c r="G2085" t="s">
        <v>4685</v>
      </c>
      <c r="H2085" s="2">
        <v>1</v>
      </c>
      <c r="I2085" t="s">
        <v>4685</v>
      </c>
      <c r="J2085" t="str">
        <f t="shared" si="9"/>
        <v>normalweight</v>
      </c>
    </row>
    <row r="2086" spans="1:10" ht="15.75" customHeight="1">
      <c r="A2086" t="s">
        <v>513</v>
      </c>
      <c r="B2086">
        <v>28.785</v>
      </c>
      <c r="C2086">
        <v>8.82</v>
      </c>
      <c r="D2086" s="6" t="s">
        <v>4684</v>
      </c>
      <c r="E2086" t="s">
        <v>4685</v>
      </c>
      <c r="F2086" t="s">
        <v>4685</v>
      </c>
      <c r="G2086" t="s">
        <v>4685</v>
      </c>
      <c r="H2086" s="2">
        <v>0</v>
      </c>
      <c r="I2086" t="s">
        <v>4685</v>
      </c>
      <c r="J2086" t="str">
        <f t="shared" si="9"/>
        <v>normalweight</v>
      </c>
    </row>
    <row r="2087" spans="1:10" ht="15.75" customHeight="1">
      <c r="A2087" t="s">
        <v>511</v>
      </c>
      <c r="B2087">
        <v>50.38</v>
      </c>
      <c r="C2087">
        <v>5.8</v>
      </c>
      <c r="D2087" t="s">
        <v>4733</v>
      </c>
      <c r="E2087" t="s">
        <v>4685</v>
      </c>
      <c r="F2087" t="s">
        <v>4685</v>
      </c>
      <c r="G2087" t="s">
        <v>4685</v>
      </c>
      <c r="H2087" s="2">
        <v>0</v>
      </c>
      <c r="I2087" t="s">
        <v>4685</v>
      </c>
      <c r="J2087" t="str">
        <f t="shared" si="9"/>
        <v>normalweight</v>
      </c>
    </row>
    <row r="2088" spans="1:10" ht="15.75" customHeight="1">
      <c r="A2088" t="s">
        <v>509</v>
      </c>
      <c r="B2088">
        <v>35.200000000000003</v>
      </c>
      <c r="C2088">
        <v>4.28</v>
      </c>
      <c r="D2088" t="s">
        <v>4732</v>
      </c>
      <c r="E2088" t="s">
        <v>4685</v>
      </c>
      <c r="F2088" t="s">
        <v>4685</v>
      </c>
      <c r="G2088" t="s">
        <v>4685</v>
      </c>
      <c r="H2088" s="2">
        <v>0</v>
      </c>
      <c r="I2088" t="s">
        <v>4685</v>
      </c>
      <c r="J2088" t="str">
        <f t="shared" si="9"/>
        <v>normalweight</v>
      </c>
    </row>
    <row r="2089" spans="1:10" ht="15.75" customHeight="1">
      <c r="A2089" t="s">
        <v>507</v>
      </c>
      <c r="B2089">
        <v>35.72</v>
      </c>
      <c r="C2089">
        <v>5.5</v>
      </c>
      <c r="D2089" t="s">
        <v>4732</v>
      </c>
      <c r="E2089" t="s">
        <v>4686</v>
      </c>
      <c r="F2089" t="s">
        <v>4685</v>
      </c>
      <c r="G2089" t="s">
        <v>4685</v>
      </c>
      <c r="H2089" s="2">
        <v>0</v>
      </c>
      <c r="I2089" t="s">
        <v>4685</v>
      </c>
      <c r="J2089" t="str">
        <f t="shared" si="9"/>
        <v>normalweight</v>
      </c>
    </row>
    <row r="2090" spans="1:10" ht="15.75" customHeight="1">
      <c r="A2090" t="s">
        <v>505</v>
      </c>
      <c r="B2090">
        <v>24.51</v>
      </c>
      <c r="C2090">
        <v>4.6900000000000004</v>
      </c>
      <c r="D2090" t="s">
        <v>4732</v>
      </c>
      <c r="E2090" t="s">
        <v>4685</v>
      </c>
      <c r="F2090" t="s">
        <v>4685</v>
      </c>
      <c r="G2090" t="s">
        <v>4685</v>
      </c>
      <c r="H2090" s="2">
        <v>0</v>
      </c>
      <c r="I2090" t="s">
        <v>4685</v>
      </c>
      <c r="J2090" t="str">
        <f t="shared" si="9"/>
        <v>normalweight</v>
      </c>
    </row>
    <row r="2091" spans="1:10" ht="15.75" customHeight="1">
      <c r="A2091" t="s">
        <v>503</v>
      </c>
      <c r="B2091">
        <v>23.844999999999999</v>
      </c>
      <c r="C2091">
        <v>4.43</v>
      </c>
      <c r="D2091" t="s">
        <v>4732</v>
      </c>
      <c r="E2091" t="s">
        <v>4685</v>
      </c>
      <c r="F2091" t="s">
        <v>4685</v>
      </c>
      <c r="G2091" t="s">
        <v>4685</v>
      </c>
      <c r="H2091" s="2">
        <v>0</v>
      </c>
      <c r="I2091" t="s">
        <v>4685</v>
      </c>
      <c r="J2091" t="str">
        <f t="shared" si="9"/>
        <v>normalweight</v>
      </c>
    </row>
    <row r="2092" spans="1:10" ht="15.75" customHeight="1">
      <c r="A2092" t="s">
        <v>501</v>
      </c>
      <c r="B2092">
        <v>15.68</v>
      </c>
      <c r="C2092">
        <v>6.16</v>
      </c>
      <c r="D2092" t="s">
        <v>4733</v>
      </c>
      <c r="E2092" t="s">
        <v>4686</v>
      </c>
      <c r="F2092" t="s">
        <v>4685</v>
      </c>
      <c r="G2092" t="s">
        <v>4685</v>
      </c>
      <c r="H2092" s="2">
        <v>1</v>
      </c>
      <c r="I2092" t="s">
        <v>4685</v>
      </c>
      <c r="J2092" t="str">
        <f t="shared" si="9"/>
        <v>underweight</v>
      </c>
    </row>
    <row r="2093" spans="1:10" ht="15.75" customHeight="1">
      <c r="A2093" t="s">
        <v>499</v>
      </c>
      <c r="B2093">
        <v>32.395000000000003</v>
      </c>
      <c r="C2093">
        <v>6.66</v>
      </c>
      <c r="D2093" s="6" t="s">
        <v>4684</v>
      </c>
      <c r="E2093" t="s">
        <v>4685</v>
      </c>
      <c r="F2093" t="s">
        <v>4685</v>
      </c>
      <c r="G2093" t="s">
        <v>4685</v>
      </c>
      <c r="H2093" s="2">
        <v>0</v>
      </c>
      <c r="I2093" t="s">
        <v>4685</v>
      </c>
      <c r="J2093" t="str">
        <f t="shared" si="9"/>
        <v>normalweight</v>
      </c>
    </row>
    <row r="2094" spans="1:10" ht="15.75" customHeight="1">
      <c r="A2094" t="s">
        <v>497</v>
      </c>
      <c r="B2094">
        <v>23.655000000000001</v>
      </c>
      <c r="C2094">
        <v>5.92</v>
      </c>
      <c r="D2094" t="s">
        <v>4733</v>
      </c>
      <c r="E2094" t="s">
        <v>4685</v>
      </c>
      <c r="F2094" t="s">
        <v>4685</v>
      </c>
      <c r="G2094" t="s">
        <v>4685</v>
      </c>
      <c r="H2094" s="2">
        <v>1</v>
      </c>
      <c r="I2094" t="s">
        <v>4685</v>
      </c>
      <c r="J2094" t="str">
        <f t="shared" si="9"/>
        <v>normalweight</v>
      </c>
    </row>
    <row r="2095" spans="1:10" ht="15.75" customHeight="1">
      <c r="A2095" t="s">
        <v>495</v>
      </c>
      <c r="B2095">
        <v>28.4</v>
      </c>
      <c r="C2095">
        <v>5.97</v>
      </c>
      <c r="D2095" t="s">
        <v>4733</v>
      </c>
      <c r="E2095" t="s">
        <v>4685</v>
      </c>
      <c r="F2095" t="s">
        <v>4685</v>
      </c>
      <c r="G2095" t="s">
        <v>4688</v>
      </c>
      <c r="H2095" s="2">
        <v>1</v>
      </c>
      <c r="I2095" t="s">
        <v>4685</v>
      </c>
      <c r="J2095" t="str">
        <f t="shared" si="9"/>
        <v>normalweight</v>
      </c>
    </row>
    <row r="2096" spans="1:10" ht="15.75" customHeight="1">
      <c r="A2096" t="s">
        <v>493</v>
      </c>
      <c r="B2096">
        <v>35.42</v>
      </c>
      <c r="C2096">
        <v>4.6399999999999997</v>
      </c>
      <c r="D2096" t="s">
        <v>4732</v>
      </c>
      <c r="E2096" t="s">
        <v>4686</v>
      </c>
      <c r="F2096" t="s">
        <v>4685</v>
      </c>
      <c r="G2096" t="s">
        <v>4685</v>
      </c>
      <c r="H2096" s="2">
        <v>0</v>
      </c>
      <c r="I2096" t="s">
        <v>4685</v>
      </c>
      <c r="J2096" t="str">
        <f t="shared" si="9"/>
        <v>normalweight</v>
      </c>
    </row>
    <row r="2097" spans="1:10" ht="15.75" customHeight="1">
      <c r="A2097" t="s">
        <v>491</v>
      </c>
      <c r="B2097">
        <v>26.18</v>
      </c>
      <c r="C2097">
        <v>6.12</v>
      </c>
      <c r="D2097" t="s">
        <v>4733</v>
      </c>
      <c r="E2097" t="s">
        <v>4685</v>
      </c>
      <c r="F2097" t="s">
        <v>4686</v>
      </c>
      <c r="G2097" t="s">
        <v>4685</v>
      </c>
      <c r="H2097" s="2">
        <v>1</v>
      </c>
      <c r="I2097" t="s">
        <v>4685</v>
      </c>
      <c r="J2097" t="str">
        <f t="shared" si="9"/>
        <v>normalweight</v>
      </c>
    </row>
    <row r="2098" spans="1:10" ht="15.75" customHeight="1">
      <c r="A2098" t="s">
        <v>489</v>
      </c>
      <c r="B2098">
        <v>20.8</v>
      </c>
      <c r="C2098">
        <v>4.87</v>
      </c>
      <c r="D2098" t="s">
        <v>4732</v>
      </c>
      <c r="E2098" t="s">
        <v>4686</v>
      </c>
      <c r="F2098" t="s">
        <v>4685</v>
      </c>
      <c r="G2098" t="s">
        <v>4685</v>
      </c>
      <c r="H2098" s="2">
        <v>0</v>
      </c>
      <c r="I2098" t="s">
        <v>4685</v>
      </c>
      <c r="J2098" t="str">
        <f t="shared" si="9"/>
        <v>normalweight</v>
      </c>
    </row>
    <row r="2099" spans="1:10" ht="15.75" customHeight="1">
      <c r="A2099" t="s">
        <v>487</v>
      </c>
      <c r="B2099">
        <v>15.82</v>
      </c>
      <c r="C2099">
        <v>4.5999999999999996</v>
      </c>
      <c r="D2099" t="s">
        <v>4732</v>
      </c>
      <c r="E2099" t="s">
        <v>4685</v>
      </c>
      <c r="F2099" t="s">
        <v>4685</v>
      </c>
      <c r="G2099" t="s">
        <v>4685</v>
      </c>
      <c r="H2099" s="2">
        <v>0</v>
      </c>
      <c r="I2099" t="s">
        <v>4685</v>
      </c>
      <c r="J2099" t="str">
        <f t="shared" si="9"/>
        <v>underweight</v>
      </c>
    </row>
    <row r="2100" spans="1:10" ht="15.75" customHeight="1">
      <c r="A2100" t="s">
        <v>4690</v>
      </c>
      <c r="B2100">
        <v>17.670000000000002</v>
      </c>
      <c r="C2100">
        <v>4.78</v>
      </c>
      <c r="D2100" t="s">
        <v>4732</v>
      </c>
      <c r="E2100" t="s">
        <v>4685</v>
      </c>
      <c r="F2100" t="s">
        <v>4685</v>
      </c>
      <c r="G2100" t="s">
        <v>4685</v>
      </c>
      <c r="H2100" s="2">
        <v>0</v>
      </c>
      <c r="I2100" t="s">
        <v>4685</v>
      </c>
      <c r="J2100" t="str">
        <f t="shared" si="9"/>
        <v>underweight</v>
      </c>
    </row>
    <row r="2101" spans="1:10" ht="15.75" customHeight="1">
      <c r="A2101" t="s">
        <v>485</v>
      </c>
      <c r="B2101">
        <v>31.92</v>
      </c>
      <c r="C2101">
        <v>11.05</v>
      </c>
      <c r="D2101" s="6" t="s">
        <v>4684</v>
      </c>
      <c r="E2101" t="s">
        <v>4685</v>
      </c>
      <c r="F2101" t="s">
        <v>4685</v>
      </c>
      <c r="G2101" t="s">
        <v>4685</v>
      </c>
      <c r="H2101" s="2">
        <v>0</v>
      </c>
      <c r="I2101" t="s">
        <v>4685</v>
      </c>
      <c r="J2101" t="str">
        <f t="shared" si="9"/>
        <v>normalweight</v>
      </c>
    </row>
    <row r="2102" spans="1:10" ht="15.75" customHeight="1">
      <c r="A2102" t="s">
        <v>483</v>
      </c>
      <c r="B2102">
        <v>28.975000000000001</v>
      </c>
      <c r="C2102">
        <v>7.62</v>
      </c>
      <c r="D2102" s="6" t="s">
        <v>4684</v>
      </c>
      <c r="E2102" t="s">
        <v>4685</v>
      </c>
      <c r="F2102" t="s">
        <v>4685</v>
      </c>
      <c r="G2102" t="s">
        <v>4685</v>
      </c>
      <c r="H2102" s="2">
        <v>0</v>
      </c>
      <c r="I2102" t="s">
        <v>4685</v>
      </c>
      <c r="J2102" t="str">
        <f t="shared" si="9"/>
        <v>normalweight</v>
      </c>
    </row>
    <row r="2103" spans="1:10" ht="15.75" customHeight="1">
      <c r="A2103" t="s">
        <v>481</v>
      </c>
      <c r="B2103">
        <v>31.73</v>
      </c>
      <c r="C2103">
        <v>4.78</v>
      </c>
      <c r="D2103" t="s">
        <v>4732</v>
      </c>
      <c r="E2103" t="s">
        <v>4686</v>
      </c>
      <c r="F2103" t="s">
        <v>4686</v>
      </c>
      <c r="G2103" t="s">
        <v>4685</v>
      </c>
      <c r="H2103" s="2">
        <v>2</v>
      </c>
      <c r="I2103" t="s">
        <v>4685</v>
      </c>
      <c r="J2103" t="str">
        <f t="shared" si="9"/>
        <v>normalweight</v>
      </c>
    </row>
    <row r="2104" spans="1:10" ht="15.75" customHeight="1">
      <c r="A2104" t="s">
        <v>479</v>
      </c>
      <c r="B2104">
        <v>28.88</v>
      </c>
      <c r="C2104">
        <v>6.09</v>
      </c>
      <c r="D2104" t="s">
        <v>4733</v>
      </c>
      <c r="E2104" t="s">
        <v>4686</v>
      </c>
      <c r="F2104" t="s">
        <v>4686</v>
      </c>
      <c r="G2104" t="s">
        <v>4685</v>
      </c>
      <c r="H2104" s="2">
        <v>2</v>
      </c>
      <c r="I2104" t="s">
        <v>4685</v>
      </c>
      <c r="J2104" t="str">
        <f t="shared" si="9"/>
        <v>normalweight</v>
      </c>
    </row>
    <row r="2105" spans="1:10" ht="15.75" customHeight="1">
      <c r="A2105" t="s">
        <v>477</v>
      </c>
      <c r="B2105">
        <v>25.555</v>
      </c>
      <c r="C2105">
        <v>5.1100000000000003</v>
      </c>
      <c r="D2105" t="s">
        <v>4732</v>
      </c>
      <c r="E2105" t="s">
        <v>4685</v>
      </c>
      <c r="F2105" t="s">
        <v>4685</v>
      </c>
      <c r="G2105" t="s">
        <v>4688</v>
      </c>
      <c r="H2105" s="2">
        <v>1</v>
      </c>
      <c r="I2105" t="s">
        <v>4685</v>
      </c>
      <c r="J2105" t="str">
        <f t="shared" si="9"/>
        <v>normalweight</v>
      </c>
    </row>
    <row r="2106" spans="1:10" ht="15.75" customHeight="1">
      <c r="A2106" t="s">
        <v>475</v>
      </c>
      <c r="B2106">
        <v>37.29</v>
      </c>
      <c r="C2106">
        <v>4.46</v>
      </c>
      <c r="D2106" t="s">
        <v>4732</v>
      </c>
      <c r="E2106" t="s">
        <v>4685</v>
      </c>
      <c r="F2106" t="s">
        <v>4686</v>
      </c>
      <c r="G2106" t="s">
        <v>4685</v>
      </c>
      <c r="H2106" s="2">
        <v>1</v>
      </c>
      <c r="I2106" t="s">
        <v>4685</v>
      </c>
      <c r="J2106" t="str">
        <f t="shared" si="9"/>
        <v>normalweight</v>
      </c>
    </row>
    <row r="2107" spans="1:10" ht="15.75" customHeight="1">
      <c r="A2107" t="s">
        <v>473</v>
      </c>
      <c r="B2107">
        <v>40.28</v>
      </c>
      <c r="C2107">
        <v>6.11</v>
      </c>
      <c r="D2107" t="s">
        <v>4733</v>
      </c>
      <c r="E2107" t="s">
        <v>4685</v>
      </c>
      <c r="F2107" t="s">
        <v>4686</v>
      </c>
      <c r="G2107" t="s">
        <v>4685</v>
      </c>
      <c r="H2107" s="2">
        <v>1</v>
      </c>
      <c r="I2107" t="s">
        <v>4685</v>
      </c>
      <c r="J2107" t="str">
        <f t="shared" si="9"/>
        <v>normalweight</v>
      </c>
    </row>
    <row r="2108" spans="1:10" ht="15.75" customHeight="1">
      <c r="A2108" t="s">
        <v>471</v>
      </c>
      <c r="B2108">
        <v>40.185000000000002</v>
      </c>
      <c r="C2108">
        <v>4.66</v>
      </c>
      <c r="D2108" t="s">
        <v>4732</v>
      </c>
      <c r="E2108" t="s">
        <v>4685</v>
      </c>
      <c r="F2108" t="s">
        <v>4686</v>
      </c>
      <c r="G2108" t="s">
        <v>4685</v>
      </c>
      <c r="H2108" s="2">
        <v>1</v>
      </c>
      <c r="I2108" t="s">
        <v>4685</v>
      </c>
      <c r="J2108" t="str">
        <f t="shared" si="9"/>
        <v>normalweight</v>
      </c>
    </row>
    <row r="2109" spans="1:10" ht="15.75" customHeight="1">
      <c r="A2109" t="s">
        <v>469</v>
      </c>
      <c r="B2109">
        <v>23.57</v>
      </c>
      <c r="C2109">
        <v>6.14</v>
      </c>
      <c r="D2109" t="s">
        <v>4733</v>
      </c>
      <c r="E2109" t="s">
        <v>4685</v>
      </c>
      <c r="F2109" t="s">
        <v>4685</v>
      </c>
      <c r="G2109" t="s">
        <v>4685</v>
      </c>
      <c r="H2109" s="2">
        <v>0</v>
      </c>
      <c r="I2109" t="s">
        <v>4685</v>
      </c>
      <c r="J2109" t="str">
        <f t="shared" si="9"/>
        <v>normalweight</v>
      </c>
    </row>
    <row r="2110" spans="1:10" ht="15.75" customHeight="1">
      <c r="A2110" t="s">
        <v>467</v>
      </c>
      <c r="B2110">
        <v>35.625</v>
      </c>
      <c r="C2110">
        <v>6.21</v>
      </c>
      <c r="D2110" t="s">
        <v>4733</v>
      </c>
      <c r="E2110" t="s">
        <v>4685</v>
      </c>
      <c r="F2110" t="s">
        <v>4686</v>
      </c>
      <c r="G2110" t="s">
        <v>4685</v>
      </c>
      <c r="H2110" s="2">
        <v>1</v>
      </c>
      <c r="I2110" t="s">
        <v>4685</v>
      </c>
      <c r="J2110" t="str">
        <f t="shared" si="9"/>
        <v>normalweight</v>
      </c>
    </row>
    <row r="2111" spans="1:10" ht="15.75" customHeight="1">
      <c r="A2111" t="s">
        <v>465</v>
      </c>
      <c r="B2111">
        <v>33.155000000000001</v>
      </c>
      <c r="C2111">
        <v>4.5999999999999996</v>
      </c>
      <c r="D2111" t="s">
        <v>4732</v>
      </c>
      <c r="E2111" t="s">
        <v>4685</v>
      </c>
      <c r="F2111" t="s">
        <v>4686</v>
      </c>
      <c r="G2111" t="s">
        <v>4685</v>
      </c>
      <c r="H2111" s="2">
        <v>1</v>
      </c>
      <c r="I2111" t="s">
        <v>4685</v>
      </c>
      <c r="J2111" t="str">
        <f t="shared" si="9"/>
        <v>normalweight</v>
      </c>
    </row>
    <row r="2112" spans="1:10" ht="15.75" customHeight="1">
      <c r="A2112" t="s">
        <v>463</v>
      </c>
      <c r="B2112">
        <v>31.92</v>
      </c>
      <c r="C2112">
        <v>5.04</v>
      </c>
      <c r="D2112" t="s">
        <v>4732</v>
      </c>
      <c r="E2112" t="s">
        <v>4685</v>
      </c>
      <c r="F2112" t="s">
        <v>4686</v>
      </c>
      <c r="G2112" t="s">
        <v>4685</v>
      </c>
      <c r="H2112" s="2">
        <v>1</v>
      </c>
      <c r="I2112" t="s">
        <v>4685</v>
      </c>
      <c r="J2112" t="str">
        <f t="shared" si="9"/>
        <v>normalweight</v>
      </c>
    </row>
    <row r="2113" spans="1:10" ht="15.75" customHeight="1">
      <c r="A2113" t="s">
        <v>461</v>
      </c>
      <c r="B2113">
        <v>30.305</v>
      </c>
      <c r="C2113">
        <v>5.08</v>
      </c>
      <c r="D2113" t="s">
        <v>4732</v>
      </c>
      <c r="E2113" t="s">
        <v>4685</v>
      </c>
      <c r="F2113" t="s">
        <v>4686</v>
      </c>
      <c r="G2113" t="s">
        <v>4685</v>
      </c>
      <c r="H2113" s="2">
        <v>1</v>
      </c>
      <c r="I2113" t="s">
        <v>4685</v>
      </c>
      <c r="J2113" t="str">
        <f t="shared" si="9"/>
        <v>normalweight</v>
      </c>
    </row>
    <row r="2114" spans="1:10" ht="15.75" customHeight="1">
      <c r="A2114" t="s">
        <v>459</v>
      </c>
      <c r="B2114">
        <v>30.114999999999998</v>
      </c>
      <c r="C2114">
        <v>4.38</v>
      </c>
      <c r="D2114" t="s">
        <v>4732</v>
      </c>
      <c r="E2114" t="s">
        <v>4685</v>
      </c>
      <c r="F2114" t="s">
        <v>4686</v>
      </c>
      <c r="G2114" t="s">
        <v>4685</v>
      </c>
      <c r="H2114" s="2">
        <v>1</v>
      </c>
      <c r="I2114" t="s">
        <v>4685</v>
      </c>
      <c r="J2114" t="str">
        <f t="shared" si="9"/>
        <v>normalweight</v>
      </c>
    </row>
    <row r="2115" spans="1:10" ht="15.75" customHeight="1">
      <c r="A2115" t="s">
        <v>457</v>
      </c>
      <c r="B2115">
        <v>24.09</v>
      </c>
      <c r="C2115">
        <v>4.79</v>
      </c>
      <c r="D2115" t="s">
        <v>4732</v>
      </c>
      <c r="E2115" t="s">
        <v>4685</v>
      </c>
      <c r="F2115" t="s">
        <v>4686</v>
      </c>
      <c r="G2115" t="s">
        <v>4685</v>
      </c>
      <c r="H2115" s="2">
        <v>1</v>
      </c>
      <c r="I2115" t="s">
        <v>4685</v>
      </c>
      <c r="J2115" t="str">
        <f t="shared" si="9"/>
        <v>normalweight</v>
      </c>
    </row>
    <row r="2116" spans="1:10" ht="15.75" customHeight="1">
      <c r="A2116" t="s">
        <v>455</v>
      </c>
      <c r="B2116">
        <v>28.215</v>
      </c>
      <c r="C2116">
        <v>4.21</v>
      </c>
      <c r="D2116" t="s">
        <v>4732</v>
      </c>
      <c r="E2116" t="s">
        <v>4685</v>
      </c>
      <c r="F2116" t="s">
        <v>4686</v>
      </c>
      <c r="G2116" t="s">
        <v>4685</v>
      </c>
      <c r="H2116" s="2">
        <v>1</v>
      </c>
      <c r="I2116" t="s">
        <v>4685</v>
      </c>
      <c r="J2116" t="str">
        <f t="shared" si="9"/>
        <v>normalweight</v>
      </c>
    </row>
    <row r="2117" spans="1:10" ht="15.75" customHeight="1">
      <c r="A2117" t="s">
        <v>453</v>
      </c>
      <c r="B2117">
        <v>26.315000000000001</v>
      </c>
      <c r="C2117">
        <v>5.47</v>
      </c>
      <c r="D2117" t="s">
        <v>4732</v>
      </c>
      <c r="E2117" t="s">
        <v>4685</v>
      </c>
      <c r="F2117" t="s">
        <v>4686</v>
      </c>
      <c r="G2117" t="s">
        <v>4685</v>
      </c>
      <c r="H2117" s="2">
        <v>1</v>
      </c>
      <c r="I2117" t="s">
        <v>4685</v>
      </c>
      <c r="J2117" t="str">
        <f t="shared" si="9"/>
        <v>normalweight</v>
      </c>
    </row>
    <row r="2118" spans="1:10" ht="15.75" customHeight="1">
      <c r="A2118" t="s">
        <v>451</v>
      </c>
      <c r="B2118">
        <v>25.08</v>
      </c>
      <c r="C2118">
        <v>5.09</v>
      </c>
      <c r="D2118" t="s">
        <v>4732</v>
      </c>
      <c r="E2118" t="s">
        <v>4685</v>
      </c>
      <c r="F2118" t="s">
        <v>4686</v>
      </c>
      <c r="G2118" t="s">
        <v>4685</v>
      </c>
      <c r="H2118" s="2">
        <v>1</v>
      </c>
      <c r="I2118" t="s">
        <v>4685</v>
      </c>
      <c r="J2118" t="str">
        <f t="shared" si="9"/>
        <v>normalweight</v>
      </c>
    </row>
    <row r="2119" spans="1:10" ht="15.75" customHeight="1">
      <c r="A2119" t="s">
        <v>449</v>
      </c>
      <c r="B2119">
        <v>15.41</v>
      </c>
      <c r="C2119">
        <v>5.08</v>
      </c>
      <c r="D2119" t="s">
        <v>4732</v>
      </c>
      <c r="E2119" t="s">
        <v>4685</v>
      </c>
      <c r="F2119" t="s">
        <v>4685</v>
      </c>
      <c r="G2119" t="s">
        <v>4685</v>
      </c>
      <c r="H2119" s="2">
        <v>0</v>
      </c>
      <c r="I2119" t="s">
        <v>4685</v>
      </c>
      <c r="J2119" t="str">
        <f t="shared" si="9"/>
        <v>underweight</v>
      </c>
    </row>
    <row r="2120" spans="1:10" ht="15.75" customHeight="1">
      <c r="A2120" t="s">
        <v>447</v>
      </c>
      <c r="B2120">
        <v>23.83</v>
      </c>
      <c r="C2120">
        <v>5.68</v>
      </c>
      <c r="D2120" t="s">
        <v>4732</v>
      </c>
      <c r="E2120" t="s">
        <v>4685</v>
      </c>
      <c r="F2120" t="s">
        <v>4685</v>
      </c>
      <c r="G2120" t="s">
        <v>4685</v>
      </c>
      <c r="H2120" s="2">
        <v>0</v>
      </c>
      <c r="I2120" t="s">
        <v>4685</v>
      </c>
      <c r="J2120" t="str">
        <f t="shared" si="9"/>
        <v>normalweight</v>
      </c>
    </row>
    <row r="2121" spans="1:10" ht="15.75" customHeight="1">
      <c r="A2121" t="s">
        <v>445</v>
      </c>
      <c r="B2121">
        <v>36</v>
      </c>
      <c r="C2121">
        <v>4.66</v>
      </c>
      <c r="D2121" t="s">
        <v>4732</v>
      </c>
      <c r="E2121" t="s">
        <v>4685</v>
      </c>
      <c r="F2121" t="s">
        <v>4686</v>
      </c>
      <c r="G2121" t="s">
        <v>4685</v>
      </c>
      <c r="H2121" s="2">
        <v>1</v>
      </c>
      <c r="I2121" t="s">
        <v>4685</v>
      </c>
      <c r="J2121" t="str">
        <f t="shared" si="9"/>
        <v>normalweight</v>
      </c>
    </row>
    <row r="2122" spans="1:10" ht="15.75" customHeight="1">
      <c r="A2122" t="s">
        <v>443</v>
      </c>
      <c r="B2122">
        <v>28.82</v>
      </c>
      <c r="C2122">
        <v>5.59</v>
      </c>
      <c r="D2122" t="s">
        <v>4732</v>
      </c>
      <c r="E2122" t="s">
        <v>4685</v>
      </c>
      <c r="F2122" t="s">
        <v>4686</v>
      </c>
      <c r="G2122" t="s">
        <v>4685</v>
      </c>
      <c r="H2122" s="2">
        <v>1</v>
      </c>
      <c r="I2122" t="s">
        <v>4685</v>
      </c>
      <c r="J2122" t="str">
        <f t="shared" si="9"/>
        <v>normalweight</v>
      </c>
    </row>
    <row r="2123" spans="1:10" ht="15.75" customHeight="1">
      <c r="A2123" t="s">
        <v>441</v>
      </c>
      <c r="B2123">
        <v>28.05</v>
      </c>
      <c r="C2123">
        <v>6.2</v>
      </c>
      <c r="D2123" t="s">
        <v>4733</v>
      </c>
      <c r="E2123" t="s">
        <v>4685</v>
      </c>
      <c r="F2123" t="s">
        <v>4686</v>
      </c>
      <c r="G2123" t="s">
        <v>4685</v>
      </c>
      <c r="H2123" s="2">
        <v>1</v>
      </c>
      <c r="I2123" t="s">
        <v>4685</v>
      </c>
      <c r="J2123" t="str">
        <f t="shared" si="9"/>
        <v>normalweight</v>
      </c>
    </row>
    <row r="2124" spans="1:10" ht="15.75" customHeight="1">
      <c r="A2124" t="s">
        <v>439</v>
      </c>
      <c r="B2124">
        <v>27.1</v>
      </c>
      <c r="C2124">
        <v>4.45</v>
      </c>
      <c r="D2124" t="s">
        <v>4732</v>
      </c>
      <c r="E2124" t="s">
        <v>4685</v>
      </c>
      <c r="F2124" t="s">
        <v>4686</v>
      </c>
      <c r="G2124" t="s">
        <v>4685</v>
      </c>
      <c r="H2124" s="2">
        <v>1</v>
      </c>
      <c r="I2124" t="s">
        <v>4685</v>
      </c>
      <c r="J2124" t="str">
        <f t="shared" si="9"/>
        <v>normalweight</v>
      </c>
    </row>
    <row r="2125" spans="1:10" ht="15.75" customHeight="1">
      <c r="A2125" t="s">
        <v>437</v>
      </c>
      <c r="B2125">
        <v>24.3</v>
      </c>
      <c r="C2125">
        <v>6.1</v>
      </c>
      <c r="D2125" t="s">
        <v>4733</v>
      </c>
      <c r="E2125" t="s">
        <v>4686</v>
      </c>
      <c r="F2125" t="s">
        <v>4686</v>
      </c>
      <c r="G2125" t="s">
        <v>4685</v>
      </c>
      <c r="H2125" s="2">
        <v>1</v>
      </c>
      <c r="I2125" t="s">
        <v>4685</v>
      </c>
      <c r="J2125" t="str">
        <f t="shared" si="9"/>
        <v>normalweight</v>
      </c>
    </row>
    <row r="2126" spans="1:10" ht="15.75" customHeight="1">
      <c r="A2126" t="s">
        <v>435</v>
      </c>
      <c r="B2126">
        <v>30.72</v>
      </c>
      <c r="C2126">
        <v>6.06</v>
      </c>
      <c r="D2126" t="s">
        <v>4733</v>
      </c>
      <c r="E2126" t="s">
        <v>4685</v>
      </c>
      <c r="F2126" t="s">
        <v>4686</v>
      </c>
      <c r="G2126" t="s">
        <v>4685</v>
      </c>
      <c r="H2126" s="2">
        <v>1</v>
      </c>
      <c r="I2126" t="s">
        <v>4685</v>
      </c>
      <c r="J2126" t="str">
        <f t="shared" si="9"/>
        <v>normalweight</v>
      </c>
    </row>
    <row r="2127" spans="1:10" ht="15.75" customHeight="1">
      <c r="A2127" t="s">
        <v>433</v>
      </c>
      <c r="B2127">
        <v>37.43</v>
      </c>
      <c r="C2127">
        <v>4.5599999999999996</v>
      </c>
      <c r="D2127" t="s">
        <v>4732</v>
      </c>
      <c r="E2127" t="s">
        <v>4685</v>
      </c>
      <c r="F2127" t="s">
        <v>4685</v>
      </c>
      <c r="G2127" t="s">
        <v>4688</v>
      </c>
      <c r="H2127" s="2">
        <v>1</v>
      </c>
      <c r="I2127" t="s">
        <v>4685</v>
      </c>
      <c r="J2127" t="str">
        <f t="shared" si="9"/>
        <v>normalweight</v>
      </c>
    </row>
    <row r="2128" spans="1:10" ht="15.75" customHeight="1">
      <c r="A2128" t="s">
        <v>431</v>
      </c>
      <c r="B2128">
        <v>25.74</v>
      </c>
      <c r="C2128">
        <v>6.41</v>
      </c>
      <c r="D2128" t="s">
        <v>4733</v>
      </c>
      <c r="E2128" t="s">
        <v>4686</v>
      </c>
      <c r="F2128" t="s">
        <v>4685</v>
      </c>
      <c r="G2128" t="s">
        <v>4688</v>
      </c>
      <c r="H2128" s="2">
        <v>1</v>
      </c>
      <c r="I2128" t="s">
        <v>4685</v>
      </c>
      <c r="J2128" t="str">
        <f t="shared" si="9"/>
        <v>normalweight</v>
      </c>
    </row>
    <row r="2129" spans="1:10" ht="15.75" customHeight="1">
      <c r="A2129" t="s">
        <v>429</v>
      </c>
      <c r="B2129">
        <v>36.575000000000003</v>
      </c>
      <c r="C2129">
        <v>5.57</v>
      </c>
      <c r="D2129" t="s">
        <v>4732</v>
      </c>
      <c r="E2129" t="s">
        <v>4685</v>
      </c>
      <c r="F2129" t="s">
        <v>4685</v>
      </c>
      <c r="G2129" t="s">
        <v>4688</v>
      </c>
      <c r="H2129" s="2">
        <v>1</v>
      </c>
      <c r="I2129" t="s">
        <v>4685</v>
      </c>
      <c r="J2129" t="str">
        <f t="shared" si="9"/>
        <v>normalweight</v>
      </c>
    </row>
    <row r="2130" spans="1:10" ht="15.75" customHeight="1">
      <c r="A2130" t="s">
        <v>427</v>
      </c>
      <c r="B2130">
        <v>35.15</v>
      </c>
      <c r="C2130">
        <v>5.47</v>
      </c>
      <c r="D2130" t="s">
        <v>4732</v>
      </c>
      <c r="E2130" t="s">
        <v>4685</v>
      </c>
      <c r="F2130" t="s">
        <v>4685</v>
      </c>
      <c r="G2130" t="s">
        <v>4688</v>
      </c>
      <c r="H2130" s="2">
        <v>1</v>
      </c>
      <c r="I2130" t="s">
        <v>4685</v>
      </c>
      <c r="J2130" t="str">
        <f t="shared" si="9"/>
        <v>normalweight</v>
      </c>
    </row>
    <row r="2131" spans="1:10" ht="15.75" customHeight="1">
      <c r="A2131" t="s">
        <v>4435</v>
      </c>
      <c r="B2131">
        <v>32.11</v>
      </c>
      <c r="C2131">
        <v>4.43</v>
      </c>
      <c r="D2131" t="s">
        <v>4732</v>
      </c>
      <c r="E2131" t="s">
        <v>4685</v>
      </c>
      <c r="F2131" t="s">
        <v>4685</v>
      </c>
      <c r="G2131" t="s">
        <v>4688</v>
      </c>
      <c r="H2131" s="2">
        <v>1</v>
      </c>
      <c r="I2131" t="s">
        <v>4685</v>
      </c>
      <c r="J2131" t="str">
        <f t="shared" si="9"/>
        <v>normalweight</v>
      </c>
    </row>
    <row r="2132" spans="1:10" ht="15.75" customHeight="1">
      <c r="A2132" t="s">
        <v>425</v>
      </c>
      <c r="B2132">
        <v>30.495000000000001</v>
      </c>
      <c r="C2132">
        <v>4.95</v>
      </c>
      <c r="D2132" t="s">
        <v>4732</v>
      </c>
      <c r="E2132" t="s">
        <v>4685</v>
      </c>
      <c r="F2132" t="s">
        <v>4685</v>
      </c>
      <c r="G2132" t="s">
        <v>4688</v>
      </c>
      <c r="H2132" s="2">
        <v>1</v>
      </c>
      <c r="I2132" t="s">
        <v>4685</v>
      </c>
      <c r="J2132" t="str">
        <f t="shared" si="9"/>
        <v>normalweight</v>
      </c>
    </row>
    <row r="2133" spans="1:10" ht="15.75" customHeight="1">
      <c r="A2133" t="s">
        <v>423</v>
      </c>
      <c r="B2133">
        <v>29.24</v>
      </c>
      <c r="C2133">
        <v>4.04</v>
      </c>
      <c r="D2133" t="s">
        <v>4732</v>
      </c>
      <c r="E2133" t="s">
        <v>4685</v>
      </c>
      <c r="F2133" t="s">
        <v>4686</v>
      </c>
      <c r="G2133" t="s">
        <v>4685</v>
      </c>
      <c r="H2133" s="2">
        <v>1</v>
      </c>
      <c r="I2133" t="s">
        <v>4685</v>
      </c>
      <c r="J2133" t="str">
        <f t="shared" si="9"/>
        <v>normalweight</v>
      </c>
    </row>
    <row r="2134" spans="1:10" ht="15.75" customHeight="1">
      <c r="A2134" t="s">
        <v>421</v>
      </c>
      <c r="B2134">
        <v>22.515000000000001</v>
      </c>
      <c r="C2134">
        <v>5.93</v>
      </c>
      <c r="D2134" s="10" t="s">
        <v>4733</v>
      </c>
      <c r="E2134" t="s">
        <v>4685</v>
      </c>
      <c r="F2134" t="s">
        <v>4685</v>
      </c>
      <c r="G2134" t="s">
        <v>4688</v>
      </c>
      <c r="H2134" s="2">
        <v>1</v>
      </c>
      <c r="I2134" t="s">
        <v>4685</v>
      </c>
      <c r="J2134" t="str">
        <f t="shared" si="9"/>
        <v>normalweight</v>
      </c>
    </row>
    <row r="2135" spans="1:10" ht="15.75" customHeight="1">
      <c r="A2135" t="s">
        <v>419</v>
      </c>
      <c r="B2135">
        <v>15.65</v>
      </c>
      <c r="C2135">
        <v>4.2300000000000004</v>
      </c>
      <c r="D2135" t="s">
        <v>4732</v>
      </c>
      <c r="E2135" t="s">
        <v>4685</v>
      </c>
      <c r="F2135" t="s">
        <v>4685</v>
      </c>
      <c r="G2135" t="s">
        <v>4685</v>
      </c>
      <c r="H2135" s="2">
        <v>0</v>
      </c>
      <c r="I2135" t="s">
        <v>4685</v>
      </c>
      <c r="J2135" t="str">
        <f t="shared" si="9"/>
        <v>underweight</v>
      </c>
    </row>
    <row r="2136" spans="1:10" ht="15.75" customHeight="1">
      <c r="A2136" t="s">
        <v>417</v>
      </c>
      <c r="B2136">
        <v>27.36</v>
      </c>
      <c r="C2136">
        <v>5.59</v>
      </c>
      <c r="D2136" s="10" t="s">
        <v>4733</v>
      </c>
      <c r="E2136" t="s">
        <v>4686</v>
      </c>
      <c r="F2136" t="s">
        <v>4685</v>
      </c>
      <c r="G2136" t="s">
        <v>4685</v>
      </c>
      <c r="H2136" s="2">
        <v>0</v>
      </c>
      <c r="I2136" t="s">
        <v>4685</v>
      </c>
      <c r="J2136" t="str">
        <f t="shared" si="9"/>
        <v>normalweight</v>
      </c>
    </row>
    <row r="2137" spans="1:10" ht="15.75" customHeight="1">
      <c r="A2137" t="s">
        <v>415</v>
      </c>
      <c r="B2137">
        <v>22.3</v>
      </c>
      <c r="C2137">
        <v>4.8899999999999997</v>
      </c>
      <c r="D2137" t="s">
        <v>4732</v>
      </c>
      <c r="E2137" t="s">
        <v>4686</v>
      </c>
      <c r="F2137" t="s">
        <v>4685</v>
      </c>
      <c r="G2137" t="s">
        <v>4685</v>
      </c>
      <c r="H2137" s="2">
        <v>0</v>
      </c>
      <c r="I2137" t="s">
        <v>4685</v>
      </c>
      <c r="J2137" t="str">
        <f t="shared" si="9"/>
        <v>normalweight</v>
      </c>
    </row>
    <row r="2138" spans="1:10" ht="15.75" customHeight="1">
      <c r="A2138" t="s">
        <v>413</v>
      </c>
      <c r="B2138">
        <v>26.03</v>
      </c>
      <c r="C2138">
        <v>5.81</v>
      </c>
      <c r="D2138" s="10" t="s">
        <v>4733</v>
      </c>
      <c r="E2138" t="s">
        <v>4686</v>
      </c>
      <c r="F2138" t="s">
        <v>4685</v>
      </c>
      <c r="G2138" t="s">
        <v>4685</v>
      </c>
      <c r="H2138" s="2">
        <v>0</v>
      </c>
      <c r="I2138" t="s">
        <v>4685</v>
      </c>
      <c r="J2138" t="str">
        <f t="shared" si="9"/>
        <v>normalweight</v>
      </c>
    </row>
    <row r="2139" spans="1:10" ht="15.75" customHeight="1">
      <c r="A2139" t="s">
        <v>411</v>
      </c>
      <c r="B2139">
        <v>27.74</v>
      </c>
      <c r="C2139">
        <v>4.29</v>
      </c>
      <c r="D2139" t="s">
        <v>4732</v>
      </c>
      <c r="E2139" t="s">
        <v>4685</v>
      </c>
      <c r="F2139" t="s">
        <v>4686</v>
      </c>
      <c r="G2139" t="s">
        <v>4685</v>
      </c>
      <c r="H2139" s="2">
        <v>1</v>
      </c>
      <c r="I2139" t="s">
        <v>4685</v>
      </c>
      <c r="J2139" t="str">
        <f t="shared" si="9"/>
        <v>normalweight</v>
      </c>
    </row>
    <row r="2140" spans="1:10" ht="15.75" customHeight="1">
      <c r="A2140" t="s">
        <v>409</v>
      </c>
      <c r="B2140">
        <v>32.11</v>
      </c>
      <c r="C2140">
        <v>4.03</v>
      </c>
      <c r="D2140" t="s">
        <v>4732</v>
      </c>
      <c r="E2140" t="s">
        <v>4686</v>
      </c>
      <c r="F2140" t="s">
        <v>4686</v>
      </c>
      <c r="G2140" t="s">
        <v>4685</v>
      </c>
      <c r="H2140" s="2">
        <v>2</v>
      </c>
      <c r="I2140" t="s">
        <v>4685</v>
      </c>
      <c r="J2140" t="str">
        <f t="shared" si="9"/>
        <v>normalweight</v>
      </c>
    </row>
    <row r="2141" spans="1:10" ht="15.75" customHeight="1">
      <c r="A2141" t="s">
        <v>407</v>
      </c>
      <c r="B2141">
        <v>25.175000000000001</v>
      </c>
      <c r="C2141">
        <v>6.29</v>
      </c>
      <c r="D2141" s="10" t="s">
        <v>4733</v>
      </c>
      <c r="E2141" t="s">
        <v>4686</v>
      </c>
      <c r="F2141" t="s">
        <v>4686</v>
      </c>
      <c r="G2141" t="s">
        <v>4685</v>
      </c>
      <c r="H2141" s="2">
        <v>2</v>
      </c>
      <c r="I2141" t="s">
        <v>4685</v>
      </c>
      <c r="J2141" t="str">
        <f t="shared" si="9"/>
        <v>normalweight</v>
      </c>
    </row>
    <row r="2142" spans="1:10" ht="15.75" customHeight="1">
      <c r="A2142" t="s">
        <v>405</v>
      </c>
      <c r="B2142">
        <v>39.49</v>
      </c>
      <c r="C2142">
        <v>4.4800000000000004</v>
      </c>
      <c r="D2142" t="s">
        <v>4732</v>
      </c>
      <c r="E2142" t="s">
        <v>4686</v>
      </c>
      <c r="F2142" t="s">
        <v>4685</v>
      </c>
      <c r="G2142" t="s">
        <v>4685</v>
      </c>
      <c r="H2142" s="2">
        <v>0</v>
      </c>
      <c r="I2142" t="s">
        <v>4685</v>
      </c>
      <c r="J2142" t="str">
        <f t="shared" si="9"/>
        <v>normalweight</v>
      </c>
    </row>
    <row r="2143" spans="1:10" ht="15.75" customHeight="1">
      <c r="A2143" t="s">
        <v>403</v>
      </c>
      <c r="B2143">
        <v>34.869999999999997</v>
      </c>
      <c r="C2143">
        <v>5.51</v>
      </c>
      <c r="D2143" t="s">
        <v>4732</v>
      </c>
      <c r="E2143" t="s">
        <v>4686</v>
      </c>
      <c r="F2143" t="s">
        <v>4685</v>
      </c>
      <c r="G2143" t="s">
        <v>4685</v>
      </c>
      <c r="H2143" s="2">
        <v>0</v>
      </c>
      <c r="I2143" t="s">
        <v>4685</v>
      </c>
      <c r="J2143" t="str">
        <f t="shared" si="9"/>
        <v>normalweight</v>
      </c>
    </row>
    <row r="2144" spans="1:10" ht="15.75" customHeight="1">
      <c r="A2144" t="s">
        <v>401</v>
      </c>
      <c r="B2144">
        <v>34.6</v>
      </c>
      <c r="C2144">
        <v>4.5</v>
      </c>
      <c r="D2144" t="s">
        <v>4732</v>
      </c>
      <c r="E2144" t="s">
        <v>4686</v>
      </c>
      <c r="F2144" t="s">
        <v>4685</v>
      </c>
      <c r="G2144" t="s">
        <v>4685</v>
      </c>
      <c r="H2144" s="2">
        <v>0</v>
      </c>
      <c r="I2144" t="s">
        <v>4685</v>
      </c>
      <c r="J2144" t="str">
        <f t="shared" si="9"/>
        <v>normalweight</v>
      </c>
    </row>
    <row r="2145" spans="1:10" ht="15.75" customHeight="1">
      <c r="A2145" t="s">
        <v>399</v>
      </c>
      <c r="B2145">
        <v>25.8</v>
      </c>
      <c r="C2145">
        <v>6.29</v>
      </c>
      <c r="D2145" s="10" t="s">
        <v>4733</v>
      </c>
      <c r="E2145" t="s">
        <v>4686</v>
      </c>
      <c r="F2145" t="s">
        <v>4685</v>
      </c>
      <c r="G2145" t="s">
        <v>4685</v>
      </c>
      <c r="H2145" s="2">
        <v>0</v>
      </c>
      <c r="I2145" t="s">
        <v>4685</v>
      </c>
      <c r="J2145" t="str">
        <f t="shared" si="9"/>
        <v>normalweight</v>
      </c>
    </row>
    <row r="2146" spans="1:10" ht="15.75" customHeight="1" thickBot="1">
      <c r="A2146" t="s">
        <v>397</v>
      </c>
      <c r="B2146">
        <v>35.86</v>
      </c>
      <c r="C2146">
        <v>4.33</v>
      </c>
      <c r="D2146" t="s">
        <v>4732</v>
      </c>
      <c r="E2146" t="s">
        <v>4685</v>
      </c>
      <c r="F2146" t="s">
        <v>4685</v>
      </c>
      <c r="G2146" t="s">
        <v>4685</v>
      </c>
      <c r="H2146" s="2">
        <v>1</v>
      </c>
      <c r="I2146" t="s">
        <v>4685</v>
      </c>
      <c r="J2146" t="str">
        <f t="shared" si="9"/>
        <v>normalweight</v>
      </c>
    </row>
    <row r="2147" spans="1:10" ht="15.75" customHeight="1" thickBot="1">
      <c r="A2147" t="s">
        <v>395</v>
      </c>
      <c r="B2147">
        <v>40.47</v>
      </c>
      <c r="C2147">
        <v>11.15</v>
      </c>
      <c r="D2147" s="6" t="s">
        <v>4684</v>
      </c>
      <c r="E2147" t="s">
        <v>4685</v>
      </c>
      <c r="F2147" t="s">
        <v>4685</v>
      </c>
      <c r="G2147" t="s">
        <v>4685</v>
      </c>
      <c r="H2147" s="2">
        <v>0</v>
      </c>
      <c r="I2147" t="s">
        <v>4685</v>
      </c>
      <c r="J2147" t="str">
        <f t="shared" si="9"/>
        <v>normalweight</v>
      </c>
    </row>
    <row r="2148" spans="1:10" ht="15.75" customHeight="1" thickBot="1">
      <c r="A2148" t="s">
        <v>393</v>
      </c>
      <c r="B2148">
        <v>32.01</v>
      </c>
      <c r="C2148">
        <v>6.45</v>
      </c>
      <c r="D2148" s="10" t="s">
        <v>4733</v>
      </c>
      <c r="E2148" t="s">
        <v>4685</v>
      </c>
      <c r="F2148" t="s">
        <v>4685</v>
      </c>
      <c r="G2148" t="s">
        <v>4685</v>
      </c>
      <c r="H2148" s="2">
        <v>1</v>
      </c>
      <c r="I2148" t="s">
        <v>4685</v>
      </c>
      <c r="J2148" t="str">
        <f t="shared" si="9"/>
        <v>normalweight</v>
      </c>
    </row>
    <row r="2149" spans="1:10" ht="15.75" customHeight="1" thickBot="1">
      <c r="A2149" t="s">
        <v>391</v>
      </c>
      <c r="B2149">
        <v>33</v>
      </c>
      <c r="C2149">
        <v>9.27</v>
      </c>
      <c r="D2149" s="6" t="s">
        <v>4684</v>
      </c>
      <c r="E2149" t="s">
        <v>4685</v>
      </c>
      <c r="F2149" t="s">
        <v>4685</v>
      </c>
      <c r="G2149" t="s">
        <v>4685</v>
      </c>
      <c r="H2149" s="2">
        <v>0</v>
      </c>
      <c r="I2149" t="s">
        <v>4685</v>
      </c>
      <c r="J2149" t="str">
        <f t="shared" si="9"/>
        <v>normalweight</v>
      </c>
    </row>
    <row r="2150" spans="1:10" ht="15.75" customHeight="1">
      <c r="A2150" t="s">
        <v>389</v>
      </c>
      <c r="B2150">
        <v>29.3</v>
      </c>
      <c r="C2150">
        <v>6.15</v>
      </c>
      <c r="D2150" s="10" t="s">
        <v>4733</v>
      </c>
      <c r="E2150" t="s">
        <v>4685</v>
      </c>
      <c r="F2150" t="s">
        <v>4685</v>
      </c>
      <c r="G2150" t="s">
        <v>4685</v>
      </c>
      <c r="H2150" s="2">
        <v>1</v>
      </c>
      <c r="I2150" t="s">
        <v>4685</v>
      </c>
      <c r="J2150" t="str">
        <f t="shared" si="9"/>
        <v>normalweight</v>
      </c>
    </row>
    <row r="2151" spans="1:10" ht="15.75" customHeight="1">
      <c r="A2151" t="s">
        <v>387</v>
      </c>
      <c r="B2151">
        <v>25.8</v>
      </c>
      <c r="C2151">
        <v>4.13</v>
      </c>
      <c r="D2151" s="11" t="s">
        <v>4732</v>
      </c>
      <c r="E2151" t="s">
        <v>4685</v>
      </c>
      <c r="F2151" t="s">
        <v>4685</v>
      </c>
      <c r="G2151" t="s">
        <v>4685</v>
      </c>
      <c r="H2151" s="2">
        <v>1</v>
      </c>
      <c r="I2151" t="s">
        <v>4685</v>
      </c>
      <c r="J2151" t="str">
        <f t="shared" si="9"/>
        <v>normalweight</v>
      </c>
    </row>
    <row r="2152" spans="1:10" ht="15.75" customHeight="1">
      <c r="A2152" t="s">
        <v>385</v>
      </c>
      <c r="B2152">
        <v>23.4</v>
      </c>
      <c r="C2152">
        <v>4.24</v>
      </c>
      <c r="D2152" s="11" t="s">
        <v>4732</v>
      </c>
      <c r="E2152" t="s">
        <v>4685</v>
      </c>
      <c r="F2152" t="s">
        <v>4685</v>
      </c>
      <c r="G2152" t="s">
        <v>4685</v>
      </c>
      <c r="H2152" s="2">
        <v>1</v>
      </c>
      <c r="I2152" t="s">
        <v>4685</v>
      </c>
      <c r="J2152" t="str">
        <f t="shared" si="9"/>
        <v>normalweight</v>
      </c>
    </row>
    <row r="2153" spans="1:10" ht="15.75" customHeight="1">
      <c r="A2153" t="s">
        <v>383</v>
      </c>
      <c r="B2153">
        <v>27.93</v>
      </c>
      <c r="C2153">
        <v>9.8800000000000008</v>
      </c>
      <c r="D2153" s="6" t="s">
        <v>4684</v>
      </c>
      <c r="E2153" t="s">
        <v>4685</v>
      </c>
      <c r="F2153" t="s">
        <v>4685</v>
      </c>
      <c r="G2153" t="s">
        <v>4685</v>
      </c>
      <c r="H2153" s="2">
        <v>0</v>
      </c>
      <c r="I2153" t="s">
        <v>4685</v>
      </c>
      <c r="J2153" t="str">
        <f t="shared" si="9"/>
        <v>normalweight</v>
      </c>
    </row>
    <row r="2154" spans="1:10" ht="15.75" customHeight="1">
      <c r="A2154" t="s">
        <v>381</v>
      </c>
      <c r="B2154">
        <v>22</v>
      </c>
      <c r="C2154">
        <v>9.5</v>
      </c>
      <c r="D2154" s="6" t="s">
        <v>4684</v>
      </c>
      <c r="E2154" t="s">
        <v>4685</v>
      </c>
      <c r="F2154" t="s">
        <v>4685</v>
      </c>
      <c r="G2154" t="s">
        <v>4685</v>
      </c>
      <c r="H2154" s="2">
        <v>0</v>
      </c>
      <c r="I2154" t="s">
        <v>4685</v>
      </c>
      <c r="J2154" t="str">
        <f t="shared" si="9"/>
        <v>normalweight</v>
      </c>
    </row>
    <row r="2155" spans="1:10" ht="15.75" customHeight="1">
      <c r="A2155" t="s">
        <v>379</v>
      </c>
      <c r="B2155">
        <v>36.86</v>
      </c>
      <c r="C2155">
        <v>4.97</v>
      </c>
      <c r="D2155" s="11" t="s">
        <v>4732</v>
      </c>
      <c r="E2155" t="s">
        <v>4686</v>
      </c>
      <c r="F2155" t="s">
        <v>4685</v>
      </c>
      <c r="G2155" t="s">
        <v>4685</v>
      </c>
      <c r="H2155" s="2">
        <v>0</v>
      </c>
      <c r="I2155" t="s">
        <v>4685</v>
      </c>
      <c r="J2155" t="str">
        <f t="shared" si="9"/>
        <v>normalweight</v>
      </c>
    </row>
    <row r="2156" spans="1:10" ht="15.75" customHeight="1">
      <c r="A2156" t="s">
        <v>377</v>
      </c>
      <c r="B2156">
        <v>31.254999999999999</v>
      </c>
      <c r="C2156">
        <v>5.49</v>
      </c>
      <c r="D2156" s="11" t="s">
        <v>4732</v>
      </c>
      <c r="E2156" t="s">
        <v>4686</v>
      </c>
      <c r="F2156" t="s">
        <v>4685</v>
      </c>
      <c r="G2156" t="s">
        <v>4685</v>
      </c>
      <c r="H2156" s="2">
        <v>0</v>
      </c>
      <c r="I2156" t="s">
        <v>4685</v>
      </c>
      <c r="J2156" t="str">
        <f t="shared" si="9"/>
        <v>normalweight</v>
      </c>
    </row>
    <row r="2157" spans="1:10" ht="15.75" customHeight="1">
      <c r="A2157" t="s">
        <v>375</v>
      </c>
      <c r="B2157">
        <v>23.06</v>
      </c>
      <c r="C2157">
        <v>4.47</v>
      </c>
      <c r="D2157" s="11" t="s">
        <v>4732</v>
      </c>
      <c r="E2157" t="s">
        <v>4685</v>
      </c>
      <c r="F2157" t="s">
        <v>4685</v>
      </c>
      <c r="G2157" t="s">
        <v>4685</v>
      </c>
      <c r="H2157" s="2">
        <v>0</v>
      </c>
      <c r="I2157" t="s">
        <v>4685</v>
      </c>
      <c r="J2157" t="str">
        <f t="shared" si="9"/>
        <v>normalweight</v>
      </c>
    </row>
    <row r="2158" spans="1:10" ht="15.75" customHeight="1">
      <c r="A2158" t="s">
        <v>373</v>
      </c>
      <c r="B2158">
        <v>28.975000000000001</v>
      </c>
      <c r="C2158">
        <v>4.34</v>
      </c>
      <c r="D2158" s="11" t="s">
        <v>4732</v>
      </c>
      <c r="E2158" t="s">
        <v>4686</v>
      </c>
      <c r="F2158" t="s">
        <v>4685</v>
      </c>
      <c r="G2158" t="s">
        <v>4685</v>
      </c>
      <c r="H2158" s="2">
        <v>0</v>
      </c>
      <c r="I2158" t="s">
        <v>4685</v>
      </c>
      <c r="J2158" t="str">
        <f t="shared" si="9"/>
        <v>normalweight</v>
      </c>
    </row>
    <row r="2159" spans="1:10" ht="15.75" customHeight="1">
      <c r="A2159" t="s">
        <v>371</v>
      </c>
      <c r="B2159">
        <v>33.299999999999997</v>
      </c>
      <c r="C2159">
        <v>9.49</v>
      </c>
      <c r="D2159" s="6" t="s">
        <v>4684</v>
      </c>
      <c r="E2159" t="s">
        <v>4685</v>
      </c>
      <c r="F2159" t="s">
        <v>4685</v>
      </c>
      <c r="G2159" t="s">
        <v>4685</v>
      </c>
      <c r="H2159" s="2">
        <v>0</v>
      </c>
      <c r="I2159" t="s">
        <v>4685</v>
      </c>
      <c r="J2159" t="str">
        <f t="shared" si="9"/>
        <v>normalweight</v>
      </c>
    </row>
    <row r="2160" spans="1:10" ht="15.75" customHeight="1">
      <c r="A2160" t="s">
        <v>4435</v>
      </c>
      <c r="B2160">
        <v>33</v>
      </c>
      <c r="C2160">
        <v>10.16</v>
      </c>
      <c r="D2160" s="6" t="s">
        <v>4684</v>
      </c>
      <c r="E2160" t="s">
        <v>4685</v>
      </c>
      <c r="F2160" t="s">
        <v>4685</v>
      </c>
      <c r="G2160" t="s">
        <v>4685</v>
      </c>
      <c r="H2160" s="2">
        <v>0</v>
      </c>
      <c r="I2160" t="s">
        <v>4685</v>
      </c>
      <c r="J2160" t="str">
        <f t="shared" si="9"/>
        <v>normalweight</v>
      </c>
    </row>
    <row r="2161" spans="1:10" ht="15.75" customHeight="1">
      <c r="A2161" t="s">
        <v>369</v>
      </c>
      <c r="B2161">
        <v>31.46</v>
      </c>
      <c r="C2161">
        <v>11.19</v>
      </c>
      <c r="D2161" s="6" t="s">
        <v>4684</v>
      </c>
      <c r="E2161" t="s">
        <v>4685</v>
      </c>
      <c r="F2161" t="s">
        <v>4685</v>
      </c>
      <c r="G2161" t="s">
        <v>4685</v>
      </c>
      <c r="H2161" s="2">
        <v>0</v>
      </c>
      <c r="I2161" t="s">
        <v>4685</v>
      </c>
      <c r="J2161" t="str">
        <f t="shared" si="9"/>
        <v>normalweight</v>
      </c>
    </row>
    <row r="2162" spans="1:10" ht="15.75" customHeight="1">
      <c r="A2162" t="s">
        <v>367</v>
      </c>
      <c r="B2162">
        <v>29.6</v>
      </c>
      <c r="C2162">
        <v>11.03</v>
      </c>
      <c r="D2162" s="6" t="s">
        <v>4684</v>
      </c>
      <c r="E2162" t="s">
        <v>4685</v>
      </c>
      <c r="F2162" t="s">
        <v>4685</v>
      </c>
      <c r="G2162" t="s">
        <v>4685</v>
      </c>
      <c r="H2162" s="2">
        <v>0</v>
      </c>
      <c r="I2162" t="s">
        <v>4685</v>
      </c>
      <c r="J2162" t="str">
        <f t="shared" si="9"/>
        <v>normalweight</v>
      </c>
    </row>
    <row r="2163" spans="1:10" ht="15.75" customHeight="1">
      <c r="A2163" t="s">
        <v>365</v>
      </c>
      <c r="B2163">
        <v>22.05</v>
      </c>
      <c r="C2163">
        <v>4.43</v>
      </c>
      <c r="D2163" s="11" t="s">
        <v>4732</v>
      </c>
      <c r="E2163" t="s">
        <v>4686</v>
      </c>
      <c r="F2163" t="s">
        <v>4685</v>
      </c>
      <c r="G2163" t="s">
        <v>4685</v>
      </c>
      <c r="H2163" s="2">
        <v>0</v>
      </c>
      <c r="I2163" t="s">
        <v>4685</v>
      </c>
      <c r="J2163" t="str">
        <f t="shared" si="9"/>
        <v>normalweight</v>
      </c>
    </row>
    <row r="2164" spans="1:10" ht="15.75" customHeight="1">
      <c r="A2164" t="s">
        <v>363</v>
      </c>
      <c r="B2164">
        <v>27.06</v>
      </c>
      <c r="C2164">
        <v>6.14</v>
      </c>
      <c r="D2164" s="13" t="s">
        <v>4733</v>
      </c>
      <c r="E2164" t="s">
        <v>4685</v>
      </c>
      <c r="F2164" t="s">
        <v>4686</v>
      </c>
      <c r="G2164" t="s">
        <v>4685</v>
      </c>
      <c r="H2164" s="2">
        <v>1</v>
      </c>
      <c r="I2164" t="s">
        <v>4685</v>
      </c>
      <c r="J2164" t="str">
        <f t="shared" si="9"/>
        <v>normalweight</v>
      </c>
    </row>
    <row r="2165" spans="1:10" ht="15.75" customHeight="1">
      <c r="A2165" t="s">
        <v>361</v>
      </c>
      <c r="B2165">
        <v>20.49</v>
      </c>
      <c r="C2165">
        <v>4.87</v>
      </c>
      <c r="D2165" s="11" t="s">
        <v>4732</v>
      </c>
      <c r="E2165" t="s">
        <v>4685</v>
      </c>
      <c r="F2165" t="s">
        <v>4685</v>
      </c>
      <c r="G2165" t="s">
        <v>4685</v>
      </c>
      <c r="H2165" s="2">
        <v>0</v>
      </c>
      <c r="I2165" t="s">
        <v>4685</v>
      </c>
      <c r="J2165" t="str">
        <f t="shared" si="9"/>
        <v>normalweight</v>
      </c>
    </row>
    <row r="2166" spans="1:10" ht="15.75" customHeight="1">
      <c r="A2166" t="s">
        <v>359</v>
      </c>
      <c r="B2166">
        <v>28.4</v>
      </c>
      <c r="C2166">
        <v>4.3</v>
      </c>
      <c r="D2166" s="11" t="s">
        <v>4732</v>
      </c>
      <c r="E2166" t="s">
        <v>4685</v>
      </c>
      <c r="F2166" t="s">
        <v>4685</v>
      </c>
      <c r="G2166" t="s">
        <v>4688</v>
      </c>
      <c r="H2166" s="2">
        <v>1</v>
      </c>
      <c r="I2166" t="s">
        <v>4685</v>
      </c>
      <c r="J2166" t="str">
        <f t="shared" si="9"/>
        <v>normalweight</v>
      </c>
    </row>
    <row r="2167" spans="1:10" ht="15.75" customHeight="1">
      <c r="A2167" t="s">
        <v>357</v>
      </c>
      <c r="B2167">
        <v>41.91</v>
      </c>
      <c r="C2167">
        <v>6.19</v>
      </c>
      <c r="D2167" s="12" t="s">
        <v>4733</v>
      </c>
      <c r="E2167" t="s">
        <v>4685</v>
      </c>
      <c r="F2167" t="s">
        <v>4685</v>
      </c>
      <c r="G2167" t="s">
        <v>4685</v>
      </c>
      <c r="H2167" s="2">
        <v>0</v>
      </c>
      <c r="I2167" t="s">
        <v>4685</v>
      </c>
      <c r="J2167" t="str">
        <f t="shared" si="9"/>
        <v>normalweight</v>
      </c>
    </row>
    <row r="2168" spans="1:10" ht="15.75" customHeight="1">
      <c r="A2168" t="s">
        <v>355</v>
      </c>
      <c r="B2168">
        <v>24.6</v>
      </c>
      <c r="C2168">
        <v>6.19</v>
      </c>
      <c r="D2168" s="12" t="s">
        <v>4733</v>
      </c>
      <c r="E2168" t="s">
        <v>4685</v>
      </c>
      <c r="F2168" t="s">
        <v>4685</v>
      </c>
      <c r="G2168" t="s">
        <v>4688</v>
      </c>
      <c r="H2168" s="2">
        <v>1</v>
      </c>
      <c r="I2168" t="s">
        <v>4685</v>
      </c>
      <c r="J2168" t="str">
        <f t="shared" si="9"/>
        <v>normalweight</v>
      </c>
    </row>
    <row r="2169" spans="1:10" ht="15.75" customHeight="1">
      <c r="A2169" t="s">
        <v>353</v>
      </c>
      <c r="B2169">
        <v>20.9</v>
      </c>
      <c r="C2169">
        <v>5.12</v>
      </c>
      <c r="D2169" s="11" t="s">
        <v>4732</v>
      </c>
      <c r="E2169" t="s">
        <v>4685</v>
      </c>
      <c r="F2169" t="s">
        <v>4685</v>
      </c>
      <c r="G2169" t="s">
        <v>4688</v>
      </c>
      <c r="H2169" s="2">
        <v>1</v>
      </c>
      <c r="I2169" t="s">
        <v>4685</v>
      </c>
      <c r="J2169" t="str">
        <f t="shared" si="9"/>
        <v>normalweight</v>
      </c>
    </row>
    <row r="2170" spans="1:10" ht="15.75" customHeight="1">
      <c r="A2170" t="s">
        <v>351</v>
      </c>
      <c r="B2170">
        <v>34.4</v>
      </c>
      <c r="C2170">
        <v>4.04</v>
      </c>
      <c r="D2170" s="11" t="s">
        <v>4732</v>
      </c>
      <c r="E2170" t="s">
        <v>4685</v>
      </c>
      <c r="F2170" t="s">
        <v>4685</v>
      </c>
      <c r="G2170" t="s">
        <v>4685</v>
      </c>
      <c r="H2170" s="2">
        <v>0</v>
      </c>
      <c r="I2170" t="s">
        <v>4685</v>
      </c>
      <c r="J2170" t="str">
        <f t="shared" si="9"/>
        <v>normalweight</v>
      </c>
    </row>
    <row r="2171" spans="1:10" ht="15.75" customHeight="1">
      <c r="A2171" t="s">
        <v>349</v>
      </c>
      <c r="B2171">
        <v>32.56</v>
      </c>
      <c r="C2171">
        <v>5.36</v>
      </c>
      <c r="D2171" s="11" t="s">
        <v>4732</v>
      </c>
      <c r="E2171" t="s">
        <v>4685</v>
      </c>
      <c r="F2171" t="s">
        <v>4685</v>
      </c>
      <c r="G2171" t="s">
        <v>4685</v>
      </c>
      <c r="H2171" s="2">
        <v>0</v>
      </c>
      <c r="I2171" t="s">
        <v>4685</v>
      </c>
      <c r="J2171" t="str">
        <f t="shared" si="9"/>
        <v>normalweight</v>
      </c>
    </row>
    <row r="2172" spans="1:10" ht="15.75" customHeight="1">
      <c r="A2172" t="s">
        <v>347</v>
      </c>
      <c r="B2172">
        <v>27.98</v>
      </c>
      <c r="C2172">
        <v>4.38</v>
      </c>
      <c r="D2172" s="11" t="s">
        <v>4732</v>
      </c>
      <c r="E2172" t="s">
        <v>4685</v>
      </c>
      <c r="F2172" t="s">
        <v>4686</v>
      </c>
      <c r="G2172" t="s">
        <v>4685</v>
      </c>
      <c r="H2172" s="2">
        <v>1</v>
      </c>
      <c r="I2172" t="s">
        <v>4685</v>
      </c>
      <c r="J2172" t="str">
        <f t="shared" si="9"/>
        <v>normalweight</v>
      </c>
    </row>
    <row r="2173" spans="1:10" ht="15.75" customHeight="1">
      <c r="A2173" t="s">
        <v>345</v>
      </c>
      <c r="B2173">
        <v>26.51</v>
      </c>
      <c r="C2173">
        <v>4.58</v>
      </c>
      <c r="D2173" s="11" t="s">
        <v>4732</v>
      </c>
      <c r="E2173" t="s">
        <v>4685</v>
      </c>
      <c r="F2173" t="s">
        <v>4685</v>
      </c>
      <c r="G2173" t="s">
        <v>4685</v>
      </c>
      <c r="H2173" s="2">
        <v>0</v>
      </c>
      <c r="I2173" t="s">
        <v>4685</v>
      </c>
      <c r="J2173" t="str">
        <f t="shared" si="9"/>
        <v>normalweight</v>
      </c>
    </row>
    <row r="2174" spans="1:10" ht="15.75" customHeight="1">
      <c r="A2174" t="s">
        <v>343</v>
      </c>
      <c r="B2174">
        <v>29.734999999999999</v>
      </c>
      <c r="C2174">
        <v>11.92</v>
      </c>
      <c r="D2174" s="6" t="s">
        <v>4684</v>
      </c>
      <c r="E2174" t="s">
        <v>4685</v>
      </c>
      <c r="F2174" t="s">
        <v>4685</v>
      </c>
      <c r="G2174" t="s">
        <v>4685</v>
      </c>
      <c r="H2174" s="2">
        <v>0</v>
      </c>
      <c r="I2174" t="s">
        <v>4685</v>
      </c>
      <c r="J2174" t="str">
        <f t="shared" si="9"/>
        <v>normalweight</v>
      </c>
    </row>
    <row r="2175" spans="1:10" ht="15.75" customHeight="1">
      <c r="A2175" t="s">
        <v>341</v>
      </c>
      <c r="B2175">
        <v>40.5</v>
      </c>
      <c r="C2175">
        <v>5.4</v>
      </c>
      <c r="D2175" s="11" t="s">
        <v>4732</v>
      </c>
      <c r="E2175" t="s">
        <v>4685</v>
      </c>
      <c r="F2175" t="s">
        <v>4685</v>
      </c>
      <c r="G2175" t="s">
        <v>4688</v>
      </c>
      <c r="H2175" s="2">
        <v>1</v>
      </c>
      <c r="I2175" t="s">
        <v>4685</v>
      </c>
      <c r="J2175" t="str">
        <f t="shared" si="9"/>
        <v>normalweight</v>
      </c>
    </row>
    <row r="2176" spans="1:10" ht="15.75" customHeight="1">
      <c r="A2176" t="s">
        <v>339</v>
      </c>
      <c r="B2176">
        <v>25.64</v>
      </c>
      <c r="C2176">
        <v>4.76</v>
      </c>
      <c r="D2176" s="11" t="s">
        <v>4732</v>
      </c>
      <c r="E2176" t="s">
        <v>4685</v>
      </c>
      <c r="F2176" t="s">
        <v>4685</v>
      </c>
      <c r="G2176" t="s">
        <v>4685</v>
      </c>
      <c r="H2176" s="2">
        <v>1</v>
      </c>
      <c r="I2176" t="s">
        <v>4685</v>
      </c>
      <c r="J2176" t="str">
        <f t="shared" si="9"/>
        <v>normalweight</v>
      </c>
    </row>
    <row r="2177" spans="1:10" ht="15.75" customHeight="1">
      <c r="A2177" t="s">
        <v>337</v>
      </c>
      <c r="B2177">
        <v>32.9</v>
      </c>
      <c r="C2177">
        <v>4.78</v>
      </c>
      <c r="D2177" s="11" t="s">
        <v>4732</v>
      </c>
      <c r="E2177" t="s">
        <v>4685</v>
      </c>
      <c r="F2177" t="s">
        <v>4685</v>
      </c>
      <c r="G2177" t="s">
        <v>4688</v>
      </c>
      <c r="H2177" s="2">
        <v>1</v>
      </c>
      <c r="I2177" t="s">
        <v>4685</v>
      </c>
      <c r="J2177" t="str">
        <f t="shared" si="9"/>
        <v>normalweight</v>
      </c>
    </row>
    <row r="2178" spans="1:10" ht="15.75" customHeight="1">
      <c r="A2178" t="s">
        <v>335</v>
      </c>
      <c r="B2178">
        <v>29.8</v>
      </c>
      <c r="C2178">
        <v>4.26</v>
      </c>
      <c r="D2178" s="11" t="s">
        <v>4732</v>
      </c>
      <c r="E2178" t="s">
        <v>4685</v>
      </c>
      <c r="F2178" t="s">
        <v>4685</v>
      </c>
      <c r="G2178" t="s">
        <v>4688</v>
      </c>
      <c r="H2178" s="2">
        <v>1</v>
      </c>
      <c r="I2178" t="s">
        <v>4685</v>
      </c>
      <c r="J2178" t="str">
        <f t="shared" si="9"/>
        <v>normalweight</v>
      </c>
    </row>
    <row r="2179" spans="1:10" ht="15.75" customHeight="1">
      <c r="A2179" t="s">
        <v>333</v>
      </c>
      <c r="B2179">
        <v>28.9</v>
      </c>
      <c r="C2179">
        <v>5.85</v>
      </c>
      <c r="D2179" s="12" t="s">
        <v>4733</v>
      </c>
      <c r="E2179" t="s">
        <v>4685</v>
      </c>
      <c r="F2179" t="s">
        <v>4685</v>
      </c>
      <c r="G2179" t="s">
        <v>4688</v>
      </c>
      <c r="H2179" s="2">
        <v>1</v>
      </c>
      <c r="I2179" t="s">
        <v>4685</v>
      </c>
      <c r="J2179" t="str">
        <f t="shared" si="9"/>
        <v>normalweight</v>
      </c>
    </row>
    <row r="2180" spans="1:10" ht="15.75" customHeight="1">
      <c r="A2180" t="s">
        <v>331</v>
      </c>
      <c r="B2180">
        <v>24.7</v>
      </c>
      <c r="C2180">
        <v>5.32</v>
      </c>
      <c r="D2180" s="11" t="s">
        <v>4732</v>
      </c>
      <c r="E2180" t="s">
        <v>4685</v>
      </c>
      <c r="F2180" t="s">
        <v>4685</v>
      </c>
      <c r="G2180" t="s">
        <v>4688</v>
      </c>
      <c r="H2180" s="2">
        <v>1</v>
      </c>
      <c r="I2180" t="s">
        <v>4685</v>
      </c>
      <c r="J2180" t="str">
        <f t="shared" si="9"/>
        <v>normalweight</v>
      </c>
    </row>
    <row r="2181" spans="1:10" ht="15.75" customHeight="1">
      <c r="A2181" t="s">
        <v>329</v>
      </c>
      <c r="B2181">
        <v>20.6</v>
      </c>
      <c r="C2181">
        <v>5.14</v>
      </c>
      <c r="D2181" s="11" t="s">
        <v>4732</v>
      </c>
      <c r="E2181" t="s">
        <v>4685</v>
      </c>
      <c r="F2181" t="s">
        <v>4685</v>
      </c>
      <c r="G2181" t="s">
        <v>4688</v>
      </c>
      <c r="H2181" s="2">
        <v>1</v>
      </c>
      <c r="I2181" t="s">
        <v>4685</v>
      </c>
      <c r="J2181" t="str">
        <f t="shared" si="9"/>
        <v>normalweight</v>
      </c>
    </row>
    <row r="2182" spans="1:10" ht="15.75" customHeight="1">
      <c r="A2182" t="s">
        <v>327</v>
      </c>
      <c r="B2182">
        <v>18.600000000000001</v>
      </c>
      <c r="C2182">
        <v>5</v>
      </c>
      <c r="D2182" s="11" t="s">
        <v>4732</v>
      </c>
      <c r="E2182" t="s">
        <v>4685</v>
      </c>
      <c r="F2182" t="s">
        <v>4685</v>
      </c>
      <c r="G2182" t="s">
        <v>4688</v>
      </c>
      <c r="H2182" s="2">
        <v>1</v>
      </c>
      <c r="I2182" t="s">
        <v>4685</v>
      </c>
      <c r="J2182" t="str">
        <f t="shared" si="9"/>
        <v>normalweight</v>
      </c>
    </row>
    <row r="2183" spans="1:10" ht="15.75" customHeight="1">
      <c r="A2183" t="s">
        <v>325</v>
      </c>
      <c r="B2183">
        <v>17.8</v>
      </c>
      <c r="C2183">
        <v>4.55</v>
      </c>
      <c r="D2183" s="11" t="s">
        <v>4732</v>
      </c>
      <c r="E2183" t="s">
        <v>4685</v>
      </c>
      <c r="F2183" t="s">
        <v>4685</v>
      </c>
      <c r="G2183" t="s">
        <v>4688</v>
      </c>
      <c r="H2183" s="2">
        <v>1</v>
      </c>
      <c r="I2183" t="s">
        <v>4685</v>
      </c>
      <c r="J2183" t="str">
        <f t="shared" si="9"/>
        <v>underweight</v>
      </c>
    </row>
    <row r="2184" spans="1:10" ht="15.75" customHeight="1">
      <c r="A2184" t="s">
        <v>323</v>
      </c>
      <c r="B2184">
        <v>35.200000000000003</v>
      </c>
      <c r="C2184">
        <v>5.97</v>
      </c>
      <c r="D2184" s="11" t="s">
        <v>4733</v>
      </c>
      <c r="E2184" t="s">
        <v>4685</v>
      </c>
      <c r="F2184" t="s">
        <v>4686</v>
      </c>
      <c r="G2184" t="s">
        <v>4685</v>
      </c>
      <c r="H2184" s="2">
        <v>1</v>
      </c>
      <c r="I2184" t="s">
        <v>4685</v>
      </c>
      <c r="J2184" t="str">
        <f t="shared" si="9"/>
        <v>normalweight</v>
      </c>
    </row>
    <row r="2185" spans="1:10" ht="15.75" customHeight="1">
      <c r="A2185" t="s">
        <v>321</v>
      </c>
      <c r="B2185">
        <v>33.770000000000003</v>
      </c>
      <c r="C2185">
        <v>4.0199999999999996</v>
      </c>
      <c r="D2185" s="11" t="s">
        <v>4732</v>
      </c>
      <c r="E2185" t="s">
        <v>4685</v>
      </c>
      <c r="F2185" t="s">
        <v>4686</v>
      </c>
      <c r="G2185" t="s">
        <v>4685</v>
      </c>
      <c r="H2185" s="2">
        <v>1</v>
      </c>
      <c r="I2185" t="s">
        <v>4685</v>
      </c>
      <c r="J2185" t="str">
        <f t="shared" si="9"/>
        <v>normalweight</v>
      </c>
    </row>
    <row r="2186" spans="1:10" ht="15.75" customHeight="1">
      <c r="A2186" t="s">
        <v>319</v>
      </c>
      <c r="B2186">
        <v>30.03</v>
      </c>
      <c r="C2186">
        <v>4.04</v>
      </c>
      <c r="D2186" s="11" t="s">
        <v>4732</v>
      </c>
      <c r="E2186" t="s">
        <v>4685</v>
      </c>
      <c r="F2186" t="s">
        <v>4686</v>
      </c>
      <c r="G2186" t="s">
        <v>4685</v>
      </c>
      <c r="H2186" s="2">
        <v>1</v>
      </c>
      <c r="I2186" t="s">
        <v>4685</v>
      </c>
      <c r="J2186" t="str">
        <f t="shared" si="9"/>
        <v>normalweight</v>
      </c>
    </row>
    <row r="2187" spans="1:10" ht="15.75" customHeight="1">
      <c r="A2187" t="s">
        <v>317</v>
      </c>
      <c r="B2187">
        <v>29.37</v>
      </c>
      <c r="C2187">
        <v>5.54</v>
      </c>
      <c r="D2187" s="11" t="s">
        <v>4732</v>
      </c>
      <c r="E2187" t="s">
        <v>4685</v>
      </c>
      <c r="F2187" t="s">
        <v>4686</v>
      </c>
      <c r="G2187" t="s">
        <v>4685</v>
      </c>
      <c r="H2187" s="2">
        <v>1</v>
      </c>
      <c r="I2187" t="s">
        <v>4685</v>
      </c>
      <c r="J2187" t="str">
        <f t="shared" si="9"/>
        <v>normalweight</v>
      </c>
    </row>
    <row r="2188" spans="1:10" ht="15.75" customHeight="1">
      <c r="A2188" t="s">
        <v>315</v>
      </c>
      <c r="B2188">
        <v>28.5</v>
      </c>
      <c r="C2188">
        <v>4.03</v>
      </c>
      <c r="D2188" s="11" t="s">
        <v>4732</v>
      </c>
      <c r="E2188" t="s">
        <v>4685</v>
      </c>
      <c r="F2188" t="s">
        <v>4686</v>
      </c>
      <c r="G2188" t="s">
        <v>4685</v>
      </c>
      <c r="H2188" s="2">
        <v>1</v>
      </c>
      <c r="I2188" t="s">
        <v>4685</v>
      </c>
      <c r="J2188" t="str">
        <f t="shared" si="9"/>
        <v>normalweight</v>
      </c>
    </row>
    <row r="2189" spans="1:10" ht="15.75" customHeight="1">
      <c r="A2189" t="s">
        <v>313</v>
      </c>
      <c r="B2189">
        <v>23.32</v>
      </c>
      <c r="C2189">
        <v>5.62</v>
      </c>
      <c r="D2189" s="11" t="s">
        <v>4733</v>
      </c>
      <c r="E2189" t="s">
        <v>4685</v>
      </c>
      <c r="F2189" t="s">
        <v>4686</v>
      </c>
      <c r="G2189" t="s">
        <v>4685</v>
      </c>
      <c r="H2189" s="2">
        <v>1</v>
      </c>
      <c r="I2189" t="s">
        <v>4685</v>
      </c>
      <c r="J2189" t="str">
        <f t="shared" si="9"/>
        <v>normalweight</v>
      </c>
    </row>
    <row r="2190" spans="1:10" ht="15.75" customHeight="1">
      <c r="A2190" t="s">
        <v>311</v>
      </c>
      <c r="B2190">
        <v>26.125</v>
      </c>
      <c r="C2190">
        <v>5.27</v>
      </c>
      <c r="D2190" s="11" t="s">
        <v>4732</v>
      </c>
      <c r="E2190" t="s">
        <v>4685</v>
      </c>
      <c r="F2190" t="s">
        <v>4686</v>
      </c>
      <c r="G2190" t="s">
        <v>4685</v>
      </c>
      <c r="H2190" s="2">
        <v>1</v>
      </c>
      <c r="I2190" t="s">
        <v>4685</v>
      </c>
      <c r="J2190" t="str">
        <f t="shared" si="9"/>
        <v>normalweight</v>
      </c>
    </row>
    <row r="2191" spans="1:10" ht="15.75" customHeight="1">
      <c r="A2191" t="s">
        <v>309</v>
      </c>
      <c r="B2191">
        <v>25.46</v>
      </c>
      <c r="C2191">
        <v>5.18</v>
      </c>
      <c r="D2191" s="11" t="s">
        <v>4732</v>
      </c>
      <c r="E2191" t="s">
        <v>4685</v>
      </c>
      <c r="F2191" t="s">
        <v>4686</v>
      </c>
      <c r="G2191" t="s">
        <v>4685</v>
      </c>
      <c r="H2191" s="2">
        <v>1</v>
      </c>
      <c r="I2191" t="s">
        <v>4685</v>
      </c>
      <c r="J2191" t="str">
        <f t="shared" si="9"/>
        <v>normalweight</v>
      </c>
    </row>
    <row r="2192" spans="1:10" ht="15.75" customHeight="1">
      <c r="A2192" t="s">
        <v>307</v>
      </c>
      <c r="B2192">
        <v>23.75</v>
      </c>
      <c r="C2192">
        <v>5.27</v>
      </c>
      <c r="D2192" s="11" t="s">
        <v>4732</v>
      </c>
      <c r="E2192" t="s">
        <v>4685</v>
      </c>
      <c r="F2192" t="s">
        <v>4686</v>
      </c>
      <c r="G2192" t="s">
        <v>4685</v>
      </c>
      <c r="H2192" s="2">
        <v>1</v>
      </c>
      <c r="I2192" t="s">
        <v>4685</v>
      </c>
      <c r="J2192" t="str">
        <f t="shared" si="9"/>
        <v>normalweight</v>
      </c>
    </row>
    <row r="2193" spans="1:10" ht="15.75" customHeight="1">
      <c r="A2193" t="s">
        <v>305</v>
      </c>
      <c r="B2193">
        <v>23.085000000000001</v>
      </c>
      <c r="C2193">
        <v>5.62</v>
      </c>
      <c r="D2193" s="11" t="s">
        <v>4733</v>
      </c>
      <c r="E2193" t="s">
        <v>4685</v>
      </c>
      <c r="F2193" t="s">
        <v>4686</v>
      </c>
      <c r="G2193" t="s">
        <v>4685</v>
      </c>
      <c r="H2193" s="2">
        <v>1</v>
      </c>
      <c r="I2193" t="s">
        <v>4685</v>
      </c>
      <c r="J2193" t="str">
        <f t="shared" si="9"/>
        <v>normalweight</v>
      </c>
    </row>
    <row r="2194" spans="1:10" ht="15.75" customHeight="1">
      <c r="A2194" t="s">
        <v>303</v>
      </c>
      <c r="B2194">
        <v>22.99</v>
      </c>
      <c r="C2194">
        <v>5.0599999999999996</v>
      </c>
      <c r="D2194" s="11" t="s">
        <v>4732</v>
      </c>
      <c r="E2194" t="s">
        <v>4685</v>
      </c>
      <c r="F2194" t="s">
        <v>4686</v>
      </c>
      <c r="G2194" t="s">
        <v>4685</v>
      </c>
      <c r="H2194" s="2">
        <v>1</v>
      </c>
      <c r="I2194" t="s">
        <v>4685</v>
      </c>
      <c r="J2194" t="str">
        <f t="shared" si="9"/>
        <v>normalweight</v>
      </c>
    </row>
    <row r="2195" spans="1:10" ht="15.75" customHeight="1">
      <c r="A2195" t="s">
        <v>301</v>
      </c>
      <c r="B2195">
        <v>21.47</v>
      </c>
      <c r="C2195">
        <v>4.6900000000000004</v>
      </c>
      <c r="D2195" s="11" t="s">
        <v>4732</v>
      </c>
      <c r="E2195" t="s">
        <v>4685</v>
      </c>
      <c r="F2195" t="s">
        <v>4686</v>
      </c>
      <c r="G2195" t="s">
        <v>4685</v>
      </c>
      <c r="H2195" s="2">
        <v>1</v>
      </c>
      <c r="I2195" t="s">
        <v>4685</v>
      </c>
      <c r="J2195" t="str">
        <f t="shared" si="9"/>
        <v>normalweight</v>
      </c>
    </row>
    <row r="2196" spans="1:10" ht="15.75" customHeight="1">
      <c r="A2196" t="s">
        <v>299</v>
      </c>
      <c r="B2196">
        <v>15.96</v>
      </c>
      <c r="C2196">
        <v>5.44</v>
      </c>
      <c r="D2196" s="11" t="s">
        <v>4732</v>
      </c>
      <c r="E2196" t="s">
        <v>4685</v>
      </c>
      <c r="F2196" t="s">
        <v>4686</v>
      </c>
      <c r="G2196" t="s">
        <v>4685</v>
      </c>
      <c r="H2196" s="2">
        <v>1</v>
      </c>
      <c r="I2196" t="s">
        <v>4685</v>
      </c>
      <c r="J2196" t="str">
        <f t="shared" si="9"/>
        <v>underweight</v>
      </c>
    </row>
    <row r="2197" spans="1:10" ht="15.75" customHeight="1">
      <c r="A2197" t="s">
        <v>297</v>
      </c>
      <c r="B2197">
        <v>39.5</v>
      </c>
      <c r="C2197">
        <v>5.05</v>
      </c>
      <c r="D2197" s="11" t="s">
        <v>4732</v>
      </c>
      <c r="E2197" t="s">
        <v>4685</v>
      </c>
      <c r="F2197" t="s">
        <v>4686</v>
      </c>
      <c r="G2197" t="s">
        <v>4685</v>
      </c>
      <c r="H2197" s="2">
        <v>1</v>
      </c>
      <c r="I2197" t="s">
        <v>4685</v>
      </c>
      <c r="J2197" t="str">
        <f t="shared" si="9"/>
        <v>normalweight</v>
      </c>
    </row>
    <row r="2198" spans="1:10" ht="15.75" customHeight="1">
      <c r="A2198" t="s">
        <v>295</v>
      </c>
      <c r="B2198">
        <v>33.770000000000003</v>
      </c>
      <c r="C2198">
        <v>6</v>
      </c>
      <c r="D2198" s="11" t="s">
        <v>4733</v>
      </c>
      <c r="E2198" t="s">
        <v>4685</v>
      </c>
      <c r="F2198" t="s">
        <v>4686</v>
      </c>
      <c r="G2198" t="s">
        <v>4685</v>
      </c>
      <c r="H2198" s="2">
        <v>1</v>
      </c>
      <c r="I2198" t="s">
        <v>4685</v>
      </c>
      <c r="J2198" t="str">
        <f t="shared" si="9"/>
        <v>normalweight</v>
      </c>
    </row>
    <row r="2199" spans="1:10" ht="15.75" customHeight="1">
      <c r="A2199" t="s">
        <v>293</v>
      </c>
      <c r="B2199">
        <v>26.84</v>
      </c>
      <c r="C2199">
        <v>5.99</v>
      </c>
      <c r="D2199" s="11" t="s">
        <v>4733</v>
      </c>
      <c r="E2199" t="s">
        <v>4686</v>
      </c>
      <c r="F2199" t="s">
        <v>4686</v>
      </c>
      <c r="G2199" t="s">
        <v>4685</v>
      </c>
      <c r="H2199" s="2">
        <v>1</v>
      </c>
      <c r="I2199" t="s">
        <v>4685</v>
      </c>
      <c r="J2199" t="str">
        <f t="shared" si="9"/>
        <v>normalweight</v>
      </c>
    </row>
    <row r="2200" spans="1:10" ht="15.75" customHeight="1">
      <c r="A2200" t="s">
        <v>291</v>
      </c>
      <c r="B2200">
        <v>35.53</v>
      </c>
      <c r="C2200">
        <v>4.3600000000000003</v>
      </c>
      <c r="D2200" s="11" t="s">
        <v>4732</v>
      </c>
      <c r="E2200" t="s">
        <v>4685</v>
      </c>
      <c r="F2200" t="s">
        <v>4685</v>
      </c>
      <c r="G2200" t="s">
        <v>4688</v>
      </c>
      <c r="H2200" s="2">
        <v>1</v>
      </c>
      <c r="I2200" t="s">
        <v>4685</v>
      </c>
      <c r="J2200" t="str">
        <f t="shared" si="9"/>
        <v>normalweight</v>
      </c>
    </row>
    <row r="2201" spans="1:10" ht="15.75" customHeight="1">
      <c r="A2201" t="s">
        <v>289</v>
      </c>
      <c r="B2201">
        <v>30.59</v>
      </c>
      <c r="C2201">
        <v>4.41</v>
      </c>
      <c r="D2201" s="11" t="s">
        <v>4732</v>
      </c>
      <c r="E2201" t="s">
        <v>4685</v>
      </c>
      <c r="F2201" t="s">
        <v>4685</v>
      </c>
      <c r="G2201" t="s">
        <v>4688</v>
      </c>
      <c r="H2201" s="2">
        <v>1</v>
      </c>
      <c r="I2201" t="s">
        <v>4685</v>
      </c>
      <c r="J2201" t="str">
        <f t="shared" si="9"/>
        <v>normalweight</v>
      </c>
    </row>
    <row r="2202" spans="1:10" ht="15.75" customHeight="1">
      <c r="A2202" t="s">
        <v>287</v>
      </c>
      <c r="B2202">
        <v>30.59</v>
      </c>
      <c r="C2202">
        <v>4.17</v>
      </c>
      <c r="D2202" s="11" t="s">
        <v>4732</v>
      </c>
      <c r="E2202" t="s">
        <v>4685</v>
      </c>
      <c r="F2202" t="s">
        <v>4685</v>
      </c>
      <c r="G2202" t="s">
        <v>4688</v>
      </c>
      <c r="H2202" s="2">
        <v>1</v>
      </c>
      <c r="I2202" t="s">
        <v>4685</v>
      </c>
      <c r="J2202" t="str">
        <f t="shared" si="9"/>
        <v>normalweight</v>
      </c>
    </row>
    <row r="2203" spans="1:10" ht="15.75" customHeight="1">
      <c r="A2203" t="s">
        <v>285</v>
      </c>
      <c r="B2203">
        <v>27.835000000000001</v>
      </c>
      <c r="C2203">
        <v>4.4400000000000004</v>
      </c>
      <c r="D2203" s="11" t="s">
        <v>4732</v>
      </c>
      <c r="E2203" t="s">
        <v>4685</v>
      </c>
      <c r="F2203" t="s">
        <v>4685</v>
      </c>
      <c r="G2203" t="s">
        <v>4688</v>
      </c>
      <c r="H2203" s="2">
        <v>1</v>
      </c>
      <c r="I2203" t="s">
        <v>4685</v>
      </c>
      <c r="J2203" t="str">
        <f t="shared" si="9"/>
        <v>normalweight</v>
      </c>
    </row>
    <row r="2204" spans="1:10" ht="15.75" customHeight="1">
      <c r="A2204" t="s">
        <v>4435</v>
      </c>
      <c r="B2204">
        <v>40.26</v>
      </c>
      <c r="C2204">
        <v>5.52</v>
      </c>
      <c r="D2204" s="11" t="s">
        <v>4732</v>
      </c>
      <c r="E2204" t="s">
        <v>4685</v>
      </c>
      <c r="F2204" t="s">
        <v>4686</v>
      </c>
      <c r="G2204" t="s">
        <v>4685</v>
      </c>
      <c r="H2204" s="2">
        <v>1</v>
      </c>
      <c r="I2204" t="s">
        <v>4685</v>
      </c>
      <c r="J2204" t="str">
        <f t="shared" si="9"/>
        <v>normalweight</v>
      </c>
    </row>
    <row r="2205" spans="1:10" ht="15.75" customHeight="1">
      <c r="A2205" t="s">
        <v>283</v>
      </c>
      <c r="B2205">
        <v>39.82</v>
      </c>
      <c r="C2205">
        <v>6.01</v>
      </c>
      <c r="D2205" s="11" t="s">
        <v>4733</v>
      </c>
      <c r="E2205" t="s">
        <v>4685</v>
      </c>
      <c r="F2205" t="s">
        <v>4686</v>
      </c>
      <c r="G2205" t="s">
        <v>4685</v>
      </c>
      <c r="H2205" s="2">
        <v>1</v>
      </c>
      <c r="I2205" t="s">
        <v>4685</v>
      </c>
      <c r="J2205" t="str">
        <f t="shared" si="9"/>
        <v>normalweight</v>
      </c>
    </row>
    <row r="2206" spans="1:10" ht="15.75" customHeight="1">
      <c r="A2206" t="s">
        <v>281</v>
      </c>
      <c r="B2206">
        <v>39.159999999999997</v>
      </c>
      <c r="C2206">
        <v>5.81</v>
      </c>
      <c r="D2206" s="11" t="s">
        <v>4733</v>
      </c>
      <c r="E2206" t="s">
        <v>4685</v>
      </c>
      <c r="F2206" t="s">
        <v>4686</v>
      </c>
      <c r="G2206" t="s">
        <v>4685</v>
      </c>
      <c r="H2206" s="2">
        <v>1</v>
      </c>
      <c r="I2206" t="s">
        <v>4685</v>
      </c>
      <c r="J2206" t="str">
        <f t="shared" si="9"/>
        <v>normalweight</v>
      </c>
    </row>
    <row r="2207" spans="1:10" ht="15.75" customHeight="1">
      <c r="A2207" t="s">
        <v>279</v>
      </c>
      <c r="B2207">
        <v>25.555</v>
      </c>
      <c r="C2207">
        <v>4.37</v>
      </c>
      <c r="D2207" s="11" t="s">
        <v>4732</v>
      </c>
      <c r="E2207" t="s">
        <v>4685</v>
      </c>
      <c r="F2207" t="s">
        <v>4685</v>
      </c>
      <c r="G2207" t="s">
        <v>4688</v>
      </c>
      <c r="H2207" s="2">
        <v>1</v>
      </c>
      <c r="I2207" t="s">
        <v>4685</v>
      </c>
      <c r="J2207" t="str">
        <f t="shared" si="9"/>
        <v>normalweight</v>
      </c>
    </row>
    <row r="2208" spans="1:10" ht="15.75" customHeight="1">
      <c r="A2208" t="s">
        <v>277</v>
      </c>
      <c r="B2208">
        <v>25.175000000000001</v>
      </c>
      <c r="C2208">
        <v>5.74</v>
      </c>
      <c r="D2208" s="11" t="s">
        <v>4733</v>
      </c>
      <c r="E2208" t="s">
        <v>4685</v>
      </c>
      <c r="F2208" t="s">
        <v>4685</v>
      </c>
      <c r="G2208" t="s">
        <v>4688</v>
      </c>
      <c r="H2208" s="2">
        <v>1</v>
      </c>
      <c r="I2208" t="s">
        <v>4685</v>
      </c>
      <c r="J2208" t="str">
        <f t="shared" si="9"/>
        <v>normalweight</v>
      </c>
    </row>
    <row r="2209" spans="1:10" ht="15.75" customHeight="1">
      <c r="A2209" t="s">
        <v>275</v>
      </c>
      <c r="B2209">
        <v>38.28</v>
      </c>
      <c r="C2209">
        <v>5.39</v>
      </c>
      <c r="D2209" s="11" t="s">
        <v>4732</v>
      </c>
      <c r="E2209" t="s">
        <v>4685</v>
      </c>
      <c r="F2209" t="s">
        <v>4686</v>
      </c>
      <c r="G2209" t="s">
        <v>4685</v>
      </c>
      <c r="H2209" s="2">
        <v>1</v>
      </c>
      <c r="I2209" t="s">
        <v>4685</v>
      </c>
      <c r="J2209" t="str">
        <f t="shared" si="9"/>
        <v>normalweight</v>
      </c>
    </row>
    <row r="2210" spans="1:10" ht="15.75" customHeight="1">
      <c r="A2210" t="s">
        <v>273</v>
      </c>
      <c r="B2210">
        <v>38.17</v>
      </c>
      <c r="C2210">
        <v>4.07</v>
      </c>
      <c r="D2210" s="11" t="s">
        <v>4732</v>
      </c>
      <c r="E2210" t="s">
        <v>4685</v>
      </c>
      <c r="F2210" t="s">
        <v>4686</v>
      </c>
      <c r="G2210" t="s">
        <v>4685</v>
      </c>
      <c r="H2210" s="2">
        <v>1</v>
      </c>
      <c r="I2210" t="s">
        <v>4685</v>
      </c>
      <c r="J2210" t="str">
        <f t="shared" si="9"/>
        <v>normalweight</v>
      </c>
    </row>
    <row r="2211" spans="1:10" ht="15.75" customHeight="1">
      <c r="A2211" t="s">
        <v>271</v>
      </c>
      <c r="B2211">
        <v>36.85</v>
      </c>
      <c r="C2211">
        <v>5.49</v>
      </c>
      <c r="D2211" s="11" t="s">
        <v>4732</v>
      </c>
      <c r="E2211" t="s">
        <v>4685</v>
      </c>
      <c r="F2211" t="s">
        <v>4686</v>
      </c>
      <c r="G2211" t="s">
        <v>4685</v>
      </c>
      <c r="H2211" s="2">
        <v>1</v>
      </c>
      <c r="I2211" t="s">
        <v>4685</v>
      </c>
      <c r="J2211" t="str">
        <f t="shared" si="9"/>
        <v>normalweight</v>
      </c>
    </row>
    <row r="2212" spans="1:10" ht="15.75" customHeight="1">
      <c r="A2212" t="s">
        <v>269</v>
      </c>
      <c r="B2212">
        <v>22.61</v>
      </c>
      <c r="C2212">
        <v>5.68</v>
      </c>
      <c r="D2212" s="11" t="s">
        <v>4733</v>
      </c>
      <c r="E2212" t="s">
        <v>4685</v>
      </c>
      <c r="F2212" t="s">
        <v>4685</v>
      </c>
      <c r="G2212" t="s">
        <v>4688</v>
      </c>
      <c r="H2212" s="2">
        <v>1</v>
      </c>
      <c r="I2212" t="s">
        <v>4685</v>
      </c>
      <c r="J2212" t="str">
        <f t="shared" si="9"/>
        <v>normalweight</v>
      </c>
    </row>
    <row r="2213" spans="1:10" ht="15.75" customHeight="1">
      <c r="A2213" t="s">
        <v>267</v>
      </c>
      <c r="B2213">
        <v>21.754999999999999</v>
      </c>
      <c r="C2213">
        <v>6.09</v>
      </c>
      <c r="D2213" s="11" t="s">
        <v>4733</v>
      </c>
      <c r="E2213" t="s">
        <v>4685</v>
      </c>
      <c r="F2213" t="s">
        <v>4685</v>
      </c>
      <c r="G2213" t="s">
        <v>4688</v>
      </c>
      <c r="H2213" s="2">
        <v>1</v>
      </c>
      <c r="I2213" t="s">
        <v>4685</v>
      </c>
      <c r="J2213" t="str">
        <f t="shared" si="9"/>
        <v>normalweight</v>
      </c>
    </row>
    <row r="2214" spans="1:10" ht="15.75" customHeight="1">
      <c r="A2214" t="s">
        <v>265</v>
      </c>
      <c r="B2214">
        <v>20.425000000000001</v>
      </c>
      <c r="C2214">
        <v>5.53</v>
      </c>
      <c r="D2214" s="11" t="s">
        <v>4733</v>
      </c>
      <c r="E2214" t="s">
        <v>4685</v>
      </c>
      <c r="F2214" t="s">
        <v>4685</v>
      </c>
      <c r="G2214" t="s">
        <v>4688</v>
      </c>
      <c r="H2214" s="2">
        <v>1</v>
      </c>
      <c r="I2214" t="s">
        <v>4685</v>
      </c>
      <c r="J2214" t="str">
        <f t="shared" si="9"/>
        <v>normalweight</v>
      </c>
    </row>
    <row r="2215" spans="1:10" ht="15.75" customHeight="1">
      <c r="A2215" t="s">
        <v>263</v>
      </c>
      <c r="B2215">
        <v>31.35</v>
      </c>
      <c r="C2215">
        <v>4.28</v>
      </c>
      <c r="D2215" s="11" t="s">
        <v>4732</v>
      </c>
      <c r="E2215" t="s">
        <v>4685</v>
      </c>
      <c r="F2215" t="s">
        <v>4686</v>
      </c>
      <c r="G2215" t="s">
        <v>4685</v>
      </c>
      <c r="H2215" s="2">
        <v>1</v>
      </c>
      <c r="I2215" t="s">
        <v>4685</v>
      </c>
      <c r="J2215" t="str">
        <f t="shared" si="9"/>
        <v>normalweight</v>
      </c>
    </row>
    <row r="2216" spans="1:10" ht="15.75" customHeight="1">
      <c r="A2216" t="s">
        <v>261</v>
      </c>
      <c r="B2216">
        <v>31.13</v>
      </c>
      <c r="C2216">
        <v>6.01</v>
      </c>
      <c r="D2216" t="s">
        <v>4733</v>
      </c>
      <c r="E2216" t="s">
        <v>4685</v>
      </c>
      <c r="F2216" t="s">
        <v>4686</v>
      </c>
      <c r="G2216" t="s">
        <v>4685</v>
      </c>
      <c r="H2216" s="2">
        <v>1</v>
      </c>
      <c r="I2216" t="s">
        <v>4685</v>
      </c>
      <c r="J2216" t="str">
        <f t="shared" si="9"/>
        <v>normalweight</v>
      </c>
    </row>
    <row r="2217" spans="1:10" ht="15.75" customHeight="1">
      <c r="A2217" t="s">
        <v>259</v>
      </c>
      <c r="B2217">
        <v>17.48</v>
      </c>
      <c r="C2217">
        <v>4.59</v>
      </c>
      <c r="D2217" s="11" t="s">
        <v>4732</v>
      </c>
      <c r="E2217" t="s">
        <v>4685</v>
      </c>
      <c r="F2217" t="s">
        <v>4685</v>
      </c>
      <c r="G2217" t="s">
        <v>4688</v>
      </c>
      <c r="H2217" s="2">
        <v>1</v>
      </c>
      <c r="I2217" t="s">
        <v>4685</v>
      </c>
      <c r="J2217" t="str">
        <f t="shared" si="9"/>
        <v>underweight</v>
      </c>
    </row>
    <row r="2218" spans="1:10" ht="15.75" customHeight="1">
      <c r="A2218" t="s">
        <v>257</v>
      </c>
      <c r="B2218">
        <v>22.57</v>
      </c>
      <c r="C2218">
        <v>5.8</v>
      </c>
      <c r="D2218" t="s">
        <v>4733</v>
      </c>
      <c r="E2218" t="s">
        <v>4686</v>
      </c>
      <c r="F2218" t="s">
        <v>4685</v>
      </c>
      <c r="G2218" t="s">
        <v>4685</v>
      </c>
      <c r="H2218" s="2">
        <v>1</v>
      </c>
      <c r="I2218" t="s">
        <v>4685</v>
      </c>
      <c r="J2218" t="str">
        <f t="shared" si="9"/>
        <v>normalweight</v>
      </c>
    </row>
    <row r="2219" spans="1:10" ht="15.75" customHeight="1">
      <c r="A2219" t="s">
        <v>255</v>
      </c>
      <c r="B2219">
        <v>26.73</v>
      </c>
      <c r="C2219">
        <v>5.08</v>
      </c>
      <c r="D2219" s="11" t="s">
        <v>4732</v>
      </c>
      <c r="E2219" t="s">
        <v>4685</v>
      </c>
      <c r="F2219" t="s">
        <v>4686</v>
      </c>
      <c r="G2219" t="s">
        <v>4685</v>
      </c>
      <c r="H2219" s="2">
        <v>1</v>
      </c>
      <c r="I2219" t="s">
        <v>4685</v>
      </c>
      <c r="J2219" t="str">
        <f t="shared" si="9"/>
        <v>normalweight</v>
      </c>
    </row>
    <row r="2220" spans="1:10" ht="15.75" customHeight="1">
      <c r="A2220" t="s">
        <v>253</v>
      </c>
      <c r="B2220">
        <v>20.79</v>
      </c>
      <c r="C2220">
        <v>5.84</v>
      </c>
      <c r="D2220" t="s">
        <v>4733</v>
      </c>
      <c r="E2220" t="s">
        <v>4685</v>
      </c>
      <c r="F2220" t="s">
        <v>4686</v>
      </c>
      <c r="G2220" t="s">
        <v>4685</v>
      </c>
      <c r="H2220" s="2">
        <v>1</v>
      </c>
      <c r="I2220" t="s">
        <v>4685</v>
      </c>
      <c r="J2220" t="str">
        <f t="shared" si="9"/>
        <v>normalweight</v>
      </c>
    </row>
    <row r="2221" spans="1:10" ht="15.75" customHeight="1">
      <c r="A2221" t="s">
        <v>251</v>
      </c>
      <c r="B2221">
        <v>20.149999999999999</v>
      </c>
      <c r="C2221">
        <v>4.1500000000000004</v>
      </c>
      <c r="D2221" s="11" t="s">
        <v>4732</v>
      </c>
      <c r="E2221" t="s">
        <v>4685</v>
      </c>
      <c r="F2221" t="s">
        <v>4685</v>
      </c>
      <c r="G2221" t="s">
        <v>4685</v>
      </c>
      <c r="H2221" s="2">
        <v>1</v>
      </c>
      <c r="I2221" t="s">
        <v>4685</v>
      </c>
      <c r="J2221" t="str">
        <f t="shared" si="9"/>
        <v>normalweight</v>
      </c>
    </row>
    <row r="2222" spans="1:10" ht="15.75" customHeight="1">
      <c r="A2222" t="s">
        <v>249</v>
      </c>
      <c r="B2222">
        <v>36.85</v>
      </c>
      <c r="C2222">
        <v>4.3600000000000003</v>
      </c>
      <c r="D2222" s="11" t="s">
        <v>4732</v>
      </c>
      <c r="E2222" t="s">
        <v>4686</v>
      </c>
      <c r="F2222" t="s">
        <v>4685</v>
      </c>
      <c r="G2222" t="s">
        <v>4685</v>
      </c>
      <c r="H2222" s="2">
        <v>0</v>
      </c>
      <c r="I2222" t="s">
        <v>4685</v>
      </c>
      <c r="J2222" t="str">
        <f t="shared" si="9"/>
        <v>normalweight</v>
      </c>
    </row>
    <row r="2223" spans="1:10" ht="15.75" customHeight="1">
      <c r="A2223" t="s">
        <v>247</v>
      </c>
      <c r="B2223">
        <v>35.53</v>
      </c>
      <c r="C2223">
        <v>4.55</v>
      </c>
      <c r="D2223" s="11" t="s">
        <v>4732</v>
      </c>
      <c r="E2223" t="s">
        <v>4686</v>
      </c>
      <c r="F2223" t="s">
        <v>4685</v>
      </c>
      <c r="G2223" t="s">
        <v>4685</v>
      </c>
      <c r="H2223" s="2">
        <v>0</v>
      </c>
      <c r="I2223" t="s">
        <v>4685</v>
      </c>
      <c r="J2223" t="str">
        <f t="shared" si="9"/>
        <v>normalweight</v>
      </c>
    </row>
    <row r="2224" spans="1:10" ht="15.75" customHeight="1">
      <c r="A2224" t="s">
        <v>245</v>
      </c>
      <c r="B2224">
        <v>31.1</v>
      </c>
      <c r="C2224">
        <v>4.37</v>
      </c>
      <c r="D2224" s="11" t="s">
        <v>4732</v>
      </c>
      <c r="E2224" t="s">
        <v>4686</v>
      </c>
      <c r="F2224" t="s">
        <v>4685</v>
      </c>
      <c r="G2224" t="s">
        <v>4685</v>
      </c>
      <c r="H2224" s="2">
        <v>0</v>
      </c>
      <c r="I2224" t="s">
        <v>4685</v>
      </c>
      <c r="J2224" t="str">
        <f t="shared" si="9"/>
        <v>normalweight</v>
      </c>
    </row>
    <row r="2225" spans="1:10" ht="15.75" customHeight="1">
      <c r="A2225" t="s">
        <v>243</v>
      </c>
      <c r="B2225">
        <v>23.21</v>
      </c>
      <c r="C2225">
        <v>5.24</v>
      </c>
      <c r="D2225" s="11" t="s">
        <v>4732</v>
      </c>
      <c r="E2225" t="s">
        <v>4686</v>
      </c>
      <c r="F2225" t="s">
        <v>4685</v>
      </c>
      <c r="G2225" t="s">
        <v>4685</v>
      </c>
      <c r="H2225" s="2">
        <v>0</v>
      </c>
      <c r="I2225" t="s">
        <v>4685</v>
      </c>
      <c r="J2225" t="str">
        <f t="shared" si="9"/>
        <v>normalweight</v>
      </c>
    </row>
    <row r="2226" spans="1:10" ht="15.75" customHeight="1">
      <c r="A2226" t="s">
        <v>241</v>
      </c>
      <c r="B2226">
        <v>18.36</v>
      </c>
      <c r="C2226">
        <v>5.96</v>
      </c>
      <c r="D2226" s="10" t="s">
        <v>4733</v>
      </c>
      <c r="E2226" t="s">
        <v>4685</v>
      </c>
      <c r="F2226" t="s">
        <v>4685</v>
      </c>
      <c r="G2226" t="s">
        <v>4685</v>
      </c>
      <c r="H2226" s="2">
        <v>1</v>
      </c>
      <c r="I2226" t="s">
        <v>4685</v>
      </c>
      <c r="J2226" t="str">
        <f t="shared" si="9"/>
        <v>underweight</v>
      </c>
    </row>
    <row r="2227" spans="1:10" ht="15.75" customHeight="1">
      <c r="A2227" t="s">
        <v>239</v>
      </c>
      <c r="B2227">
        <v>15.92</v>
      </c>
      <c r="C2227">
        <v>4.76</v>
      </c>
      <c r="D2227" s="11" t="s">
        <v>4732</v>
      </c>
      <c r="E2227" t="s">
        <v>4686</v>
      </c>
      <c r="F2227" t="s">
        <v>4685</v>
      </c>
      <c r="G2227" t="s">
        <v>4685</v>
      </c>
      <c r="H2227" s="2">
        <v>1</v>
      </c>
      <c r="I2227" t="s">
        <v>4685</v>
      </c>
      <c r="J2227" t="str">
        <f t="shared" si="9"/>
        <v>underweight</v>
      </c>
    </row>
    <row r="2228" spans="1:10" ht="15.75" customHeight="1">
      <c r="A2228" t="s">
        <v>237</v>
      </c>
      <c r="B2228">
        <v>15.17</v>
      </c>
      <c r="C2228">
        <v>4.3</v>
      </c>
      <c r="D2228" s="11" t="s">
        <v>4732</v>
      </c>
      <c r="E2228" t="s">
        <v>4686</v>
      </c>
      <c r="F2228" t="s">
        <v>4685</v>
      </c>
      <c r="G2228" t="s">
        <v>4688</v>
      </c>
      <c r="H2228" s="2">
        <v>1</v>
      </c>
      <c r="I2228" t="s">
        <v>4685</v>
      </c>
      <c r="J2228" t="str">
        <f t="shared" si="9"/>
        <v>underweight</v>
      </c>
    </row>
    <row r="2229" spans="1:10" ht="15.75" customHeight="1">
      <c r="A2229" t="s">
        <v>235</v>
      </c>
      <c r="B2229">
        <v>16.63</v>
      </c>
      <c r="C2229">
        <v>4.5</v>
      </c>
      <c r="D2229" s="11" t="s">
        <v>4732</v>
      </c>
      <c r="E2229" t="s">
        <v>4685</v>
      </c>
      <c r="F2229" t="s">
        <v>4685</v>
      </c>
      <c r="G2229" t="s">
        <v>4685</v>
      </c>
      <c r="H2229" s="2">
        <v>1</v>
      </c>
      <c r="I2229" t="s">
        <v>4685</v>
      </c>
      <c r="J2229" t="str">
        <f t="shared" si="9"/>
        <v>underweight</v>
      </c>
    </row>
    <row r="2230" spans="1:10" ht="15.75" customHeight="1">
      <c r="A2230" t="s">
        <v>233</v>
      </c>
      <c r="B2230">
        <v>19.39</v>
      </c>
      <c r="C2230">
        <v>5.59</v>
      </c>
      <c r="D2230" s="10" t="s">
        <v>4733</v>
      </c>
      <c r="E2230" t="s">
        <v>4685</v>
      </c>
      <c r="F2230" t="s">
        <v>4685</v>
      </c>
      <c r="G2230" t="s">
        <v>4688</v>
      </c>
      <c r="H2230" s="2">
        <v>1</v>
      </c>
      <c r="I2230" t="s">
        <v>4685</v>
      </c>
      <c r="J2230" t="str">
        <f t="shared" si="9"/>
        <v>normalweight</v>
      </c>
    </row>
    <row r="2231" spans="1:10" ht="15.75" customHeight="1">
      <c r="A2231" t="s">
        <v>231</v>
      </c>
      <c r="B2231">
        <v>17.34</v>
      </c>
      <c r="C2231">
        <v>6.29</v>
      </c>
      <c r="D2231" s="10" t="s">
        <v>4733</v>
      </c>
      <c r="E2231" t="s">
        <v>4686</v>
      </c>
      <c r="F2231" t="s">
        <v>4685</v>
      </c>
      <c r="G2231" t="s">
        <v>4688</v>
      </c>
      <c r="H2231" s="2">
        <v>1</v>
      </c>
      <c r="I2231" t="s">
        <v>4685</v>
      </c>
      <c r="J2231" t="str">
        <f t="shared" si="9"/>
        <v>underweight</v>
      </c>
    </row>
    <row r="2232" spans="1:10" ht="15.75" customHeight="1">
      <c r="A2232" t="s">
        <v>229</v>
      </c>
      <c r="B2232">
        <v>17.940000000000001</v>
      </c>
      <c r="C2232">
        <v>4.1900000000000004</v>
      </c>
      <c r="D2232" s="11" t="s">
        <v>4732</v>
      </c>
      <c r="E2232" t="s">
        <v>4685</v>
      </c>
      <c r="F2232" t="s">
        <v>4686</v>
      </c>
      <c r="G2232" t="s">
        <v>4685</v>
      </c>
      <c r="H2232" s="2">
        <v>1</v>
      </c>
      <c r="I2232" t="s">
        <v>4685</v>
      </c>
      <c r="J2232" t="str">
        <f t="shared" si="9"/>
        <v>underweight</v>
      </c>
    </row>
    <row r="2233" spans="1:10" ht="15.75" customHeight="1">
      <c r="A2233" t="s">
        <v>227</v>
      </c>
      <c r="B2233">
        <v>16.670000000000002</v>
      </c>
      <c r="C2233">
        <v>4.7</v>
      </c>
      <c r="D2233" s="11" t="s">
        <v>4732</v>
      </c>
      <c r="E2233" t="s">
        <v>4686</v>
      </c>
      <c r="F2233" t="s">
        <v>4685</v>
      </c>
      <c r="G2233" t="s">
        <v>4688</v>
      </c>
      <c r="H2233" s="2">
        <v>1</v>
      </c>
      <c r="I2233" t="s">
        <v>4685</v>
      </c>
      <c r="J2233" t="str">
        <f t="shared" si="9"/>
        <v>underweight</v>
      </c>
    </row>
    <row r="2234" spans="1:10" ht="15.75" customHeight="1">
      <c r="A2234" t="s">
        <v>225</v>
      </c>
      <c r="B2234">
        <v>20.58</v>
      </c>
      <c r="C2234">
        <v>5.64</v>
      </c>
      <c r="D2234" s="10" t="s">
        <v>4733</v>
      </c>
      <c r="E2234" t="s">
        <v>4686</v>
      </c>
      <c r="F2234" t="s">
        <v>4685</v>
      </c>
      <c r="G2234" t="s">
        <v>4685</v>
      </c>
      <c r="H2234" s="2">
        <v>0</v>
      </c>
      <c r="I2234" t="s">
        <v>4685</v>
      </c>
      <c r="J2234" t="str">
        <f t="shared" si="9"/>
        <v>normalweight</v>
      </c>
    </row>
    <row r="2235" spans="1:10" ht="15.75" customHeight="1">
      <c r="A2235" t="s">
        <v>223</v>
      </c>
      <c r="B2235">
        <v>16.5</v>
      </c>
      <c r="C2235">
        <v>4.1100000000000003</v>
      </c>
      <c r="D2235" s="11" t="s">
        <v>4732</v>
      </c>
      <c r="E2235" t="s">
        <v>4686</v>
      </c>
      <c r="F2235" t="s">
        <v>4685</v>
      </c>
      <c r="G2235" t="s">
        <v>4685</v>
      </c>
      <c r="H2235" s="2">
        <v>0</v>
      </c>
      <c r="I2235" t="s">
        <v>4685</v>
      </c>
      <c r="J2235" t="str">
        <f t="shared" si="9"/>
        <v>underweight</v>
      </c>
    </row>
    <row r="2236" spans="1:10" ht="15.75" customHeight="1">
      <c r="A2236" t="s">
        <v>221</v>
      </c>
      <c r="B2236">
        <v>15.41</v>
      </c>
      <c r="C2236">
        <v>5.43</v>
      </c>
      <c r="D2236" s="11" t="s">
        <v>4732</v>
      </c>
      <c r="E2236" s="11" t="s">
        <v>4734</v>
      </c>
      <c r="F2236" t="s">
        <v>4685</v>
      </c>
      <c r="G2236" t="s">
        <v>4688</v>
      </c>
      <c r="H2236" s="2">
        <v>1</v>
      </c>
      <c r="I2236" t="s">
        <v>4685</v>
      </c>
      <c r="J2236" t="str">
        <f t="shared" si="9"/>
        <v>underweight</v>
      </c>
    </row>
    <row r="2237" spans="1:10" ht="15.75" customHeight="1">
      <c r="A2237" t="s">
        <v>219</v>
      </c>
      <c r="B2237">
        <v>24.59</v>
      </c>
      <c r="C2237">
        <v>4.38</v>
      </c>
      <c r="D2237" s="11" t="s">
        <v>4732</v>
      </c>
      <c r="E2237" t="s">
        <v>4685</v>
      </c>
      <c r="F2237" t="s">
        <v>4685</v>
      </c>
      <c r="G2237" t="s">
        <v>4685</v>
      </c>
      <c r="H2237" s="2">
        <v>1</v>
      </c>
      <c r="I2237" t="s">
        <v>4685</v>
      </c>
      <c r="J2237" t="str">
        <f t="shared" si="9"/>
        <v>normalweight</v>
      </c>
    </row>
    <row r="2238" spans="1:10" ht="15.75" customHeight="1">
      <c r="A2238" t="s">
        <v>217</v>
      </c>
      <c r="B2238">
        <v>33.33</v>
      </c>
      <c r="C2238">
        <v>9.7899999999999991</v>
      </c>
      <c r="D2238" s="6" t="s">
        <v>4684</v>
      </c>
      <c r="E2238" t="s">
        <v>4685</v>
      </c>
      <c r="F2238" t="s">
        <v>4685</v>
      </c>
      <c r="G2238" t="s">
        <v>4685</v>
      </c>
      <c r="H2238" s="2">
        <v>0</v>
      </c>
      <c r="I2238" t="s">
        <v>4685</v>
      </c>
      <c r="J2238" t="str">
        <f t="shared" si="9"/>
        <v>normalweight</v>
      </c>
    </row>
    <row r="2239" spans="1:10" ht="15.75" customHeight="1">
      <c r="A2239" t="s">
        <v>215</v>
      </c>
      <c r="B2239">
        <v>18.5</v>
      </c>
      <c r="C2239">
        <v>11.84</v>
      </c>
      <c r="D2239" s="6" t="s">
        <v>4684</v>
      </c>
      <c r="E2239" t="s">
        <v>4685</v>
      </c>
      <c r="F2239" t="s">
        <v>4685</v>
      </c>
      <c r="G2239" t="s">
        <v>4685</v>
      </c>
      <c r="H2239" s="2">
        <v>0</v>
      </c>
      <c r="I2239" t="s">
        <v>4685</v>
      </c>
      <c r="J2239" t="str">
        <f t="shared" si="9"/>
        <v>underweight</v>
      </c>
    </row>
    <row r="2240" spans="1:10" ht="15.75" customHeight="1">
      <c r="A2240" t="s">
        <v>213</v>
      </c>
      <c r="B2240">
        <v>18.579999999999998</v>
      </c>
      <c r="C2240">
        <v>6.22</v>
      </c>
      <c r="D2240" s="10" t="s">
        <v>4733</v>
      </c>
      <c r="E2240" t="s">
        <v>4685</v>
      </c>
      <c r="F2240" t="s">
        <v>4685</v>
      </c>
      <c r="G2240" t="s">
        <v>4685</v>
      </c>
      <c r="H2240" s="2">
        <v>0</v>
      </c>
      <c r="I2240" t="s">
        <v>4685</v>
      </c>
      <c r="J2240" t="str">
        <f t="shared" si="9"/>
        <v>normalweight</v>
      </c>
    </row>
    <row r="2241" spans="1:10" ht="15.75" customHeight="1">
      <c r="A2241" t="s">
        <v>211</v>
      </c>
      <c r="B2241">
        <v>16.64</v>
      </c>
      <c r="C2241">
        <v>10.01</v>
      </c>
      <c r="D2241" s="6" t="s">
        <v>4684</v>
      </c>
      <c r="E2241" t="s">
        <v>4685</v>
      </c>
      <c r="F2241" t="s">
        <v>4685</v>
      </c>
      <c r="G2241" t="s">
        <v>4685</v>
      </c>
      <c r="H2241" s="2">
        <v>0</v>
      </c>
      <c r="I2241" t="s">
        <v>4685</v>
      </c>
      <c r="J2241" t="str">
        <f t="shared" si="9"/>
        <v>underweight</v>
      </c>
    </row>
    <row r="2242" spans="1:10" ht="15.75" customHeight="1">
      <c r="A2242" t="s">
        <v>209</v>
      </c>
      <c r="B2242">
        <v>19.329999999999998</v>
      </c>
      <c r="C2242">
        <v>4.32</v>
      </c>
      <c r="D2242" s="11" t="s">
        <v>4732</v>
      </c>
      <c r="E2242" t="s">
        <v>4685</v>
      </c>
      <c r="F2242" t="s">
        <v>4685</v>
      </c>
      <c r="G2242" t="s">
        <v>4685</v>
      </c>
      <c r="H2242" s="2">
        <v>1</v>
      </c>
      <c r="I2242" t="s">
        <v>4685</v>
      </c>
      <c r="J2242" t="str">
        <f t="shared" si="9"/>
        <v>normalweight</v>
      </c>
    </row>
    <row r="2243" spans="1:10" ht="15.75" customHeight="1">
      <c r="A2243" t="s">
        <v>207</v>
      </c>
      <c r="B2243">
        <v>21.26</v>
      </c>
      <c r="C2243">
        <v>5.65</v>
      </c>
      <c r="D2243" s="10" t="s">
        <v>4733</v>
      </c>
      <c r="E2243" t="s">
        <v>4686</v>
      </c>
      <c r="F2243" t="s">
        <v>4685</v>
      </c>
      <c r="G2243" t="s">
        <v>4688</v>
      </c>
      <c r="H2243" s="2">
        <v>1</v>
      </c>
      <c r="I2243" t="s">
        <v>4685</v>
      </c>
      <c r="J2243" t="str">
        <f t="shared" si="9"/>
        <v>normalweight</v>
      </c>
    </row>
    <row r="2244" spans="1:10" ht="15.75" customHeight="1">
      <c r="A2244" t="s">
        <v>205</v>
      </c>
      <c r="B2244">
        <v>15.6</v>
      </c>
      <c r="C2244">
        <v>4.12</v>
      </c>
      <c r="D2244" s="11" t="s">
        <v>4732</v>
      </c>
      <c r="E2244" t="s">
        <v>4686</v>
      </c>
      <c r="F2244" t="s">
        <v>4685</v>
      </c>
      <c r="G2244" t="s">
        <v>4685</v>
      </c>
      <c r="H2244" s="2">
        <v>1</v>
      </c>
      <c r="I2244" t="s">
        <v>4685</v>
      </c>
      <c r="J2244" t="str">
        <f t="shared" si="9"/>
        <v>underweight</v>
      </c>
    </row>
    <row r="2245" spans="1:10" ht="15.75" customHeight="1">
      <c r="A2245" t="s">
        <v>203</v>
      </c>
      <c r="B2245">
        <v>24.39</v>
      </c>
      <c r="C2245">
        <v>6.24</v>
      </c>
      <c r="D2245" s="10" t="s">
        <v>4733</v>
      </c>
      <c r="E2245" t="s">
        <v>4685</v>
      </c>
      <c r="F2245" t="s">
        <v>4685</v>
      </c>
      <c r="G2245" t="s">
        <v>4685</v>
      </c>
      <c r="H2245" s="2">
        <v>1</v>
      </c>
      <c r="I2245" t="s">
        <v>4685</v>
      </c>
      <c r="J2245" t="str">
        <f t="shared" si="9"/>
        <v>normalweight</v>
      </c>
    </row>
    <row r="2246" spans="1:10" ht="15.75" customHeight="1">
      <c r="A2246" t="s">
        <v>201</v>
      </c>
      <c r="B2246">
        <v>24.75</v>
      </c>
      <c r="C2246">
        <v>4.83</v>
      </c>
      <c r="D2246" s="11" t="s">
        <v>4732</v>
      </c>
      <c r="E2246" t="s">
        <v>4685</v>
      </c>
      <c r="F2246" t="s">
        <v>4685</v>
      </c>
      <c r="G2246" t="s">
        <v>4685</v>
      </c>
      <c r="H2246" s="2">
        <v>0</v>
      </c>
      <c r="I2246" t="s">
        <v>4685</v>
      </c>
      <c r="J2246" t="str">
        <f t="shared" si="9"/>
        <v>normalweight</v>
      </c>
    </row>
    <row r="2247" spans="1:10" ht="15.75" customHeight="1">
      <c r="A2247" t="s">
        <v>199</v>
      </c>
      <c r="B2247">
        <v>20.88</v>
      </c>
      <c r="C2247">
        <v>7.4</v>
      </c>
      <c r="D2247" s="6" t="s">
        <v>4684</v>
      </c>
      <c r="E2247" t="s">
        <v>4685</v>
      </c>
      <c r="F2247" t="s">
        <v>4685</v>
      </c>
      <c r="G2247" t="s">
        <v>4685</v>
      </c>
      <c r="H2247" s="2">
        <v>0</v>
      </c>
      <c r="I2247" t="s">
        <v>4685</v>
      </c>
      <c r="J2247" t="str">
        <f t="shared" si="9"/>
        <v>normalweight</v>
      </c>
    </row>
    <row r="2248" spans="1:10" ht="15.75" customHeight="1">
      <c r="A2248" t="s">
        <v>197</v>
      </c>
      <c r="B2248">
        <v>20.43</v>
      </c>
      <c r="C2248">
        <v>4.54</v>
      </c>
      <c r="D2248" s="11" t="s">
        <v>4732</v>
      </c>
      <c r="E2248" t="s">
        <v>4685</v>
      </c>
      <c r="F2248" t="s">
        <v>4685</v>
      </c>
      <c r="G2248" t="s">
        <v>4685</v>
      </c>
      <c r="H2248" s="2">
        <v>0</v>
      </c>
      <c r="I2248" t="s">
        <v>4685</v>
      </c>
      <c r="J2248" t="str">
        <f t="shared" si="9"/>
        <v>normalweight</v>
      </c>
    </row>
    <row r="2249" spans="1:10" ht="15.75" customHeight="1">
      <c r="A2249" t="s">
        <v>195</v>
      </c>
      <c r="B2249">
        <v>15.18</v>
      </c>
      <c r="C2249">
        <v>11.11</v>
      </c>
      <c r="D2249" s="6" t="s">
        <v>4684</v>
      </c>
      <c r="E2249" t="s">
        <v>4685</v>
      </c>
      <c r="F2249" t="s">
        <v>4685</v>
      </c>
      <c r="G2249" t="s">
        <v>4685</v>
      </c>
      <c r="H2249" s="2">
        <v>0</v>
      </c>
      <c r="I2249" t="s">
        <v>4685</v>
      </c>
      <c r="J2249" t="str">
        <f t="shared" si="9"/>
        <v>underweight</v>
      </c>
    </row>
    <row r="2250" spans="1:10" ht="15.75" customHeight="1">
      <c r="A2250" t="s">
        <v>193</v>
      </c>
      <c r="B2250">
        <v>15.12</v>
      </c>
      <c r="C2250">
        <v>4.03</v>
      </c>
      <c r="D2250" s="11" t="s">
        <v>4732</v>
      </c>
      <c r="E2250" t="s">
        <v>4686</v>
      </c>
      <c r="F2250" t="s">
        <v>4685</v>
      </c>
      <c r="G2250" t="s">
        <v>4685</v>
      </c>
      <c r="H2250" s="2">
        <v>0</v>
      </c>
      <c r="I2250" t="s">
        <v>4685</v>
      </c>
      <c r="J2250" t="str">
        <f t="shared" si="9"/>
        <v>underweight</v>
      </c>
    </row>
    <row r="2251" spans="1:10" ht="15.75" customHeight="1">
      <c r="A2251" t="s">
        <v>191</v>
      </c>
      <c r="B2251">
        <v>23.88</v>
      </c>
      <c r="C2251">
        <v>4.51</v>
      </c>
      <c r="D2251" s="11" t="s">
        <v>4732</v>
      </c>
      <c r="E2251" t="s">
        <v>4685</v>
      </c>
      <c r="F2251" t="s">
        <v>4685</v>
      </c>
      <c r="G2251" t="s">
        <v>4685</v>
      </c>
      <c r="H2251" s="2">
        <v>1</v>
      </c>
      <c r="I2251" t="s">
        <v>4685</v>
      </c>
      <c r="J2251" t="str">
        <f t="shared" si="9"/>
        <v>normalweight</v>
      </c>
    </row>
    <row r="2252" spans="1:10" ht="15.75" customHeight="1">
      <c r="A2252" t="s">
        <v>189</v>
      </c>
      <c r="B2252">
        <v>16.13</v>
      </c>
      <c r="C2252">
        <v>5.56</v>
      </c>
      <c r="D2252" s="11" t="s">
        <v>4732</v>
      </c>
      <c r="E2252" t="s">
        <v>4685</v>
      </c>
      <c r="F2252" t="s">
        <v>4686</v>
      </c>
      <c r="G2252" t="s">
        <v>4685</v>
      </c>
      <c r="H2252" s="2">
        <v>1</v>
      </c>
      <c r="I2252" t="s">
        <v>4685</v>
      </c>
      <c r="J2252" t="str">
        <f t="shared" si="9"/>
        <v>underweight</v>
      </c>
    </row>
    <row r="2253" spans="1:10" ht="15.75" customHeight="1">
      <c r="A2253" t="s">
        <v>187</v>
      </c>
      <c r="B2253">
        <v>24.09</v>
      </c>
      <c r="C2253">
        <v>4.0999999999999996</v>
      </c>
      <c r="D2253" s="11" t="s">
        <v>4732</v>
      </c>
      <c r="E2253" t="s">
        <v>4685</v>
      </c>
      <c r="F2253" t="s">
        <v>4686</v>
      </c>
      <c r="G2253" t="s">
        <v>4685</v>
      </c>
      <c r="H2253" s="2">
        <v>1</v>
      </c>
      <c r="I2253" t="s">
        <v>4685</v>
      </c>
      <c r="J2253" t="str">
        <f t="shared" si="9"/>
        <v>normalweight</v>
      </c>
    </row>
    <row r="2254" spans="1:10" ht="15.75" customHeight="1">
      <c r="A2254" t="s">
        <v>185</v>
      </c>
      <c r="B2254">
        <v>19.43</v>
      </c>
      <c r="C2254">
        <v>5.85</v>
      </c>
      <c r="D2254" s="10" t="s">
        <v>4733</v>
      </c>
      <c r="E2254" t="s">
        <v>4685</v>
      </c>
      <c r="F2254" t="s">
        <v>4686</v>
      </c>
      <c r="G2254" t="s">
        <v>4685</v>
      </c>
      <c r="H2254" s="2">
        <v>1</v>
      </c>
      <c r="I2254" t="s">
        <v>4685</v>
      </c>
      <c r="J2254" t="str">
        <f t="shared" si="9"/>
        <v>normalweight</v>
      </c>
    </row>
    <row r="2255" spans="1:10" ht="15.75" customHeight="1">
      <c r="A2255" t="s">
        <v>183</v>
      </c>
      <c r="B2255">
        <v>15.22</v>
      </c>
      <c r="C2255">
        <v>4.92</v>
      </c>
      <c r="D2255" s="11" t="s">
        <v>4732</v>
      </c>
      <c r="E2255" t="s">
        <v>4686</v>
      </c>
      <c r="F2255" t="s">
        <v>4685</v>
      </c>
      <c r="G2255" t="s">
        <v>4688</v>
      </c>
      <c r="H2255" s="2">
        <v>1</v>
      </c>
      <c r="I2255" t="s">
        <v>4685</v>
      </c>
      <c r="J2255" t="str">
        <f t="shared" si="9"/>
        <v>underweight</v>
      </c>
    </row>
    <row r="2256" spans="1:10" ht="15.75" customHeight="1">
      <c r="A2256" t="s">
        <v>181</v>
      </c>
      <c r="B2256">
        <v>20.72</v>
      </c>
      <c r="C2256">
        <v>9.4600000000000009</v>
      </c>
      <c r="D2256" s="6" t="s">
        <v>4684</v>
      </c>
      <c r="E2256" t="s">
        <v>4685</v>
      </c>
      <c r="F2256" t="s">
        <v>4685</v>
      </c>
      <c r="G2256" t="s">
        <v>4685</v>
      </c>
      <c r="H2256" s="2">
        <v>0</v>
      </c>
      <c r="I2256" t="s">
        <v>4685</v>
      </c>
      <c r="J2256" t="str">
        <f t="shared" si="9"/>
        <v>normalweight</v>
      </c>
    </row>
    <row r="2257" spans="1:10" ht="15.75" customHeight="1">
      <c r="A2257" t="s">
        <v>179</v>
      </c>
      <c r="B2257">
        <v>35.4</v>
      </c>
      <c r="C2257">
        <v>5.94</v>
      </c>
      <c r="D2257" s="10" t="s">
        <v>4733</v>
      </c>
      <c r="E2257" t="s">
        <v>4685</v>
      </c>
      <c r="F2257" t="s">
        <v>4685</v>
      </c>
      <c r="G2257" t="s">
        <v>4688</v>
      </c>
      <c r="H2257" s="2">
        <v>1</v>
      </c>
      <c r="I2257" t="s">
        <v>4685</v>
      </c>
      <c r="J2257" t="str">
        <f t="shared" si="9"/>
        <v>normalweight</v>
      </c>
    </row>
    <row r="2258" spans="1:10" ht="15.75" customHeight="1">
      <c r="A2258" t="s">
        <v>177</v>
      </c>
      <c r="B2258">
        <v>34.4</v>
      </c>
      <c r="C2258">
        <v>5.7</v>
      </c>
      <c r="D2258" s="10" t="s">
        <v>4733</v>
      </c>
      <c r="E2258" t="s">
        <v>4685</v>
      </c>
      <c r="F2258" t="s">
        <v>4685</v>
      </c>
      <c r="G2258" t="s">
        <v>4688</v>
      </c>
      <c r="H2258" s="2">
        <v>1</v>
      </c>
      <c r="I2258" t="s">
        <v>4685</v>
      </c>
      <c r="J2258" t="str">
        <f t="shared" si="9"/>
        <v>normalweight</v>
      </c>
    </row>
    <row r="2259" spans="1:10" ht="15.75" customHeight="1">
      <c r="A2259" t="s">
        <v>175</v>
      </c>
      <c r="B2259">
        <v>34.1</v>
      </c>
      <c r="C2259">
        <v>4.13</v>
      </c>
      <c r="D2259" s="11" t="s">
        <v>4732</v>
      </c>
      <c r="E2259" t="s">
        <v>4685</v>
      </c>
      <c r="F2259" t="s">
        <v>4685</v>
      </c>
      <c r="G2259" t="s">
        <v>4688</v>
      </c>
      <c r="H2259" s="2">
        <v>1</v>
      </c>
      <c r="I2259" t="s">
        <v>4685</v>
      </c>
      <c r="J2259" t="str">
        <f t="shared" si="9"/>
        <v>normalweight</v>
      </c>
    </row>
    <row r="2260" spans="1:10" ht="15.75" customHeight="1">
      <c r="A2260" t="s">
        <v>173</v>
      </c>
      <c r="B2260">
        <v>30.4</v>
      </c>
      <c r="C2260">
        <v>4.7699999999999996</v>
      </c>
      <c r="D2260" s="11" t="s">
        <v>4732</v>
      </c>
      <c r="E2260" t="s">
        <v>4685</v>
      </c>
      <c r="F2260" t="s">
        <v>4685</v>
      </c>
      <c r="G2260" t="s">
        <v>4688</v>
      </c>
      <c r="H2260" s="2">
        <v>1</v>
      </c>
      <c r="I2260" t="s">
        <v>4685</v>
      </c>
      <c r="J2260" t="str">
        <f t="shared" si="9"/>
        <v>normalweight</v>
      </c>
    </row>
    <row r="2261" spans="1:10" ht="15.75" customHeight="1">
      <c r="A2261" t="s">
        <v>171</v>
      </c>
      <c r="B2261">
        <v>28.7</v>
      </c>
      <c r="C2261">
        <v>4.99</v>
      </c>
      <c r="D2261" s="11" t="s">
        <v>4732</v>
      </c>
      <c r="E2261" t="s">
        <v>4685</v>
      </c>
      <c r="F2261" t="s">
        <v>4685</v>
      </c>
      <c r="G2261" t="s">
        <v>4688</v>
      </c>
      <c r="H2261" s="2">
        <v>1</v>
      </c>
      <c r="I2261" t="s">
        <v>4685</v>
      </c>
      <c r="J2261" t="str">
        <f t="shared" si="9"/>
        <v>normalweight</v>
      </c>
    </row>
    <row r="2262" spans="1:10" ht="15.75" customHeight="1">
      <c r="A2262" t="s">
        <v>169</v>
      </c>
      <c r="B2262">
        <v>17.440000000000001</v>
      </c>
      <c r="C2262">
        <v>4.42</v>
      </c>
      <c r="D2262" s="11" t="s">
        <v>4732</v>
      </c>
      <c r="E2262" t="s">
        <v>4686</v>
      </c>
      <c r="F2262" t="s">
        <v>4685</v>
      </c>
      <c r="G2262" t="s">
        <v>4688</v>
      </c>
      <c r="H2262" s="2">
        <v>1</v>
      </c>
      <c r="I2262" t="s">
        <v>4685</v>
      </c>
      <c r="J2262" t="str">
        <f t="shared" si="9"/>
        <v>underweight</v>
      </c>
    </row>
    <row r="2263" spans="1:10" ht="15.75" customHeight="1">
      <c r="A2263" t="s">
        <v>167</v>
      </c>
      <c r="B2263">
        <v>27.6</v>
      </c>
      <c r="C2263">
        <v>4.01</v>
      </c>
      <c r="D2263" s="11" t="s">
        <v>4732</v>
      </c>
      <c r="E2263" t="s">
        <v>4685</v>
      </c>
      <c r="F2263" t="s">
        <v>4685</v>
      </c>
      <c r="G2263" t="s">
        <v>4688</v>
      </c>
      <c r="H2263" s="2">
        <v>1</v>
      </c>
      <c r="I2263" t="s">
        <v>4685</v>
      </c>
      <c r="J2263" t="str">
        <f t="shared" si="9"/>
        <v>normalweight</v>
      </c>
    </row>
    <row r="2264" spans="1:10" ht="15.75" customHeight="1">
      <c r="A2264" t="s">
        <v>165</v>
      </c>
      <c r="B2264">
        <v>20.7</v>
      </c>
      <c r="C2264">
        <v>4.49</v>
      </c>
      <c r="D2264" s="11" t="s">
        <v>4732</v>
      </c>
      <c r="E2264" t="s">
        <v>4685</v>
      </c>
      <c r="F2264" t="s">
        <v>4685</v>
      </c>
      <c r="G2264" t="s">
        <v>4688</v>
      </c>
      <c r="H2264" s="2">
        <v>1</v>
      </c>
      <c r="I2264" t="s">
        <v>4685</v>
      </c>
      <c r="J2264" t="str">
        <f t="shared" si="9"/>
        <v>normalweight</v>
      </c>
    </row>
    <row r="2265" spans="1:10" ht="15.75" customHeight="1">
      <c r="A2265" t="s">
        <v>163</v>
      </c>
      <c r="B2265">
        <v>20.3</v>
      </c>
      <c r="C2265">
        <v>6.37</v>
      </c>
      <c r="D2265" s="10" t="s">
        <v>4733</v>
      </c>
      <c r="E2265" t="s">
        <v>4685</v>
      </c>
      <c r="F2265" t="s">
        <v>4685</v>
      </c>
      <c r="G2265" t="s">
        <v>4688</v>
      </c>
      <c r="H2265" s="2">
        <v>1</v>
      </c>
      <c r="I2265" t="s">
        <v>4685</v>
      </c>
      <c r="J2265" t="str">
        <f t="shared" si="9"/>
        <v>normalweight</v>
      </c>
    </row>
    <row r="2266" spans="1:10" ht="15.75" customHeight="1">
      <c r="A2266" t="s">
        <v>161</v>
      </c>
      <c r="B2266">
        <v>19.8</v>
      </c>
      <c r="C2266">
        <v>5.12</v>
      </c>
      <c r="D2266" s="11" t="s">
        <v>4732</v>
      </c>
      <c r="E2266" t="s">
        <v>4685</v>
      </c>
      <c r="F2266" t="s">
        <v>4685</v>
      </c>
      <c r="G2266" t="s">
        <v>4688</v>
      </c>
      <c r="H2266" s="2">
        <v>1</v>
      </c>
      <c r="I2266" t="s">
        <v>4685</v>
      </c>
      <c r="J2266" t="str">
        <f t="shared" si="9"/>
        <v>normalweight</v>
      </c>
    </row>
    <row r="2267" spans="1:10" ht="15.75" customHeight="1">
      <c r="A2267" t="s">
        <v>159</v>
      </c>
      <c r="B2267">
        <v>21.87</v>
      </c>
      <c r="C2267">
        <v>8.59</v>
      </c>
      <c r="D2267" s="6" t="s">
        <v>4684</v>
      </c>
      <c r="E2267" t="s">
        <v>4685</v>
      </c>
      <c r="F2267" t="s">
        <v>4685</v>
      </c>
      <c r="G2267" t="s">
        <v>4685</v>
      </c>
      <c r="H2267" s="2">
        <v>0</v>
      </c>
      <c r="I2267" t="s">
        <v>4685</v>
      </c>
      <c r="J2267" t="str">
        <f t="shared" si="9"/>
        <v>normalweight</v>
      </c>
    </row>
    <row r="2268" spans="1:10" ht="15.75" customHeight="1">
      <c r="A2268" t="s">
        <v>157</v>
      </c>
      <c r="B2268">
        <v>16.600000000000001</v>
      </c>
      <c r="C2268">
        <v>5.87</v>
      </c>
      <c r="D2268" s="10" t="s">
        <v>4733</v>
      </c>
      <c r="E2268" t="s">
        <v>4685</v>
      </c>
      <c r="F2268" t="s">
        <v>4685</v>
      </c>
      <c r="G2268" t="s">
        <v>4685</v>
      </c>
      <c r="H2268" s="2">
        <v>1</v>
      </c>
      <c r="I2268" t="s">
        <v>4685</v>
      </c>
      <c r="J2268" t="str">
        <f t="shared" si="9"/>
        <v>underweight</v>
      </c>
    </row>
    <row r="2269" spans="1:10" ht="15.75" customHeight="1">
      <c r="A2269" t="s">
        <v>155</v>
      </c>
      <c r="B2269">
        <v>21.98</v>
      </c>
      <c r="C2269">
        <v>7.03</v>
      </c>
      <c r="D2269" s="6" t="s">
        <v>4684</v>
      </c>
      <c r="E2269" t="s">
        <v>4685</v>
      </c>
      <c r="F2269" t="s">
        <v>4685</v>
      </c>
      <c r="G2269" t="s">
        <v>4685</v>
      </c>
      <c r="H2269" s="2">
        <v>0</v>
      </c>
      <c r="I2269" t="s">
        <v>4685</v>
      </c>
      <c r="J2269" t="str">
        <f t="shared" si="9"/>
        <v>normalweight</v>
      </c>
    </row>
    <row r="2270" spans="1:10" ht="15.75" customHeight="1">
      <c r="A2270" t="s">
        <v>153</v>
      </c>
      <c r="B2270">
        <v>19.7</v>
      </c>
      <c r="C2270">
        <v>5.51</v>
      </c>
      <c r="D2270" s="10" t="s">
        <v>4733</v>
      </c>
      <c r="E2270" t="s">
        <v>4685</v>
      </c>
      <c r="F2270" t="s">
        <v>4685</v>
      </c>
      <c r="G2270" t="s">
        <v>4685</v>
      </c>
      <c r="H2270" s="2">
        <v>1</v>
      </c>
      <c r="I2270" t="s">
        <v>4685</v>
      </c>
      <c r="J2270" t="str">
        <f t="shared" si="9"/>
        <v>normalweight</v>
      </c>
    </row>
    <row r="2271" spans="1:10" ht="15.75" customHeight="1">
      <c r="A2271" t="s">
        <v>151</v>
      </c>
      <c r="B2271">
        <v>19.21</v>
      </c>
      <c r="C2271">
        <v>4.76</v>
      </c>
      <c r="D2271" s="11" t="s">
        <v>4732</v>
      </c>
      <c r="E2271" t="s">
        <v>4685</v>
      </c>
      <c r="F2271" t="s">
        <v>4686</v>
      </c>
      <c r="G2271" t="s">
        <v>4685</v>
      </c>
      <c r="H2271" s="2">
        <v>1</v>
      </c>
      <c r="I2271" t="s">
        <v>4685</v>
      </c>
      <c r="J2271" t="str">
        <f t="shared" si="9"/>
        <v>normalweight</v>
      </c>
    </row>
    <row r="2272" spans="1:10" ht="15.75" customHeight="1">
      <c r="A2272" t="s">
        <v>149</v>
      </c>
      <c r="B2272">
        <v>19.3</v>
      </c>
      <c r="C2272">
        <v>4.7</v>
      </c>
      <c r="D2272" s="11" t="s">
        <v>4732</v>
      </c>
      <c r="E2272" t="s">
        <v>4685</v>
      </c>
      <c r="F2272" t="s">
        <v>4686</v>
      </c>
      <c r="G2272" t="s">
        <v>4685</v>
      </c>
      <c r="H2272" s="2">
        <v>1</v>
      </c>
      <c r="I2272" t="s">
        <v>4685</v>
      </c>
      <c r="J2272" t="str">
        <f t="shared" si="9"/>
        <v>normalweight</v>
      </c>
    </row>
    <row r="2273" spans="1:10" ht="15.75" customHeight="1">
      <c r="A2273" t="s">
        <v>147</v>
      </c>
      <c r="B2273">
        <v>16.22</v>
      </c>
      <c r="C2273">
        <v>6.21</v>
      </c>
      <c r="D2273" s="10" t="s">
        <v>4733</v>
      </c>
      <c r="E2273" t="s">
        <v>4686</v>
      </c>
      <c r="F2273" t="s">
        <v>4685</v>
      </c>
      <c r="G2273" t="s">
        <v>4685</v>
      </c>
      <c r="H2273" s="2">
        <v>0</v>
      </c>
      <c r="I2273" t="s">
        <v>4685</v>
      </c>
      <c r="J2273" t="str">
        <f t="shared" si="9"/>
        <v>underweight</v>
      </c>
    </row>
    <row r="2274" spans="1:10" ht="15.75" customHeight="1">
      <c r="A2274" t="s">
        <v>145</v>
      </c>
      <c r="B2274">
        <v>17.12</v>
      </c>
      <c r="C2274">
        <v>4.5199999999999996</v>
      </c>
      <c r="D2274" s="11" t="s">
        <v>4732</v>
      </c>
      <c r="E2274" t="s">
        <v>4685</v>
      </c>
      <c r="F2274" t="s">
        <v>4686</v>
      </c>
      <c r="G2274" t="s">
        <v>4685</v>
      </c>
      <c r="H2274" s="2">
        <v>1</v>
      </c>
      <c r="I2274" t="s">
        <v>4685</v>
      </c>
      <c r="J2274" t="str">
        <f t="shared" si="9"/>
        <v>underweight</v>
      </c>
    </row>
    <row r="2275" spans="1:10" ht="15.75" customHeight="1">
      <c r="A2275" t="s">
        <v>143</v>
      </c>
      <c r="B2275">
        <v>19.07</v>
      </c>
      <c r="C2275">
        <v>5.45</v>
      </c>
      <c r="D2275" s="11" t="s">
        <v>4732</v>
      </c>
      <c r="E2275" t="s">
        <v>4685</v>
      </c>
      <c r="F2275" t="s">
        <v>4685</v>
      </c>
      <c r="G2275" t="s">
        <v>4685</v>
      </c>
      <c r="H2275" s="2">
        <v>1</v>
      </c>
      <c r="I2275" t="s">
        <v>4685</v>
      </c>
      <c r="J2275" t="str">
        <f t="shared" si="9"/>
        <v>normalweight</v>
      </c>
    </row>
    <row r="2276" spans="1:10" ht="15.75" customHeight="1">
      <c r="A2276" t="s">
        <v>141</v>
      </c>
      <c r="B2276">
        <v>15.56</v>
      </c>
      <c r="C2276">
        <v>4.42</v>
      </c>
      <c r="D2276" s="11" t="s">
        <v>4732</v>
      </c>
      <c r="E2276" t="s">
        <v>4685</v>
      </c>
      <c r="F2276" t="s">
        <v>4685</v>
      </c>
      <c r="G2276" t="s">
        <v>4685</v>
      </c>
      <c r="H2276" s="2">
        <v>0</v>
      </c>
      <c r="I2276" t="s">
        <v>4685</v>
      </c>
      <c r="J2276" t="str">
        <f t="shared" si="9"/>
        <v>underweight</v>
      </c>
    </row>
    <row r="2277" spans="1:10" ht="15.75" customHeight="1">
      <c r="A2277" t="s">
        <v>139</v>
      </c>
      <c r="B2277">
        <v>22.76</v>
      </c>
      <c r="C2277">
        <v>9.44</v>
      </c>
      <c r="D2277" s="6" t="s">
        <v>4684</v>
      </c>
      <c r="E2277" t="s">
        <v>4685</v>
      </c>
      <c r="F2277" t="s">
        <v>4685</v>
      </c>
      <c r="G2277" t="s">
        <v>4685</v>
      </c>
      <c r="H2277" s="2">
        <v>0</v>
      </c>
      <c r="I2277" t="s">
        <v>4685</v>
      </c>
      <c r="J2277" t="str">
        <f t="shared" si="9"/>
        <v>normalweight</v>
      </c>
    </row>
    <row r="2278" spans="1:10" ht="15.75" customHeight="1">
      <c r="A2278" t="s">
        <v>137</v>
      </c>
      <c r="B2278">
        <v>22.79</v>
      </c>
      <c r="C2278">
        <v>6.15</v>
      </c>
      <c r="D2278" s="10" t="s">
        <v>4733</v>
      </c>
      <c r="E2278" t="s">
        <v>4686</v>
      </c>
      <c r="F2278" t="s">
        <v>4685</v>
      </c>
      <c r="G2278" t="s">
        <v>4688</v>
      </c>
      <c r="H2278" s="2">
        <v>1</v>
      </c>
      <c r="I2278" t="s">
        <v>4685</v>
      </c>
      <c r="J2278" t="str">
        <f t="shared" si="9"/>
        <v>normalweight</v>
      </c>
    </row>
    <row r="2279" spans="1:10" ht="15.75" customHeight="1">
      <c r="A2279" t="s">
        <v>135</v>
      </c>
      <c r="B2279">
        <v>17.41</v>
      </c>
      <c r="C2279">
        <v>5.13</v>
      </c>
      <c r="D2279" t="s">
        <v>4732</v>
      </c>
      <c r="E2279" t="s">
        <v>4686</v>
      </c>
      <c r="F2279" t="s">
        <v>4685</v>
      </c>
      <c r="G2279" t="s">
        <v>4685</v>
      </c>
      <c r="H2279" s="2">
        <v>0</v>
      </c>
      <c r="I2279" t="s">
        <v>4685</v>
      </c>
      <c r="J2279" t="str">
        <f t="shared" si="9"/>
        <v>underweight</v>
      </c>
    </row>
    <row r="2280" spans="1:10" ht="15.75" customHeight="1">
      <c r="A2280" t="s">
        <v>133</v>
      </c>
      <c r="B2280">
        <v>19.32</v>
      </c>
      <c r="C2280">
        <v>4.96</v>
      </c>
      <c r="D2280" s="10" t="s">
        <v>4733</v>
      </c>
      <c r="E2280" t="s">
        <v>4686</v>
      </c>
      <c r="F2280" t="s">
        <v>4685</v>
      </c>
      <c r="G2280" t="s">
        <v>4685</v>
      </c>
      <c r="H2280" s="2">
        <v>0</v>
      </c>
      <c r="I2280" t="s">
        <v>4685</v>
      </c>
      <c r="J2280" t="str">
        <f t="shared" si="9"/>
        <v>normalweight</v>
      </c>
    </row>
    <row r="2281" spans="1:10" ht="15.75" customHeight="1">
      <c r="A2281" t="s">
        <v>131</v>
      </c>
      <c r="B2281">
        <v>18.25</v>
      </c>
      <c r="C2281">
        <v>10.95</v>
      </c>
      <c r="D2281" s="6" t="s">
        <v>4684</v>
      </c>
      <c r="E2281" t="s">
        <v>4685</v>
      </c>
      <c r="F2281" t="s">
        <v>4685</v>
      </c>
      <c r="G2281" t="s">
        <v>4685</v>
      </c>
      <c r="H2281" s="2">
        <v>0</v>
      </c>
      <c r="I2281" t="s">
        <v>4685</v>
      </c>
      <c r="J2281" t="str">
        <f t="shared" si="9"/>
        <v>underweight</v>
      </c>
    </row>
    <row r="2282" spans="1:10" ht="15.75" customHeight="1">
      <c r="A2282" t="s">
        <v>129</v>
      </c>
      <c r="B2282">
        <v>53.13</v>
      </c>
      <c r="C2282">
        <v>4.4400000000000004</v>
      </c>
      <c r="D2282" t="s">
        <v>4732</v>
      </c>
      <c r="E2282" t="s">
        <v>4685</v>
      </c>
      <c r="F2282" t="s">
        <v>4686</v>
      </c>
      <c r="G2282" t="s">
        <v>4685</v>
      </c>
      <c r="H2282" s="2">
        <v>1</v>
      </c>
      <c r="I2282" t="s">
        <v>4685</v>
      </c>
      <c r="J2282" t="str">
        <f t="shared" si="9"/>
        <v>normalweight</v>
      </c>
    </row>
    <row r="2283" spans="1:10" ht="15.75" customHeight="1">
      <c r="A2283" t="s">
        <v>127</v>
      </c>
      <c r="B2283">
        <v>20.46</v>
      </c>
      <c r="C2283">
        <v>4.0199999999999996</v>
      </c>
      <c r="D2283" t="s">
        <v>4732</v>
      </c>
      <c r="E2283" t="s">
        <v>4685</v>
      </c>
      <c r="F2283" t="s">
        <v>4685</v>
      </c>
      <c r="G2283" t="s">
        <v>4685</v>
      </c>
      <c r="H2283" s="2">
        <v>0</v>
      </c>
      <c r="I2283" t="s">
        <v>4685</v>
      </c>
      <c r="J2283" t="str">
        <f t="shared" si="9"/>
        <v>normalweight</v>
      </c>
    </row>
    <row r="2284" spans="1:10" ht="15.75" customHeight="1">
      <c r="A2284" t="s">
        <v>125</v>
      </c>
      <c r="B2284">
        <v>43.01</v>
      </c>
      <c r="C2284">
        <v>5.44</v>
      </c>
      <c r="D2284" t="s">
        <v>4732</v>
      </c>
      <c r="E2284" t="s">
        <v>4685</v>
      </c>
      <c r="F2284" t="s">
        <v>4686</v>
      </c>
      <c r="G2284" t="s">
        <v>4685</v>
      </c>
      <c r="H2284" s="2">
        <v>1</v>
      </c>
      <c r="I2284" t="s">
        <v>4685</v>
      </c>
      <c r="J2284" t="str">
        <f t="shared" si="9"/>
        <v>normalweight</v>
      </c>
    </row>
    <row r="2285" spans="1:10" ht="15.75" customHeight="1">
      <c r="A2285" t="s">
        <v>123</v>
      </c>
      <c r="B2285">
        <v>15.01</v>
      </c>
      <c r="C2285">
        <v>4.1500000000000004</v>
      </c>
      <c r="D2285" t="s">
        <v>4732</v>
      </c>
      <c r="E2285" t="s">
        <v>4685</v>
      </c>
      <c r="F2285" t="s">
        <v>4685</v>
      </c>
      <c r="G2285" t="s">
        <v>4688</v>
      </c>
      <c r="H2285" s="2">
        <v>1</v>
      </c>
      <c r="I2285" t="s">
        <v>4685</v>
      </c>
      <c r="J2285" t="str">
        <f t="shared" si="9"/>
        <v>underweight</v>
      </c>
    </row>
    <row r="2286" spans="1:10" ht="15.75" customHeight="1">
      <c r="A2286" t="s">
        <v>121</v>
      </c>
      <c r="B2286">
        <v>41.14</v>
      </c>
      <c r="C2286">
        <v>6.02</v>
      </c>
      <c r="D2286" s="10" t="s">
        <v>4733</v>
      </c>
      <c r="E2286" t="s">
        <v>4685</v>
      </c>
      <c r="F2286" t="s">
        <v>4686</v>
      </c>
      <c r="G2286" t="s">
        <v>4685</v>
      </c>
      <c r="H2286" s="2">
        <v>1</v>
      </c>
      <c r="I2286" t="s">
        <v>4685</v>
      </c>
      <c r="J2286" t="str">
        <f t="shared" si="9"/>
        <v>normalweight</v>
      </c>
    </row>
    <row r="2287" spans="1:10" ht="15.75" customHeight="1">
      <c r="A2287" t="s">
        <v>119</v>
      </c>
      <c r="B2287">
        <v>16.55</v>
      </c>
      <c r="C2287">
        <v>7.73</v>
      </c>
      <c r="D2287" s="6" t="s">
        <v>4684</v>
      </c>
      <c r="E2287" t="s">
        <v>4685</v>
      </c>
      <c r="F2287" t="s">
        <v>4685</v>
      </c>
      <c r="G2287" t="s">
        <v>4685</v>
      </c>
      <c r="H2287" s="2">
        <v>0</v>
      </c>
      <c r="I2287" t="s">
        <v>4685</v>
      </c>
      <c r="J2287" t="str">
        <f t="shared" si="9"/>
        <v>underweight</v>
      </c>
    </row>
    <row r="2288" spans="1:10" ht="15.75" customHeight="1">
      <c r="A2288" t="s">
        <v>117</v>
      </c>
      <c r="B2288">
        <v>37.29</v>
      </c>
      <c r="C2288">
        <v>5.03</v>
      </c>
      <c r="D2288" t="s">
        <v>4732</v>
      </c>
      <c r="E2288" t="s">
        <v>4685</v>
      </c>
      <c r="F2288" t="s">
        <v>4686</v>
      </c>
      <c r="G2288" t="s">
        <v>4685</v>
      </c>
      <c r="H2288" s="2">
        <v>1</v>
      </c>
      <c r="I2288" t="s">
        <v>4685</v>
      </c>
      <c r="J2288" t="str">
        <f t="shared" si="9"/>
        <v>normalweight</v>
      </c>
    </row>
    <row r="2289" spans="1:10" ht="15.75" customHeight="1">
      <c r="A2289" t="s">
        <v>115</v>
      </c>
      <c r="B2289">
        <v>16.739999999999998</v>
      </c>
      <c r="C2289">
        <v>4.08</v>
      </c>
      <c r="D2289" t="s">
        <v>4732</v>
      </c>
      <c r="E2289" t="s">
        <v>4686</v>
      </c>
      <c r="F2289" t="s">
        <v>4685</v>
      </c>
      <c r="G2289" t="s">
        <v>4685</v>
      </c>
      <c r="H2289" s="2">
        <v>0</v>
      </c>
      <c r="I2289" t="s">
        <v>4685</v>
      </c>
      <c r="J2289" t="str">
        <f t="shared" si="9"/>
        <v>underweight</v>
      </c>
    </row>
    <row r="2290" spans="1:10" ht="15.75" customHeight="1">
      <c r="A2290" t="s">
        <v>113</v>
      </c>
      <c r="B2290">
        <v>34.43</v>
      </c>
      <c r="C2290">
        <v>4.2699999999999996</v>
      </c>
      <c r="D2290" t="s">
        <v>4732</v>
      </c>
      <c r="E2290" t="s">
        <v>4685</v>
      </c>
      <c r="F2290" t="s">
        <v>4686</v>
      </c>
      <c r="G2290" t="s">
        <v>4685</v>
      </c>
      <c r="H2290" s="2">
        <v>1</v>
      </c>
      <c r="I2290" t="s">
        <v>4685</v>
      </c>
      <c r="J2290" t="str">
        <f t="shared" si="9"/>
        <v>normalweight</v>
      </c>
    </row>
    <row r="2291" spans="1:10" ht="15.75" customHeight="1">
      <c r="A2291" t="s">
        <v>111</v>
      </c>
      <c r="B2291">
        <v>34.1</v>
      </c>
      <c r="C2291">
        <v>4.07</v>
      </c>
      <c r="D2291" t="s">
        <v>4732</v>
      </c>
      <c r="E2291" t="s">
        <v>4685</v>
      </c>
      <c r="F2291" t="s">
        <v>4686</v>
      </c>
      <c r="G2291" t="s">
        <v>4685</v>
      </c>
      <c r="H2291" s="2">
        <v>1</v>
      </c>
      <c r="I2291" t="s">
        <v>4685</v>
      </c>
      <c r="J2291" t="str">
        <f t="shared" si="9"/>
        <v>normalweight</v>
      </c>
    </row>
    <row r="2292" spans="1:10" ht="15.75" customHeight="1">
      <c r="A2292" t="s">
        <v>109</v>
      </c>
      <c r="B2292">
        <v>19.3</v>
      </c>
      <c r="C2292">
        <v>10.36</v>
      </c>
      <c r="D2292" s="6" t="s">
        <v>4684</v>
      </c>
      <c r="E2292" t="s">
        <v>4685</v>
      </c>
      <c r="F2292" t="s">
        <v>4685</v>
      </c>
      <c r="G2292" t="s">
        <v>4685</v>
      </c>
      <c r="H2292" s="2">
        <v>0</v>
      </c>
      <c r="I2292" t="s">
        <v>4685</v>
      </c>
      <c r="J2292" t="str">
        <f t="shared" si="9"/>
        <v>normalweight</v>
      </c>
    </row>
    <row r="2293" spans="1:10" ht="15.75" customHeight="1">
      <c r="A2293" t="s">
        <v>107</v>
      </c>
      <c r="B2293">
        <v>33.659999999999997</v>
      </c>
      <c r="C2293">
        <v>5.71</v>
      </c>
      <c r="D2293" s="10" t="s">
        <v>4733</v>
      </c>
      <c r="E2293" t="s">
        <v>4685</v>
      </c>
      <c r="F2293" t="s">
        <v>4686</v>
      </c>
      <c r="G2293" t="s">
        <v>4685</v>
      </c>
      <c r="H2293" s="2">
        <v>1</v>
      </c>
      <c r="I2293" t="s">
        <v>4685</v>
      </c>
      <c r="J2293" t="str">
        <f t="shared" si="9"/>
        <v>normalweight</v>
      </c>
    </row>
    <row r="2294" spans="1:10" ht="15.75" customHeight="1">
      <c r="A2294" t="s">
        <v>105</v>
      </c>
      <c r="B2294">
        <v>33.33</v>
      </c>
      <c r="C2294">
        <v>6.08</v>
      </c>
      <c r="D2294" s="10" t="s">
        <v>4733</v>
      </c>
      <c r="E2294" t="s">
        <v>4685</v>
      </c>
      <c r="F2294" t="s">
        <v>4686</v>
      </c>
      <c r="G2294" t="s">
        <v>4685</v>
      </c>
      <c r="H2294" s="2">
        <v>1</v>
      </c>
      <c r="I2294" t="s">
        <v>4685</v>
      </c>
      <c r="J2294" t="str">
        <f t="shared" si="9"/>
        <v>normalweight</v>
      </c>
    </row>
    <row r="2295" spans="1:10" ht="15.75" customHeight="1">
      <c r="A2295" t="s">
        <v>103</v>
      </c>
      <c r="B2295">
        <v>21.84</v>
      </c>
      <c r="C2295">
        <v>5.71</v>
      </c>
      <c r="D2295" s="10" t="s">
        <v>4733</v>
      </c>
      <c r="E2295" t="s">
        <v>4685</v>
      </c>
      <c r="F2295" t="s">
        <v>4686</v>
      </c>
      <c r="G2295" t="s">
        <v>4685</v>
      </c>
      <c r="H2295" s="2">
        <v>1</v>
      </c>
      <c r="I2295" t="s">
        <v>4685</v>
      </c>
      <c r="J2295" t="str">
        <f t="shared" si="9"/>
        <v>normalweight</v>
      </c>
    </row>
    <row r="2296" spans="1:10" ht="15.75" customHeight="1">
      <c r="A2296" t="s">
        <v>101</v>
      </c>
      <c r="B2296">
        <v>16.87</v>
      </c>
      <c r="C2296">
        <v>9.1300000000000008</v>
      </c>
      <c r="D2296" s="6" t="s">
        <v>4684</v>
      </c>
      <c r="E2296" t="s">
        <v>4685</v>
      </c>
      <c r="F2296" t="s">
        <v>4685</v>
      </c>
      <c r="G2296" t="s">
        <v>4685</v>
      </c>
      <c r="H2296" s="2">
        <v>0</v>
      </c>
      <c r="I2296" t="s">
        <v>4685</v>
      </c>
      <c r="J2296" t="str">
        <f t="shared" si="9"/>
        <v>underweight</v>
      </c>
    </row>
    <row r="2297" spans="1:10" ht="15.75" customHeight="1">
      <c r="A2297" t="s">
        <v>99</v>
      </c>
      <c r="B2297">
        <v>30.14</v>
      </c>
      <c r="C2297">
        <v>5.49</v>
      </c>
      <c r="D2297" t="s">
        <v>4732</v>
      </c>
      <c r="E2297" t="s">
        <v>4685</v>
      </c>
      <c r="F2297" t="s">
        <v>4686</v>
      </c>
      <c r="G2297" t="s">
        <v>4685</v>
      </c>
      <c r="H2297" s="2">
        <v>1</v>
      </c>
      <c r="I2297" t="s">
        <v>4685</v>
      </c>
      <c r="J2297" t="str">
        <f t="shared" si="9"/>
        <v>normalweight</v>
      </c>
    </row>
    <row r="2298" spans="1:10" ht="15.75" customHeight="1">
      <c r="A2298" t="s">
        <v>97</v>
      </c>
      <c r="B2298">
        <v>23.21</v>
      </c>
      <c r="C2298">
        <v>4.37</v>
      </c>
      <c r="D2298" t="s">
        <v>4732</v>
      </c>
      <c r="E2298" t="s">
        <v>4685</v>
      </c>
      <c r="F2298" t="s">
        <v>4686</v>
      </c>
      <c r="G2298" t="s">
        <v>4685</v>
      </c>
      <c r="H2298" s="2">
        <v>1</v>
      </c>
      <c r="I2298" t="s">
        <v>4685</v>
      </c>
      <c r="J2298" t="str">
        <f t="shared" si="9"/>
        <v>normalweight</v>
      </c>
    </row>
    <row r="2299" spans="1:10" ht="15.75" customHeight="1">
      <c r="A2299" t="s">
        <v>95</v>
      </c>
      <c r="B2299">
        <v>17.170000000000002</v>
      </c>
      <c r="C2299">
        <v>8.4600000000000009</v>
      </c>
      <c r="D2299" s="6" t="s">
        <v>4684</v>
      </c>
      <c r="E2299" t="s">
        <v>4685</v>
      </c>
      <c r="F2299" t="s">
        <v>4685</v>
      </c>
      <c r="G2299" t="s">
        <v>4685</v>
      </c>
      <c r="H2299" s="2">
        <v>0</v>
      </c>
      <c r="I2299" t="s">
        <v>4685</v>
      </c>
      <c r="J2299" t="str">
        <f t="shared" si="9"/>
        <v>underweight</v>
      </c>
    </row>
    <row r="2300" spans="1:10" ht="15.75" customHeight="1">
      <c r="A2300" t="s">
        <v>93</v>
      </c>
      <c r="B2300">
        <v>15.61</v>
      </c>
      <c r="C2300">
        <v>5.28</v>
      </c>
      <c r="D2300" t="s">
        <v>4732</v>
      </c>
      <c r="E2300" t="s">
        <v>4685</v>
      </c>
      <c r="F2300" t="s">
        <v>4685</v>
      </c>
      <c r="G2300" t="s">
        <v>4685</v>
      </c>
      <c r="H2300" s="2">
        <v>1</v>
      </c>
      <c r="I2300" t="s">
        <v>4685</v>
      </c>
      <c r="J2300" t="str">
        <f t="shared" si="9"/>
        <v>underweight</v>
      </c>
    </row>
    <row r="2301" spans="1:10" ht="15.75" customHeight="1">
      <c r="A2301" t="s">
        <v>91</v>
      </c>
      <c r="B2301">
        <v>17.98</v>
      </c>
      <c r="C2301">
        <v>5.33</v>
      </c>
      <c r="D2301" t="s">
        <v>4732</v>
      </c>
      <c r="E2301" t="s">
        <v>4686</v>
      </c>
      <c r="F2301" t="s">
        <v>4685</v>
      </c>
      <c r="G2301" t="s">
        <v>4688</v>
      </c>
      <c r="H2301" s="2">
        <v>1</v>
      </c>
      <c r="I2301" t="s">
        <v>4685</v>
      </c>
      <c r="J2301" t="str">
        <f t="shared" si="9"/>
        <v>underweight</v>
      </c>
    </row>
    <row r="2302" spans="1:10" ht="15.75" customHeight="1">
      <c r="A2302" t="s">
        <v>89</v>
      </c>
      <c r="B2302">
        <v>21.64</v>
      </c>
      <c r="C2302">
        <v>5.5</v>
      </c>
      <c r="D2302" t="s">
        <v>4732</v>
      </c>
      <c r="E2302" t="s">
        <v>4685</v>
      </c>
      <c r="F2302" t="s">
        <v>4686</v>
      </c>
      <c r="G2302" t="s">
        <v>4685</v>
      </c>
      <c r="H2302" s="2">
        <v>1</v>
      </c>
      <c r="I2302" t="s">
        <v>4685</v>
      </c>
      <c r="J2302" t="str">
        <f t="shared" si="9"/>
        <v>normalweight</v>
      </c>
    </row>
    <row r="2303" spans="1:10" ht="15.75" customHeight="1">
      <c r="A2303" t="s">
        <v>87</v>
      </c>
      <c r="B2303">
        <v>16.399999999999999</v>
      </c>
      <c r="C2303">
        <v>5.4</v>
      </c>
      <c r="D2303" t="s">
        <v>4732</v>
      </c>
      <c r="E2303" t="s">
        <v>4685</v>
      </c>
      <c r="F2303" t="s">
        <v>4685</v>
      </c>
      <c r="G2303" t="s">
        <v>4688</v>
      </c>
      <c r="H2303" s="2">
        <v>1</v>
      </c>
      <c r="I2303" t="s">
        <v>4685</v>
      </c>
      <c r="J2303" t="str">
        <f t="shared" si="9"/>
        <v>underweight</v>
      </c>
    </row>
    <row r="2304" spans="1:10" ht="15.75" customHeight="1">
      <c r="A2304" t="s">
        <v>85</v>
      </c>
      <c r="B2304">
        <v>15.77</v>
      </c>
      <c r="C2304">
        <v>6.05</v>
      </c>
      <c r="D2304" s="10" t="s">
        <v>4733</v>
      </c>
      <c r="E2304" t="s">
        <v>4686</v>
      </c>
      <c r="F2304" t="s">
        <v>4685</v>
      </c>
      <c r="G2304" t="s">
        <v>4685</v>
      </c>
      <c r="H2304" s="2">
        <v>1</v>
      </c>
      <c r="I2304" t="s">
        <v>4685</v>
      </c>
      <c r="J2304" t="str">
        <f t="shared" si="9"/>
        <v>underweight</v>
      </c>
    </row>
    <row r="2305" spans="1:10" ht="15.75" customHeight="1">
      <c r="A2305" t="s">
        <v>83</v>
      </c>
      <c r="B2305">
        <v>18.27</v>
      </c>
      <c r="C2305">
        <v>11.46</v>
      </c>
      <c r="D2305" s="6" t="s">
        <v>4684</v>
      </c>
      <c r="E2305" t="s">
        <v>4685</v>
      </c>
      <c r="F2305" t="s">
        <v>4685</v>
      </c>
      <c r="G2305" t="s">
        <v>4685</v>
      </c>
      <c r="H2305" s="2">
        <v>0</v>
      </c>
      <c r="I2305" t="s">
        <v>4685</v>
      </c>
      <c r="J2305" t="str">
        <f t="shared" si="9"/>
        <v>underweight</v>
      </c>
    </row>
    <row r="2306" spans="1:10" ht="15.75" customHeight="1">
      <c r="A2306" t="s">
        <v>81</v>
      </c>
      <c r="B2306">
        <v>16.489999999999998</v>
      </c>
      <c r="C2306">
        <v>8.48</v>
      </c>
      <c r="D2306" s="6" t="s">
        <v>4684</v>
      </c>
      <c r="E2306" t="s">
        <v>4685</v>
      </c>
      <c r="F2306" t="s">
        <v>4685</v>
      </c>
      <c r="G2306" t="s">
        <v>4685</v>
      </c>
      <c r="H2306" s="2">
        <v>0</v>
      </c>
      <c r="I2306" t="s">
        <v>4685</v>
      </c>
      <c r="J2306" t="str">
        <f t="shared" si="9"/>
        <v>underweight</v>
      </c>
    </row>
    <row r="2307" spans="1:10" ht="15.75" customHeight="1">
      <c r="A2307" t="s">
        <v>79</v>
      </c>
      <c r="B2307">
        <v>16.14</v>
      </c>
      <c r="C2307">
        <v>4.8600000000000003</v>
      </c>
      <c r="D2307" t="s">
        <v>4732</v>
      </c>
      <c r="E2307" t="s">
        <v>4685</v>
      </c>
      <c r="F2307" t="s">
        <v>4685</v>
      </c>
      <c r="G2307" t="s">
        <v>4685</v>
      </c>
      <c r="H2307" s="2">
        <v>0</v>
      </c>
      <c r="I2307" t="s">
        <v>4685</v>
      </c>
      <c r="J2307" t="str">
        <f t="shared" si="9"/>
        <v>underweight</v>
      </c>
    </row>
    <row r="2308" spans="1:10" ht="15.75" customHeight="1">
      <c r="A2308" t="s">
        <v>77</v>
      </c>
      <c r="B2308">
        <v>20.85</v>
      </c>
      <c r="C2308">
        <v>4.45</v>
      </c>
      <c r="D2308" t="s">
        <v>4732</v>
      </c>
      <c r="E2308" t="s">
        <v>4686</v>
      </c>
      <c r="F2308" t="s">
        <v>4685</v>
      </c>
      <c r="G2308" t="s">
        <v>4685</v>
      </c>
      <c r="H2308" s="2">
        <v>1</v>
      </c>
      <c r="I2308" t="s">
        <v>4685</v>
      </c>
      <c r="J2308" t="str">
        <f t="shared" si="9"/>
        <v>normalweight</v>
      </c>
    </row>
    <row r="2309" spans="1:10" ht="15.75" customHeight="1">
      <c r="A2309" t="s">
        <v>75</v>
      </c>
      <c r="B2309">
        <v>15.88</v>
      </c>
      <c r="C2309">
        <v>4.3600000000000003</v>
      </c>
      <c r="D2309" t="s">
        <v>4732</v>
      </c>
      <c r="E2309" t="s">
        <v>4685</v>
      </c>
      <c r="F2309" t="s">
        <v>4685</v>
      </c>
      <c r="G2309" t="s">
        <v>4685</v>
      </c>
      <c r="H2309" s="2">
        <v>0</v>
      </c>
      <c r="I2309" t="s">
        <v>4685</v>
      </c>
      <c r="J2309" t="str">
        <f t="shared" si="9"/>
        <v>underweight</v>
      </c>
    </row>
    <row r="2310" spans="1:10" ht="15.75" customHeight="1">
      <c r="A2310" t="s">
        <v>73</v>
      </c>
      <c r="B2310">
        <v>20.66</v>
      </c>
      <c r="C2310">
        <v>5.8</v>
      </c>
      <c r="D2310" t="s">
        <v>4733</v>
      </c>
      <c r="E2310" t="s">
        <v>4685</v>
      </c>
      <c r="F2310" t="s">
        <v>4686</v>
      </c>
      <c r="G2310" t="s">
        <v>4685</v>
      </c>
      <c r="H2310" s="2">
        <v>1</v>
      </c>
      <c r="I2310" t="s">
        <v>4685</v>
      </c>
      <c r="J2310" t="str">
        <f t="shared" si="9"/>
        <v>normalweight</v>
      </c>
    </row>
    <row r="2311" spans="1:10" ht="15.75" customHeight="1">
      <c r="A2311" t="s">
        <v>71</v>
      </c>
      <c r="B2311">
        <v>20.399999999999999</v>
      </c>
      <c r="C2311">
        <v>5.27</v>
      </c>
      <c r="D2311" t="s">
        <v>4732</v>
      </c>
      <c r="E2311" t="s">
        <v>4685</v>
      </c>
      <c r="F2311" t="s">
        <v>4685</v>
      </c>
      <c r="G2311" t="s">
        <v>4685</v>
      </c>
      <c r="H2311" s="2">
        <v>0</v>
      </c>
      <c r="I2311" t="s">
        <v>4685</v>
      </c>
      <c r="J2311" t="str">
        <f t="shared" si="9"/>
        <v>normalweight</v>
      </c>
    </row>
    <row r="2312" spans="1:10" ht="15.75" customHeight="1">
      <c r="A2312" t="s">
        <v>69</v>
      </c>
      <c r="B2312">
        <v>25.19</v>
      </c>
      <c r="C2312">
        <v>5.64</v>
      </c>
      <c r="D2312" t="s">
        <v>4733</v>
      </c>
      <c r="E2312" t="s">
        <v>4686</v>
      </c>
      <c r="F2312" t="s">
        <v>4685</v>
      </c>
      <c r="G2312" t="s">
        <v>4685</v>
      </c>
      <c r="H2312" s="2">
        <v>0</v>
      </c>
      <c r="I2312" t="s">
        <v>4685</v>
      </c>
      <c r="J2312" t="str">
        <f t="shared" si="9"/>
        <v>normalweight</v>
      </c>
    </row>
    <row r="2313" spans="1:10" ht="15.75" customHeight="1">
      <c r="A2313" t="s">
        <v>67</v>
      </c>
      <c r="B2313">
        <v>20.54</v>
      </c>
      <c r="C2313">
        <v>4.2</v>
      </c>
      <c r="D2313" t="s">
        <v>4732</v>
      </c>
      <c r="E2313" t="s">
        <v>4686</v>
      </c>
      <c r="F2313" t="s">
        <v>4685</v>
      </c>
      <c r="G2313" t="s">
        <v>4685</v>
      </c>
      <c r="H2313" s="2">
        <v>1</v>
      </c>
      <c r="I2313" t="s">
        <v>4685</v>
      </c>
      <c r="J2313" t="str">
        <f t="shared" si="9"/>
        <v>normalweight</v>
      </c>
    </row>
    <row r="2314" spans="1:10" ht="15.75" customHeight="1">
      <c r="A2314" t="s">
        <v>65</v>
      </c>
      <c r="B2314">
        <v>20.13</v>
      </c>
      <c r="C2314">
        <v>5.42</v>
      </c>
      <c r="D2314" t="s">
        <v>4733</v>
      </c>
      <c r="E2314" t="s">
        <v>4685</v>
      </c>
      <c r="F2314" t="s">
        <v>4685</v>
      </c>
      <c r="G2314" t="s">
        <v>4685</v>
      </c>
      <c r="H2314" s="2">
        <v>0</v>
      </c>
      <c r="I2314" t="s">
        <v>4685</v>
      </c>
      <c r="J2314" t="str">
        <f t="shared" si="9"/>
        <v>normalweight</v>
      </c>
    </row>
    <row r="2315" spans="1:10" ht="15.75" customHeight="1">
      <c r="A2315" t="s">
        <v>63</v>
      </c>
      <c r="B2315">
        <v>18.93</v>
      </c>
      <c r="C2315">
        <v>6.11</v>
      </c>
      <c r="D2315" t="s">
        <v>4733</v>
      </c>
      <c r="E2315" t="s">
        <v>4685</v>
      </c>
      <c r="F2315" t="s">
        <v>4685</v>
      </c>
      <c r="G2315" t="s">
        <v>4688</v>
      </c>
      <c r="H2315" s="2">
        <v>1</v>
      </c>
      <c r="I2315" t="s">
        <v>4685</v>
      </c>
      <c r="J2315" t="str">
        <f t="shared" si="9"/>
        <v>normalweight</v>
      </c>
    </row>
    <row r="2316" spans="1:10" ht="15.75" customHeight="1">
      <c r="A2316" t="s">
        <v>61</v>
      </c>
      <c r="B2316">
        <v>24.14</v>
      </c>
      <c r="C2316">
        <v>5.29</v>
      </c>
      <c r="D2316" t="s">
        <v>4732</v>
      </c>
      <c r="E2316" t="s">
        <v>4685</v>
      </c>
      <c r="F2316" t="s">
        <v>4686</v>
      </c>
      <c r="G2316" t="s">
        <v>4685</v>
      </c>
      <c r="H2316" s="2">
        <v>1</v>
      </c>
      <c r="I2316" t="s">
        <v>4685</v>
      </c>
      <c r="J2316" t="str">
        <f t="shared" si="9"/>
        <v>normalweight</v>
      </c>
    </row>
    <row r="2317" spans="1:10" ht="15.75" customHeight="1">
      <c r="A2317" t="s">
        <v>59</v>
      </c>
      <c r="B2317">
        <v>25.03</v>
      </c>
      <c r="C2317">
        <v>5.91</v>
      </c>
      <c r="D2317" t="s">
        <v>4733</v>
      </c>
      <c r="E2317" t="s">
        <v>4685</v>
      </c>
      <c r="F2317" t="s">
        <v>4686</v>
      </c>
      <c r="G2317" t="s">
        <v>4685</v>
      </c>
      <c r="H2317" s="2">
        <v>1</v>
      </c>
      <c r="I2317" t="s">
        <v>4685</v>
      </c>
      <c r="J2317" t="str">
        <f t="shared" ref="J2317:J2336" si="10">IF(B2317&lt;=18.5,"underweight",IF(B2317&gt;=18.5-24.9,"normalweight",IF(B2317&gt;=25-29.9,"overweight","obesity")))</f>
        <v>normalweight</v>
      </c>
    </row>
    <row r="2318" spans="1:10" ht="15.75" customHeight="1">
      <c r="A2318" t="s">
        <v>57</v>
      </c>
      <c r="B2318">
        <v>20.47</v>
      </c>
      <c r="C2318">
        <v>5.81</v>
      </c>
      <c r="D2318" t="s">
        <v>4733</v>
      </c>
      <c r="E2318" t="s">
        <v>4686</v>
      </c>
      <c r="F2318" t="s">
        <v>4685</v>
      </c>
      <c r="G2318" t="s">
        <v>4685</v>
      </c>
      <c r="H2318" s="2">
        <v>1</v>
      </c>
      <c r="I2318" t="s">
        <v>4685</v>
      </c>
      <c r="J2318" t="str">
        <f t="shared" si="10"/>
        <v>normalweight</v>
      </c>
    </row>
    <row r="2319" spans="1:10" ht="15.75" customHeight="1">
      <c r="A2319" t="s">
        <v>55</v>
      </c>
      <c r="B2319">
        <v>18.82</v>
      </c>
      <c r="C2319">
        <v>5.51</v>
      </c>
      <c r="D2319" t="s">
        <v>4733</v>
      </c>
      <c r="E2319" t="s">
        <v>4686</v>
      </c>
      <c r="F2319" t="s">
        <v>4685</v>
      </c>
      <c r="G2319" t="s">
        <v>4685</v>
      </c>
      <c r="H2319" s="2">
        <v>0</v>
      </c>
      <c r="I2319" t="s">
        <v>4685</v>
      </c>
      <c r="J2319" t="str">
        <f t="shared" si="10"/>
        <v>normalweight</v>
      </c>
    </row>
    <row r="2320" spans="1:10" ht="15.75" customHeight="1">
      <c r="A2320" t="s">
        <v>53</v>
      </c>
      <c r="B2320">
        <v>17.079999999999998</v>
      </c>
      <c r="C2320">
        <v>5.73</v>
      </c>
      <c r="D2320" t="s">
        <v>4733</v>
      </c>
      <c r="E2320" t="s">
        <v>4685</v>
      </c>
      <c r="F2320" t="s">
        <v>4685</v>
      </c>
      <c r="G2320" t="s">
        <v>4688</v>
      </c>
      <c r="H2320" s="2">
        <v>1</v>
      </c>
      <c r="I2320" t="s">
        <v>4685</v>
      </c>
      <c r="J2320" t="str">
        <f t="shared" si="10"/>
        <v>underweight</v>
      </c>
    </row>
    <row r="2321" spans="1:10" ht="15.75" customHeight="1">
      <c r="A2321" t="s">
        <v>51</v>
      </c>
      <c r="B2321">
        <v>19.21</v>
      </c>
      <c r="C2321">
        <v>5.53</v>
      </c>
      <c r="D2321" t="s">
        <v>4733</v>
      </c>
      <c r="E2321" t="s">
        <v>4686</v>
      </c>
      <c r="F2321" t="s">
        <v>4685</v>
      </c>
      <c r="G2321" t="s">
        <v>4685</v>
      </c>
      <c r="H2321" s="2">
        <v>0</v>
      </c>
      <c r="I2321" t="s">
        <v>4685</v>
      </c>
      <c r="J2321" t="str">
        <f t="shared" si="10"/>
        <v>normalweight</v>
      </c>
    </row>
    <row r="2322" spans="1:10" ht="15.75" customHeight="1">
      <c r="A2322" t="s">
        <v>49</v>
      </c>
      <c r="B2322">
        <v>17.86</v>
      </c>
      <c r="C2322">
        <v>5.43</v>
      </c>
      <c r="D2322" t="s">
        <v>4732</v>
      </c>
      <c r="E2322" t="s">
        <v>4685</v>
      </c>
      <c r="F2322" t="s">
        <v>4685</v>
      </c>
      <c r="G2322" t="s">
        <v>4688</v>
      </c>
      <c r="H2322" s="2">
        <v>1</v>
      </c>
      <c r="I2322" t="s">
        <v>4685</v>
      </c>
      <c r="J2322" t="str">
        <f t="shared" si="10"/>
        <v>underweight</v>
      </c>
    </row>
    <row r="2323" spans="1:10" ht="15.75" customHeight="1">
      <c r="A2323" t="s">
        <v>47</v>
      </c>
      <c r="B2323">
        <v>21.38</v>
      </c>
      <c r="C2323">
        <v>8.01</v>
      </c>
      <c r="D2323" s="6" t="s">
        <v>4684</v>
      </c>
      <c r="E2323" t="s">
        <v>4685</v>
      </c>
      <c r="F2323" t="s">
        <v>4685</v>
      </c>
      <c r="G2323" t="s">
        <v>4685</v>
      </c>
      <c r="H2323" s="2">
        <v>0</v>
      </c>
      <c r="I2323" t="s">
        <v>4685</v>
      </c>
      <c r="J2323" t="str">
        <f t="shared" si="10"/>
        <v>normalweight</v>
      </c>
    </row>
    <row r="2324" spans="1:10" ht="15.75" customHeight="1">
      <c r="A2324" t="s">
        <v>45</v>
      </c>
      <c r="B2324">
        <v>23.35</v>
      </c>
      <c r="C2324">
        <v>5.94</v>
      </c>
      <c r="D2324" t="s">
        <v>4733</v>
      </c>
      <c r="E2324" t="s">
        <v>4685</v>
      </c>
      <c r="F2324" t="s">
        <v>4685</v>
      </c>
      <c r="G2324" t="s">
        <v>4685</v>
      </c>
      <c r="H2324" s="2">
        <v>0</v>
      </c>
      <c r="I2324" t="s">
        <v>4685</v>
      </c>
      <c r="J2324" t="str">
        <f t="shared" si="10"/>
        <v>normalweight</v>
      </c>
    </row>
    <row r="2325" spans="1:10" ht="15.75" customHeight="1">
      <c r="A2325" t="s">
        <v>43</v>
      </c>
      <c r="B2325">
        <v>22.24</v>
      </c>
      <c r="C2325">
        <v>5.04</v>
      </c>
      <c r="D2325" t="s">
        <v>4733</v>
      </c>
      <c r="E2325" t="s">
        <v>4685</v>
      </c>
      <c r="F2325" t="s">
        <v>4685</v>
      </c>
      <c r="G2325" t="s">
        <v>4685</v>
      </c>
      <c r="H2325" s="2">
        <v>0</v>
      </c>
      <c r="I2325" t="s">
        <v>4685</v>
      </c>
      <c r="J2325" t="str">
        <f t="shared" si="10"/>
        <v>normalweight</v>
      </c>
    </row>
    <row r="2326" spans="1:10" ht="15.75" customHeight="1">
      <c r="A2326" t="s">
        <v>41</v>
      </c>
      <c r="B2326">
        <v>24.76</v>
      </c>
      <c r="C2326">
        <v>4.54</v>
      </c>
      <c r="D2326" t="s">
        <v>4732</v>
      </c>
      <c r="E2326" t="s">
        <v>4686</v>
      </c>
      <c r="F2326" t="s">
        <v>4685</v>
      </c>
      <c r="G2326" t="s">
        <v>4685</v>
      </c>
      <c r="H2326" s="2">
        <v>0</v>
      </c>
      <c r="I2326" t="s">
        <v>4685</v>
      </c>
      <c r="J2326" t="str">
        <f t="shared" si="10"/>
        <v>normalweight</v>
      </c>
    </row>
    <row r="2327" spans="1:10" ht="15.75" customHeight="1">
      <c r="A2327" t="s">
        <v>39</v>
      </c>
      <c r="B2327">
        <v>20.100000000000001</v>
      </c>
      <c r="C2327">
        <v>5.6</v>
      </c>
      <c r="D2327" t="s">
        <v>4733</v>
      </c>
      <c r="E2327" t="s">
        <v>4686</v>
      </c>
      <c r="F2327" t="s">
        <v>4685</v>
      </c>
      <c r="G2327" t="s">
        <v>4688</v>
      </c>
      <c r="H2327" s="2">
        <v>1</v>
      </c>
      <c r="I2327" t="s">
        <v>4685</v>
      </c>
      <c r="J2327" t="str">
        <f t="shared" si="10"/>
        <v>normalweight</v>
      </c>
    </row>
    <row r="2328" spans="1:10" ht="15.75" customHeight="1">
      <c r="A2328" t="s">
        <v>37</v>
      </c>
      <c r="B2328">
        <v>21.77</v>
      </c>
      <c r="C2328">
        <v>10.67</v>
      </c>
      <c r="D2328" s="6" t="s">
        <v>4684</v>
      </c>
      <c r="E2328" t="s">
        <v>4685</v>
      </c>
      <c r="F2328" t="s">
        <v>4685</v>
      </c>
      <c r="G2328" t="s">
        <v>4685</v>
      </c>
      <c r="H2328" s="2">
        <v>0</v>
      </c>
      <c r="I2328" t="s">
        <v>4685</v>
      </c>
      <c r="J2328" t="str">
        <f t="shared" si="10"/>
        <v>normalweight</v>
      </c>
    </row>
    <row r="2329" spans="1:10" ht="15.75" customHeight="1">
      <c r="A2329" t="s">
        <v>35</v>
      </c>
      <c r="B2329">
        <v>17.82</v>
      </c>
      <c r="C2329">
        <v>5.26</v>
      </c>
      <c r="D2329" t="s">
        <v>4732</v>
      </c>
      <c r="E2329" t="s">
        <v>4686</v>
      </c>
      <c r="F2329" t="s">
        <v>4685</v>
      </c>
      <c r="G2329" t="s">
        <v>4685</v>
      </c>
      <c r="H2329" s="2">
        <v>1</v>
      </c>
      <c r="I2329" t="s">
        <v>4685</v>
      </c>
      <c r="J2329" t="str">
        <f t="shared" si="10"/>
        <v>underweight</v>
      </c>
    </row>
    <row r="2330" spans="1:10" ht="15.75" customHeight="1">
      <c r="A2330" t="s">
        <v>33</v>
      </c>
      <c r="B2330">
        <v>17.07</v>
      </c>
      <c r="C2330">
        <v>5.22</v>
      </c>
      <c r="D2330" t="s">
        <v>4732</v>
      </c>
      <c r="E2330" t="s">
        <v>4685</v>
      </c>
      <c r="F2330" t="s">
        <v>4685</v>
      </c>
      <c r="G2330" t="s">
        <v>4688</v>
      </c>
      <c r="H2330" s="2">
        <v>1</v>
      </c>
      <c r="I2330" t="s">
        <v>4685</v>
      </c>
      <c r="J2330" t="str">
        <f t="shared" si="10"/>
        <v>underweight</v>
      </c>
    </row>
    <row r="2331" spans="1:10" ht="15.75" customHeight="1">
      <c r="A2331" t="s">
        <v>31</v>
      </c>
      <c r="B2331">
        <v>22.24</v>
      </c>
      <c r="C2331">
        <v>4.29</v>
      </c>
      <c r="D2331" t="s">
        <v>4732</v>
      </c>
      <c r="E2331" t="s">
        <v>4686</v>
      </c>
      <c r="F2331" t="s">
        <v>4685</v>
      </c>
      <c r="G2331" t="s">
        <v>4685</v>
      </c>
      <c r="H2331" s="2">
        <v>0</v>
      </c>
      <c r="I2331" t="s">
        <v>4685</v>
      </c>
      <c r="J2331" t="str">
        <f t="shared" si="10"/>
        <v>normalweight</v>
      </c>
    </row>
    <row r="2332" spans="1:10" ht="15.75" customHeight="1">
      <c r="A2332" t="s">
        <v>29</v>
      </c>
      <c r="B2332">
        <v>22.34</v>
      </c>
      <c r="C2332">
        <v>5.57</v>
      </c>
      <c r="D2332" t="s">
        <v>4733</v>
      </c>
      <c r="E2332" t="s">
        <v>4685</v>
      </c>
      <c r="F2332" t="s">
        <v>4685</v>
      </c>
      <c r="G2332" t="s">
        <v>4685</v>
      </c>
      <c r="H2332" s="2">
        <v>1</v>
      </c>
      <c r="I2332" t="s">
        <v>4685</v>
      </c>
      <c r="J2332" t="str">
        <f t="shared" si="10"/>
        <v>normalweight</v>
      </c>
    </row>
    <row r="2333" spans="1:10" ht="15.75" customHeight="1">
      <c r="A2333" t="s">
        <v>27</v>
      </c>
      <c r="B2333">
        <v>17.7</v>
      </c>
      <c r="C2333">
        <v>6.28</v>
      </c>
      <c r="D2333" t="s">
        <v>4733</v>
      </c>
      <c r="E2333" t="s">
        <v>4685</v>
      </c>
      <c r="F2333" t="s">
        <v>4685</v>
      </c>
      <c r="G2333" t="s">
        <v>4685</v>
      </c>
      <c r="H2333" s="2">
        <v>1</v>
      </c>
      <c r="I2333" t="s">
        <v>4685</v>
      </c>
      <c r="J2333" t="str">
        <f t="shared" si="10"/>
        <v>underweight</v>
      </c>
    </row>
    <row r="2334" spans="1:10" ht="15.75" customHeight="1">
      <c r="A2334" t="s">
        <v>25</v>
      </c>
      <c r="B2334">
        <v>16.47</v>
      </c>
      <c r="C2334">
        <v>6.35</v>
      </c>
      <c r="D2334" t="s">
        <v>4733</v>
      </c>
      <c r="E2334" t="s">
        <v>4685</v>
      </c>
      <c r="F2334" t="s">
        <v>4685</v>
      </c>
      <c r="G2334" t="s">
        <v>4688</v>
      </c>
      <c r="H2334" s="2">
        <v>1</v>
      </c>
      <c r="I2334" t="s">
        <v>4685</v>
      </c>
      <c r="J2334" t="str">
        <f t="shared" si="10"/>
        <v>underweight</v>
      </c>
    </row>
    <row r="2335" spans="1:10" ht="15.75" customHeight="1">
      <c r="A2335" t="s">
        <v>23</v>
      </c>
      <c r="B2335">
        <v>17.600000000000001</v>
      </c>
      <c r="C2335">
        <v>4.3899999999999997</v>
      </c>
      <c r="D2335" t="s">
        <v>4732</v>
      </c>
      <c r="E2335" t="s">
        <v>4685</v>
      </c>
      <c r="F2335" t="s">
        <v>4685</v>
      </c>
      <c r="G2335" t="s">
        <v>4685</v>
      </c>
      <c r="H2335" s="2">
        <v>1</v>
      </c>
      <c r="I2335" t="s">
        <v>4685</v>
      </c>
      <c r="J2335" t="str">
        <f t="shared" si="10"/>
        <v>underweight</v>
      </c>
    </row>
    <row r="2336" spans="1:10" ht="15.75" customHeight="1">
      <c r="A2336" t="s">
        <v>21</v>
      </c>
      <c r="B2336">
        <v>17.579999999999998</v>
      </c>
      <c r="C2336">
        <v>4.51</v>
      </c>
      <c r="D2336" t="s">
        <v>4732</v>
      </c>
      <c r="E2336" t="s">
        <v>4685</v>
      </c>
      <c r="F2336" t="s">
        <v>4685</v>
      </c>
      <c r="G2336" t="s">
        <v>4685</v>
      </c>
      <c r="H2336" s="2">
        <v>1</v>
      </c>
      <c r="I2336" t="s">
        <v>4685</v>
      </c>
      <c r="J2336" t="str">
        <f t="shared" si="10"/>
        <v>underweight</v>
      </c>
    </row>
    <row r="2337" spans="1:10" ht="15.75" customHeight="1">
      <c r="A2337" t="s">
        <v>19</v>
      </c>
      <c r="B2337">
        <v>23.98</v>
      </c>
      <c r="C2337">
        <v>4.9000000000000004</v>
      </c>
      <c r="D2337" t="s">
        <v>4732</v>
      </c>
      <c r="E2337" t="s">
        <v>4685</v>
      </c>
      <c r="F2337" t="s">
        <v>4685</v>
      </c>
      <c r="G2337" t="s">
        <v>4685</v>
      </c>
      <c r="H2337" s="2">
        <v>0</v>
      </c>
      <c r="I2337" t="s">
        <v>4685</v>
      </c>
      <c r="J2337" t="s">
        <v>4691</v>
      </c>
    </row>
    <row r="2338" spans="1:10" ht="15.75" customHeight="1">
      <c r="A2338" t="s">
        <v>17</v>
      </c>
      <c r="B2338">
        <v>23.98</v>
      </c>
      <c r="C2338">
        <v>4.9000000000000004</v>
      </c>
      <c r="D2338" t="s">
        <v>4732</v>
      </c>
      <c r="E2338" t="s">
        <v>4685</v>
      </c>
      <c r="F2338" t="s">
        <v>4685</v>
      </c>
      <c r="G2338" t="s">
        <v>4685</v>
      </c>
      <c r="H2338" s="2">
        <v>0</v>
      </c>
      <c r="I2338" t="s">
        <v>4685</v>
      </c>
      <c r="J2338" t="s">
        <v>4691</v>
      </c>
    </row>
    <row r="2339" spans="1:10" ht="15.75" customHeight="1">
      <c r="A2339" t="s">
        <v>15</v>
      </c>
      <c r="B2339">
        <v>25.175000000000001</v>
      </c>
      <c r="C2339">
        <v>4.96</v>
      </c>
      <c r="D2339" t="s">
        <v>4732</v>
      </c>
      <c r="E2339" t="s">
        <v>4685</v>
      </c>
      <c r="F2339" t="s">
        <v>4686</v>
      </c>
      <c r="G2339" t="s">
        <v>4685</v>
      </c>
      <c r="H2339" s="2">
        <v>1</v>
      </c>
      <c r="I2339" t="s">
        <v>4685</v>
      </c>
      <c r="J2339" t="s">
        <v>4691</v>
      </c>
    </row>
    <row r="2340" spans="1:10" ht="15.75" customHeight="1">
      <c r="A2340" t="s">
        <v>13</v>
      </c>
      <c r="B2340">
        <v>23.98</v>
      </c>
      <c r="C2340">
        <v>4.9000000000000004</v>
      </c>
      <c r="D2340" t="s">
        <v>4732</v>
      </c>
      <c r="E2340" t="s">
        <v>4685</v>
      </c>
      <c r="F2340" t="s">
        <v>4685</v>
      </c>
      <c r="G2340" t="s">
        <v>4685</v>
      </c>
      <c r="H2340" s="2">
        <v>0</v>
      </c>
      <c r="I2340" t="s">
        <v>4685</v>
      </c>
      <c r="J2340" t="s">
        <v>4691</v>
      </c>
    </row>
    <row r="2341" spans="1:10" ht="15.75" customHeight="1">
      <c r="A2341" t="s">
        <v>11</v>
      </c>
      <c r="B2341">
        <v>25.175000000000001</v>
      </c>
      <c r="C2341">
        <v>4.96</v>
      </c>
      <c r="D2341" t="s">
        <v>4732</v>
      </c>
      <c r="E2341" t="s">
        <v>4685</v>
      </c>
      <c r="F2341" t="s">
        <v>4686</v>
      </c>
      <c r="G2341" t="s">
        <v>4685</v>
      </c>
      <c r="H2341" s="2">
        <v>1</v>
      </c>
      <c r="I2341" t="s">
        <v>4685</v>
      </c>
      <c r="J2341" t="s">
        <v>4691</v>
      </c>
    </row>
    <row r="2342" spans="1:10" ht="15.75" customHeight="1">
      <c r="A2342" t="s">
        <v>9</v>
      </c>
      <c r="B2342">
        <v>23.98</v>
      </c>
      <c r="C2342">
        <v>4.9000000000000004</v>
      </c>
      <c r="D2342" t="s">
        <v>4732</v>
      </c>
      <c r="E2342" t="s">
        <v>4685</v>
      </c>
      <c r="F2342" t="s">
        <v>4685</v>
      </c>
      <c r="G2342" t="s">
        <v>4685</v>
      </c>
      <c r="H2342" s="2">
        <v>0</v>
      </c>
      <c r="I2342" t="s">
        <v>4685</v>
      </c>
      <c r="J2342" t="s">
        <v>4691</v>
      </c>
    </row>
    <row r="2343" spans="1:10" ht="15.75" customHeight="1">
      <c r="A2343" t="s">
        <v>7</v>
      </c>
      <c r="B2343">
        <v>25.175000000000001</v>
      </c>
      <c r="C2343">
        <v>4.96</v>
      </c>
      <c r="D2343" t="s">
        <v>4732</v>
      </c>
      <c r="E2343" t="s">
        <v>4685</v>
      </c>
      <c r="F2343" t="s">
        <v>4686</v>
      </c>
      <c r="G2343" t="s">
        <v>4685</v>
      </c>
      <c r="H2343" s="2">
        <v>1</v>
      </c>
      <c r="I2343" t="s">
        <v>4685</v>
      </c>
      <c r="J2343" t="s">
        <v>4691</v>
      </c>
    </row>
    <row r="2344" spans="1:10" ht="15.75" customHeight="1">
      <c r="A2344" t="s">
        <v>5</v>
      </c>
      <c r="B2344">
        <v>23.98</v>
      </c>
      <c r="C2344">
        <v>4.9000000000000004</v>
      </c>
      <c r="D2344" t="s">
        <v>4732</v>
      </c>
      <c r="E2344" t="s">
        <v>4685</v>
      </c>
      <c r="F2344" t="s">
        <v>4685</v>
      </c>
      <c r="G2344" t="s">
        <v>4685</v>
      </c>
      <c r="H2344" s="2">
        <v>0</v>
      </c>
      <c r="I2344" t="s">
        <v>4685</v>
      </c>
      <c r="J2344" t="s">
        <v>4691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F11" sqref="F11"/>
    </sheetView>
  </sheetViews>
  <sheetFormatPr defaultColWidth="8.88671875" defaultRowHeight="14.4"/>
  <cols>
    <col min="1" max="1" width="13.88671875"/>
    <col min="2" max="6" width="10"/>
    <col min="7" max="7" width="11.44140625"/>
    <col min="12" max="12" width="11.88671875"/>
    <col min="20" max="20" width="11.88671875"/>
    <col min="28" max="28" width="11.88671875"/>
    <col min="29" max="29" width="9"/>
    <col min="30" max="30" width="12"/>
    <col min="31" max="31" width="11.44140625"/>
  </cols>
  <sheetData>
    <row r="1" spans="1:7">
      <c r="A1" t="s">
        <v>0</v>
      </c>
      <c r="B1" t="s">
        <v>4692</v>
      </c>
    </row>
    <row r="2" spans="1:7">
      <c r="A2" t="s">
        <v>4693</v>
      </c>
      <c r="B2" t="s">
        <v>4692</v>
      </c>
    </row>
    <row r="4" spans="1:7">
      <c r="A4" t="s">
        <v>4694</v>
      </c>
      <c r="B4" t="s">
        <v>4695</v>
      </c>
    </row>
    <row r="5" spans="1:7">
      <c r="A5" t="s">
        <v>4696</v>
      </c>
      <c r="B5" t="s">
        <v>4697</v>
      </c>
      <c r="C5" t="s">
        <v>4698</v>
      </c>
      <c r="D5" t="s">
        <v>4699</v>
      </c>
      <c r="E5" t="s">
        <v>4700</v>
      </c>
      <c r="F5" t="s">
        <v>4701</v>
      </c>
      <c r="G5" t="s">
        <v>4702</v>
      </c>
    </row>
    <row r="6" spans="1:7">
      <c r="A6" t="s">
        <v>4697</v>
      </c>
      <c r="E6">
        <v>1</v>
      </c>
      <c r="G6">
        <v>1</v>
      </c>
    </row>
    <row r="7" spans="1:7">
      <c r="A7" t="s">
        <v>4698</v>
      </c>
      <c r="C7">
        <v>86</v>
      </c>
      <c r="D7">
        <v>110</v>
      </c>
      <c r="E7">
        <v>113</v>
      </c>
      <c r="G7">
        <v>309</v>
      </c>
    </row>
    <row r="8" spans="1:7">
      <c r="A8" t="s">
        <v>4699</v>
      </c>
      <c r="C8">
        <v>405</v>
      </c>
      <c r="D8">
        <v>480</v>
      </c>
      <c r="E8">
        <v>454</v>
      </c>
      <c r="G8">
        <v>1339</v>
      </c>
    </row>
    <row r="9" spans="1:7">
      <c r="A9" t="s">
        <v>4700</v>
      </c>
      <c r="B9">
        <v>1</v>
      </c>
      <c r="C9">
        <v>243</v>
      </c>
      <c r="D9">
        <v>222</v>
      </c>
      <c r="E9">
        <v>228</v>
      </c>
      <c r="G9">
        <v>694</v>
      </c>
    </row>
    <row r="10" spans="1:7">
      <c r="A10" t="s">
        <v>4701</v>
      </c>
    </row>
    <row r="11" spans="1:7">
      <c r="A11" t="s">
        <v>4702</v>
      </c>
      <c r="B11">
        <v>1</v>
      </c>
      <c r="C11">
        <v>734</v>
      </c>
      <c r="D11">
        <v>812</v>
      </c>
      <c r="E11">
        <v>796</v>
      </c>
      <c r="G11">
        <v>2343</v>
      </c>
    </row>
  </sheetData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44"/>
  <sheetViews>
    <sheetView tabSelected="1" workbookViewId="0">
      <selection activeCell="K5" sqref="K5"/>
    </sheetView>
  </sheetViews>
  <sheetFormatPr defaultColWidth="14.44140625" defaultRowHeight="15" customHeight="1"/>
  <cols>
    <col min="1" max="1" width="12.88671875" customWidth="1"/>
    <col min="2" max="5" width="8.6640625" customWidth="1"/>
    <col min="6" max="6" width="14.6640625" style="16" customWidth="1"/>
    <col min="7" max="7" width="12.5546875" bestFit="1" customWidth="1"/>
    <col min="8" max="9" width="8.6640625" customWidth="1"/>
    <col min="10" max="10" width="24.88671875" customWidth="1"/>
    <col min="11" max="11" width="24.88671875" style="20" customWidth="1"/>
    <col min="12" max="26" width="8.6640625" customWidth="1"/>
  </cols>
  <sheetData>
    <row r="1" spans="1:26" ht="18.75" customHeight="1">
      <c r="A1" s="14" t="s">
        <v>0</v>
      </c>
      <c r="B1" s="14" t="s">
        <v>4703</v>
      </c>
      <c r="C1" s="14" t="s">
        <v>4693</v>
      </c>
      <c r="D1" s="14" t="s">
        <v>4704</v>
      </c>
      <c r="E1" s="14" t="s">
        <v>4705</v>
      </c>
      <c r="F1" s="15" t="s">
        <v>4706</v>
      </c>
      <c r="G1" s="14" t="s">
        <v>4696</v>
      </c>
      <c r="H1" s="14" t="s">
        <v>4695</v>
      </c>
      <c r="I1" s="14" t="s">
        <v>4707</v>
      </c>
      <c r="J1" s="14" t="s">
        <v>4735</v>
      </c>
      <c r="K1" s="18" t="s">
        <v>4736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t="s">
        <v>4673</v>
      </c>
      <c r="B2">
        <v>1992</v>
      </c>
      <c r="C2" t="s">
        <v>4708</v>
      </c>
      <c r="D2">
        <v>9</v>
      </c>
      <c r="E2">
        <v>0</v>
      </c>
      <c r="F2" s="16">
        <v>563.84</v>
      </c>
      <c r="G2" t="s">
        <v>4699</v>
      </c>
      <c r="H2" t="s">
        <v>4700</v>
      </c>
      <c r="I2" t="s">
        <v>4709</v>
      </c>
      <c r="J2" s="17">
        <f>DATEVALUE(D2&amp;"-"&amp;C2&amp;" -"&amp;B2)</f>
        <v>33794</v>
      </c>
      <c r="K2">
        <f ca="1">DATEDIF(J2,TODAY(),"Y")</f>
        <v>33</v>
      </c>
      <c r="L2" s="19"/>
    </row>
    <row r="3" spans="1:26" ht="14.4">
      <c r="A3" t="s">
        <v>4671</v>
      </c>
      <c r="B3">
        <v>1992</v>
      </c>
      <c r="C3" t="s">
        <v>4710</v>
      </c>
      <c r="D3">
        <v>30</v>
      </c>
      <c r="E3">
        <v>0</v>
      </c>
      <c r="F3" s="16">
        <v>570.62</v>
      </c>
      <c r="G3" t="s">
        <v>4699</v>
      </c>
      <c r="H3" t="s">
        <v>4698</v>
      </c>
      <c r="I3" t="s">
        <v>4709</v>
      </c>
      <c r="J3" s="17">
        <f t="shared" ref="J3:J66" si="0">DATEVALUE(D3&amp;"-"&amp;C3&amp;" -"&amp;B3)</f>
        <v>33938</v>
      </c>
      <c r="K3">
        <f t="shared" ref="K3:K66" ca="1" si="1">DATEDIF(J3,TODAY(),"Y")</f>
        <v>32</v>
      </c>
    </row>
    <row r="4" spans="1:26" ht="14.4">
      <c r="A4" t="s">
        <v>4669</v>
      </c>
      <c r="B4">
        <v>1993</v>
      </c>
      <c r="C4" t="s">
        <v>4711</v>
      </c>
      <c r="D4">
        <v>30</v>
      </c>
      <c r="E4">
        <v>0</v>
      </c>
      <c r="F4" s="16">
        <v>600</v>
      </c>
      <c r="G4" t="s">
        <v>4699</v>
      </c>
      <c r="H4" t="s">
        <v>4698</v>
      </c>
      <c r="I4" t="s">
        <v>4709</v>
      </c>
      <c r="J4" s="17">
        <f t="shared" si="0"/>
        <v>34150</v>
      </c>
      <c r="K4">
        <f t="shared" ca="1" si="1"/>
        <v>32</v>
      </c>
    </row>
    <row r="5" spans="1:26" ht="14.4">
      <c r="A5" t="s">
        <v>4667</v>
      </c>
      <c r="B5">
        <v>1992</v>
      </c>
      <c r="C5" t="s">
        <v>4712</v>
      </c>
      <c r="D5">
        <v>13</v>
      </c>
      <c r="E5">
        <v>0</v>
      </c>
      <c r="F5" s="16">
        <v>604.54</v>
      </c>
      <c r="G5" t="s">
        <v>4700</v>
      </c>
      <c r="H5" t="s">
        <v>4700</v>
      </c>
      <c r="I5" t="s">
        <v>4709</v>
      </c>
      <c r="J5" s="17">
        <f t="shared" si="0"/>
        <v>33860</v>
      </c>
      <c r="K5">
        <f t="shared" ca="1" si="1"/>
        <v>33</v>
      </c>
    </row>
    <row r="6" spans="1:26" ht="14.4">
      <c r="A6" t="s">
        <v>4665</v>
      </c>
      <c r="B6">
        <v>1998</v>
      </c>
      <c r="C6" t="s">
        <v>4708</v>
      </c>
      <c r="D6">
        <v>27</v>
      </c>
      <c r="E6">
        <v>0</v>
      </c>
      <c r="F6" s="16">
        <v>637.26</v>
      </c>
      <c r="G6" t="s">
        <v>4700</v>
      </c>
      <c r="H6" t="s">
        <v>4700</v>
      </c>
      <c r="I6" t="s">
        <v>4709</v>
      </c>
      <c r="J6" s="17">
        <f t="shared" si="0"/>
        <v>36003</v>
      </c>
      <c r="K6">
        <f t="shared" ca="1" si="1"/>
        <v>27</v>
      </c>
    </row>
    <row r="7" spans="1:26" ht="14.4">
      <c r="A7" t="s">
        <v>4663</v>
      </c>
      <c r="B7">
        <v>2001</v>
      </c>
      <c r="C7" t="s">
        <v>4710</v>
      </c>
      <c r="D7">
        <v>20</v>
      </c>
      <c r="E7">
        <v>0</v>
      </c>
      <c r="F7" s="16">
        <v>646.14</v>
      </c>
      <c r="G7" t="s">
        <v>4700</v>
      </c>
      <c r="H7" t="s">
        <v>4700</v>
      </c>
      <c r="I7" t="s">
        <v>4713</v>
      </c>
      <c r="J7" s="17">
        <f t="shared" si="0"/>
        <v>37215</v>
      </c>
      <c r="K7">
        <f t="shared" ca="1" si="1"/>
        <v>24</v>
      </c>
    </row>
    <row r="8" spans="1:26" ht="14.4">
      <c r="A8" t="s">
        <v>4661</v>
      </c>
      <c r="B8">
        <v>1993</v>
      </c>
      <c r="C8" t="s">
        <v>4711</v>
      </c>
      <c r="D8">
        <v>1</v>
      </c>
      <c r="E8">
        <v>0</v>
      </c>
      <c r="F8" s="16">
        <v>650</v>
      </c>
      <c r="G8" t="s">
        <v>4700</v>
      </c>
      <c r="H8" t="s">
        <v>4700</v>
      </c>
      <c r="I8" t="s">
        <v>4709</v>
      </c>
      <c r="J8" s="17">
        <f t="shared" si="0"/>
        <v>34121</v>
      </c>
      <c r="K8">
        <f t="shared" ca="1" si="1"/>
        <v>32</v>
      </c>
    </row>
    <row r="9" spans="1:26" ht="14.4">
      <c r="A9" t="s">
        <v>4659</v>
      </c>
      <c r="B9">
        <v>1995</v>
      </c>
      <c r="C9" t="s">
        <v>4708</v>
      </c>
      <c r="D9">
        <v>4</v>
      </c>
      <c r="E9">
        <v>0</v>
      </c>
      <c r="F9" s="16">
        <v>650</v>
      </c>
      <c r="G9" t="s">
        <v>4700</v>
      </c>
      <c r="H9" t="s">
        <v>4700</v>
      </c>
      <c r="I9" t="s">
        <v>4709</v>
      </c>
      <c r="J9" s="17">
        <f t="shared" si="0"/>
        <v>34884</v>
      </c>
      <c r="K9">
        <f t="shared" ca="1" si="1"/>
        <v>30</v>
      </c>
    </row>
    <row r="10" spans="1:26" ht="14.4">
      <c r="A10" t="s">
        <v>4657</v>
      </c>
      <c r="B10">
        <v>2002</v>
      </c>
      <c r="C10" t="s">
        <v>4710</v>
      </c>
      <c r="D10">
        <v>29</v>
      </c>
      <c r="E10">
        <v>0</v>
      </c>
      <c r="F10" s="16">
        <v>668</v>
      </c>
      <c r="G10" t="s">
        <v>4700</v>
      </c>
      <c r="H10" t="s">
        <v>4699</v>
      </c>
      <c r="I10" t="s">
        <v>4713</v>
      </c>
      <c r="J10" s="17">
        <f t="shared" si="0"/>
        <v>37589</v>
      </c>
      <c r="K10">
        <f t="shared" ca="1" si="1"/>
        <v>22</v>
      </c>
    </row>
    <row r="11" spans="1:26" ht="14.4">
      <c r="A11" t="s">
        <v>4655</v>
      </c>
      <c r="B11">
        <v>1997</v>
      </c>
      <c r="C11" t="s">
        <v>4710</v>
      </c>
      <c r="D11">
        <v>9</v>
      </c>
      <c r="E11">
        <v>0</v>
      </c>
      <c r="F11" s="16">
        <v>670</v>
      </c>
      <c r="G11" t="s">
        <v>4700</v>
      </c>
      <c r="H11" t="s">
        <v>4700</v>
      </c>
      <c r="I11" t="s">
        <v>4709</v>
      </c>
      <c r="J11" s="17">
        <f t="shared" si="0"/>
        <v>35743</v>
      </c>
      <c r="K11">
        <f t="shared" ca="1" si="1"/>
        <v>28</v>
      </c>
    </row>
    <row r="12" spans="1:26" ht="14.4">
      <c r="A12" t="s">
        <v>4653</v>
      </c>
      <c r="B12">
        <v>2001</v>
      </c>
      <c r="C12" t="s">
        <v>4712</v>
      </c>
      <c r="D12">
        <v>12</v>
      </c>
      <c r="E12">
        <v>0</v>
      </c>
      <c r="F12" s="16">
        <v>687.54</v>
      </c>
      <c r="G12" t="s">
        <v>4700</v>
      </c>
      <c r="H12" t="s">
        <v>4699</v>
      </c>
      <c r="I12" t="s">
        <v>4709</v>
      </c>
      <c r="J12" s="17">
        <f t="shared" si="0"/>
        <v>37146</v>
      </c>
      <c r="K12">
        <f t="shared" ca="1" si="1"/>
        <v>24</v>
      </c>
    </row>
    <row r="13" spans="1:26" ht="14.4">
      <c r="A13" t="s">
        <v>4651</v>
      </c>
      <c r="B13">
        <v>1999</v>
      </c>
      <c r="C13" t="s">
        <v>4714</v>
      </c>
      <c r="D13">
        <v>26</v>
      </c>
      <c r="E13">
        <v>0</v>
      </c>
      <c r="F13" s="16">
        <v>700</v>
      </c>
      <c r="G13" t="s">
        <v>4715</v>
      </c>
      <c r="H13" t="s">
        <v>4700</v>
      </c>
      <c r="I13" t="s">
        <v>4709</v>
      </c>
      <c r="J13" s="17">
        <f t="shared" si="0"/>
        <v>36520</v>
      </c>
      <c r="K13">
        <f t="shared" ca="1" si="1"/>
        <v>25</v>
      </c>
    </row>
    <row r="14" spans="1:26" ht="14.4">
      <c r="A14" t="s">
        <v>4649</v>
      </c>
      <c r="B14">
        <v>1999</v>
      </c>
      <c r="C14" t="s">
        <v>4714</v>
      </c>
      <c r="D14">
        <v>14</v>
      </c>
      <c r="E14">
        <v>0</v>
      </c>
      <c r="F14" s="16">
        <v>722.99</v>
      </c>
      <c r="G14" t="s">
        <v>4700</v>
      </c>
      <c r="H14" t="s">
        <v>4698</v>
      </c>
      <c r="I14" t="s">
        <v>4709</v>
      </c>
      <c r="J14" s="17">
        <f t="shared" si="0"/>
        <v>36508</v>
      </c>
      <c r="K14">
        <f t="shared" ca="1" si="1"/>
        <v>25</v>
      </c>
    </row>
    <row r="15" spans="1:26" ht="14.4">
      <c r="A15" t="s">
        <v>4647</v>
      </c>
      <c r="B15">
        <v>2002</v>
      </c>
      <c r="C15" t="s">
        <v>4712</v>
      </c>
      <c r="D15">
        <v>19</v>
      </c>
      <c r="E15">
        <v>0</v>
      </c>
      <c r="F15" s="16">
        <v>750</v>
      </c>
      <c r="G15" t="s">
        <v>4700</v>
      </c>
      <c r="H15" t="s">
        <v>4698</v>
      </c>
      <c r="I15" t="s">
        <v>4713</v>
      </c>
      <c r="J15" s="17">
        <f t="shared" si="0"/>
        <v>37518</v>
      </c>
      <c r="K15">
        <f t="shared" ca="1" si="1"/>
        <v>23</v>
      </c>
    </row>
    <row r="16" spans="1:26" ht="14.4">
      <c r="A16" t="s">
        <v>4645</v>
      </c>
      <c r="B16">
        <v>1993</v>
      </c>
      <c r="C16" t="s">
        <v>4716</v>
      </c>
      <c r="D16">
        <v>9</v>
      </c>
      <c r="E16">
        <v>0</v>
      </c>
      <c r="F16" s="16">
        <v>760</v>
      </c>
      <c r="G16" t="s">
        <v>4700</v>
      </c>
      <c r="H16" t="s">
        <v>4698</v>
      </c>
      <c r="I16" t="s">
        <v>4709</v>
      </c>
      <c r="J16" s="17">
        <f t="shared" si="0"/>
        <v>34190</v>
      </c>
      <c r="K16">
        <f t="shared" ca="1" si="1"/>
        <v>32</v>
      </c>
    </row>
    <row r="17" spans="1:11" ht="14.4">
      <c r="A17" t="s">
        <v>4643</v>
      </c>
      <c r="B17">
        <v>1996</v>
      </c>
      <c r="C17" t="s">
        <v>4717</v>
      </c>
      <c r="D17">
        <v>22</v>
      </c>
      <c r="E17">
        <v>0</v>
      </c>
      <c r="F17" s="16">
        <v>760</v>
      </c>
      <c r="G17" t="s">
        <v>4700</v>
      </c>
      <c r="H17" t="s">
        <v>4700</v>
      </c>
      <c r="I17" t="s">
        <v>4709</v>
      </c>
      <c r="J17" s="17">
        <f t="shared" si="0"/>
        <v>35360</v>
      </c>
      <c r="K17">
        <f t="shared" ca="1" si="1"/>
        <v>29</v>
      </c>
    </row>
    <row r="18" spans="1:11" ht="14.4">
      <c r="A18" t="s">
        <v>4641</v>
      </c>
      <c r="B18">
        <v>1993</v>
      </c>
      <c r="C18" t="s">
        <v>4711</v>
      </c>
      <c r="D18">
        <v>28</v>
      </c>
      <c r="E18">
        <v>0</v>
      </c>
      <c r="F18" s="16">
        <v>770</v>
      </c>
      <c r="G18" t="s">
        <v>4700</v>
      </c>
      <c r="H18" t="s">
        <v>4700</v>
      </c>
      <c r="I18" t="s">
        <v>4709</v>
      </c>
      <c r="J18" s="17">
        <f t="shared" si="0"/>
        <v>34148</v>
      </c>
      <c r="K18">
        <f t="shared" ca="1" si="1"/>
        <v>32</v>
      </c>
    </row>
    <row r="19" spans="1:11" ht="14.4">
      <c r="A19" t="s">
        <v>4639</v>
      </c>
      <c r="B19">
        <v>1996</v>
      </c>
      <c r="C19" t="s">
        <v>4712</v>
      </c>
      <c r="D19">
        <v>18</v>
      </c>
      <c r="E19">
        <v>0</v>
      </c>
      <c r="F19" s="16">
        <v>770.38</v>
      </c>
      <c r="G19" t="s">
        <v>4700</v>
      </c>
      <c r="H19" t="s">
        <v>4715</v>
      </c>
      <c r="I19" t="s">
        <v>4713</v>
      </c>
      <c r="J19" s="17">
        <f t="shared" si="0"/>
        <v>35326</v>
      </c>
      <c r="K19">
        <f t="shared" ca="1" si="1"/>
        <v>29</v>
      </c>
    </row>
    <row r="20" spans="1:11" ht="14.4">
      <c r="A20" t="s">
        <v>4637</v>
      </c>
      <c r="B20">
        <v>1995</v>
      </c>
      <c r="C20" t="s">
        <v>4714</v>
      </c>
      <c r="D20">
        <v>7</v>
      </c>
      <c r="E20">
        <v>0</v>
      </c>
      <c r="F20" s="16">
        <v>773.54</v>
      </c>
      <c r="G20" t="s">
        <v>4715</v>
      </c>
      <c r="H20" t="s">
        <v>4699</v>
      </c>
      <c r="I20" t="s">
        <v>4709</v>
      </c>
      <c r="J20" s="17">
        <f t="shared" si="0"/>
        <v>35040</v>
      </c>
      <c r="K20">
        <f t="shared" ca="1" si="1"/>
        <v>29</v>
      </c>
    </row>
    <row r="21" spans="1:11" ht="15.75" customHeight="1">
      <c r="A21" t="s">
        <v>4635</v>
      </c>
      <c r="B21">
        <v>2004</v>
      </c>
      <c r="C21" t="s">
        <v>4717</v>
      </c>
      <c r="D21">
        <v>7</v>
      </c>
      <c r="E21">
        <v>0</v>
      </c>
      <c r="F21" s="16">
        <v>830.52</v>
      </c>
      <c r="G21" t="s">
        <v>4700</v>
      </c>
      <c r="H21" t="s">
        <v>4699</v>
      </c>
      <c r="I21" t="s">
        <v>4718</v>
      </c>
      <c r="J21" s="17">
        <f t="shared" si="0"/>
        <v>38267</v>
      </c>
      <c r="K21">
        <f t="shared" ca="1" si="1"/>
        <v>21</v>
      </c>
    </row>
    <row r="22" spans="1:11" ht="15.75" customHeight="1">
      <c r="A22" t="s">
        <v>4633</v>
      </c>
      <c r="B22">
        <v>2000</v>
      </c>
      <c r="C22" t="s">
        <v>4710</v>
      </c>
      <c r="D22">
        <v>18</v>
      </c>
      <c r="E22">
        <v>0</v>
      </c>
      <c r="F22" s="16">
        <v>865.41</v>
      </c>
      <c r="G22" t="s">
        <v>4700</v>
      </c>
      <c r="H22" t="s">
        <v>4698</v>
      </c>
      <c r="I22" t="s">
        <v>4709</v>
      </c>
      <c r="J22" s="17">
        <f t="shared" si="0"/>
        <v>36848</v>
      </c>
      <c r="K22">
        <f t="shared" ca="1" si="1"/>
        <v>25</v>
      </c>
    </row>
    <row r="23" spans="1:11" ht="15.75" customHeight="1">
      <c r="A23" t="s">
        <v>4631</v>
      </c>
      <c r="B23">
        <v>1993</v>
      </c>
      <c r="C23" t="s">
        <v>4710</v>
      </c>
      <c r="D23">
        <v>27</v>
      </c>
      <c r="E23">
        <v>0</v>
      </c>
      <c r="F23" s="16">
        <v>896.21</v>
      </c>
      <c r="G23" t="s">
        <v>4700</v>
      </c>
      <c r="H23" t="s">
        <v>4698</v>
      </c>
      <c r="I23" t="s">
        <v>4709</v>
      </c>
      <c r="J23" s="17">
        <f t="shared" si="0"/>
        <v>34300</v>
      </c>
      <c r="K23">
        <f t="shared" ca="1" si="1"/>
        <v>32</v>
      </c>
    </row>
    <row r="24" spans="1:11" ht="15.75" customHeight="1">
      <c r="A24" t="s">
        <v>4629</v>
      </c>
      <c r="B24">
        <v>1994</v>
      </c>
      <c r="C24" t="s">
        <v>4717</v>
      </c>
      <c r="D24">
        <v>30</v>
      </c>
      <c r="E24">
        <v>0</v>
      </c>
      <c r="F24" s="16">
        <v>915.07</v>
      </c>
      <c r="G24" t="s">
        <v>4700</v>
      </c>
      <c r="H24" t="s">
        <v>4698</v>
      </c>
      <c r="I24" t="s">
        <v>4709</v>
      </c>
      <c r="J24" s="17">
        <f t="shared" si="0"/>
        <v>34637</v>
      </c>
      <c r="K24">
        <f t="shared" ca="1" si="1"/>
        <v>31</v>
      </c>
    </row>
    <row r="25" spans="1:11" ht="15.75" customHeight="1">
      <c r="A25" t="s">
        <v>4627</v>
      </c>
      <c r="B25">
        <v>1995</v>
      </c>
      <c r="C25" t="s">
        <v>4717</v>
      </c>
      <c r="D25">
        <v>28</v>
      </c>
      <c r="E25">
        <v>0</v>
      </c>
      <c r="F25" s="16">
        <v>928.59</v>
      </c>
      <c r="G25" t="s">
        <v>4700</v>
      </c>
      <c r="H25" t="s">
        <v>4698</v>
      </c>
      <c r="I25" t="s">
        <v>4709</v>
      </c>
      <c r="J25" s="17">
        <f t="shared" si="0"/>
        <v>35000</v>
      </c>
      <c r="K25">
        <f t="shared" ca="1" si="1"/>
        <v>30</v>
      </c>
    </row>
    <row r="26" spans="1:11" ht="15.75" customHeight="1">
      <c r="A26" t="s">
        <v>4625</v>
      </c>
      <c r="B26">
        <v>2001</v>
      </c>
      <c r="C26" t="s">
        <v>4712</v>
      </c>
      <c r="D26">
        <v>19</v>
      </c>
      <c r="E26">
        <v>0</v>
      </c>
      <c r="F26" s="16">
        <v>964.71</v>
      </c>
      <c r="G26" t="s">
        <v>4700</v>
      </c>
      <c r="H26" t="s">
        <v>4699</v>
      </c>
      <c r="I26" t="s">
        <v>4709</v>
      </c>
      <c r="J26" s="17">
        <f t="shared" si="0"/>
        <v>37153</v>
      </c>
      <c r="K26">
        <f t="shared" ca="1" si="1"/>
        <v>24</v>
      </c>
    </row>
    <row r="27" spans="1:11" ht="15.75" customHeight="1">
      <c r="A27" t="s">
        <v>4623</v>
      </c>
      <c r="B27">
        <v>1994</v>
      </c>
      <c r="C27" t="s">
        <v>4710</v>
      </c>
      <c r="D27">
        <v>22</v>
      </c>
      <c r="E27">
        <v>0</v>
      </c>
      <c r="F27" s="16">
        <v>1006.65</v>
      </c>
      <c r="G27" t="s">
        <v>4700</v>
      </c>
      <c r="H27" t="s">
        <v>4699</v>
      </c>
      <c r="I27" t="s">
        <v>4709</v>
      </c>
      <c r="J27" s="17">
        <f t="shared" si="0"/>
        <v>34660</v>
      </c>
      <c r="K27">
        <f t="shared" ca="1" si="1"/>
        <v>31</v>
      </c>
    </row>
    <row r="28" spans="1:11" ht="15.75" customHeight="1">
      <c r="A28" t="s">
        <v>4621</v>
      </c>
      <c r="B28">
        <v>2000</v>
      </c>
      <c r="C28" t="s">
        <v>4717</v>
      </c>
      <c r="D28">
        <v>9</v>
      </c>
      <c r="E28">
        <v>0</v>
      </c>
      <c r="F28" s="16">
        <v>1012</v>
      </c>
      <c r="G28" t="s">
        <v>4700</v>
      </c>
      <c r="H28" t="s">
        <v>4699</v>
      </c>
      <c r="I28" t="s">
        <v>4709</v>
      </c>
      <c r="J28" s="17">
        <f t="shared" si="0"/>
        <v>36808</v>
      </c>
      <c r="K28">
        <f t="shared" ca="1" si="1"/>
        <v>25</v>
      </c>
    </row>
    <row r="29" spans="1:11" ht="15.75" customHeight="1">
      <c r="A29" t="s">
        <v>4619</v>
      </c>
      <c r="B29">
        <v>1999</v>
      </c>
      <c r="C29" t="s">
        <v>4716</v>
      </c>
      <c r="D29">
        <v>5</v>
      </c>
      <c r="E29">
        <v>0</v>
      </c>
      <c r="F29" s="16">
        <v>1019</v>
      </c>
      <c r="G29" t="s">
        <v>4700</v>
      </c>
      <c r="H29" t="s">
        <v>4699</v>
      </c>
      <c r="I29" t="s">
        <v>4709</v>
      </c>
      <c r="J29" s="17">
        <f t="shared" si="0"/>
        <v>36377</v>
      </c>
      <c r="K29">
        <f t="shared" ca="1" si="1"/>
        <v>26</v>
      </c>
    </row>
    <row r="30" spans="1:11" ht="15.75" customHeight="1">
      <c r="A30" t="s">
        <v>4617</v>
      </c>
      <c r="B30">
        <v>1995</v>
      </c>
      <c r="C30" t="s">
        <v>4717</v>
      </c>
      <c r="D30">
        <v>5</v>
      </c>
      <c r="E30">
        <v>0</v>
      </c>
      <c r="F30" s="16">
        <v>1033.74</v>
      </c>
      <c r="G30" t="s">
        <v>4700</v>
      </c>
      <c r="H30" t="s">
        <v>4698</v>
      </c>
      <c r="I30" t="s">
        <v>4709</v>
      </c>
      <c r="J30" s="17">
        <f t="shared" si="0"/>
        <v>34977</v>
      </c>
      <c r="K30">
        <f t="shared" ca="1" si="1"/>
        <v>30</v>
      </c>
    </row>
    <row r="31" spans="1:11" ht="15.75" customHeight="1">
      <c r="A31" t="s">
        <v>4615</v>
      </c>
      <c r="B31">
        <v>1994</v>
      </c>
      <c r="C31" t="s">
        <v>4710</v>
      </c>
      <c r="D31">
        <v>17</v>
      </c>
      <c r="E31">
        <v>0</v>
      </c>
      <c r="F31" s="16">
        <v>1044</v>
      </c>
      <c r="G31" t="s">
        <v>4700</v>
      </c>
      <c r="H31" t="s">
        <v>4699</v>
      </c>
      <c r="I31" t="s">
        <v>4709</v>
      </c>
      <c r="J31" s="17">
        <f t="shared" si="0"/>
        <v>34655</v>
      </c>
      <c r="K31">
        <f t="shared" ca="1" si="1"/>
        <v>31</v>
      </c>
    </row>
    <row r="32" spans="1:11" ht="15.75" customHeight="1">
      <c r="A32" t="s">
        <v>4613</v>
      </c>
      <c r="B32">
        <v>2002</v>
      </c>
      <c r="C32" t="s">
        <v>4708</v>
      </c>
      <c r="D32">
        <v>20</v>
      </c>
      <c r="E32">
        <v>0</v>
      </c>
      <c r="F32" s="16">
        <v>1047</v>
      </c>
      <c r="G32" t="s">
        <v>4700</v>
      </c>
      <c r="H32" t="s">
        <v>4698</v>
      </c>
      <c r="I32" t="s">
        <v>4709</v>
      </c>
      <c r="J32" s="17">
        <f t="shared" si="0"/>
        <v>37457</v>
      </c>
      <c r="K32">
        <f t="shared" ca="1" si="1"/>
        <v>23</v>
      </c>
    </row>
    <row r="33" spans="1:11" ht="15.75" customHeight="1">
      <c r="A33" t="s">
        <v>4611</v>
      </c>
      <c r="B33">
        <v>2002</v>
      </c>
      <c r="C33" t="s">
        <v>4708</v>
      </c>
      <c r="D33">
        <v>1</v>
      </c>
      <c r="E33">
        <v>0</v>
      </c>
      <c r="F33" s="16">
        <v>1049</v>
      </c>
      <c r="G33" t="s">
        <v>4700</v>
      </c>
      <c r="H33" t="s">
        <v>4699</v>
      </c>
      <c r="I33" t="s">
        <v>4713</v>
      </c>
      <c r="J33" s="17">
        <f t="shared" si="0"/>
        <v>37438</v>
      </c>
      <c r="K33">
        <f t="shared" ca="1" si="1"/>
        <v>23</v>
      </c>
    </row>
    <row r="34" spans="1:11" ht="15.75" customHeight="1">
      <c r="A34" t="s">
        <v>4609</v>
      </c>
      <c r="B34">
        <v>1995</v>
      </c>
      <c r="C34" t="s">
        <v>4711</v>
      </c>
      <c r="D34">
        <v>1</v>
      </c>
      <c r="E34">
        <v>0</v>
      </c>
      <c r="F34" s="16">
        <v>1056</v>
      </c>
      <c r="G34" t="s">
        <v>4700</v>
      </c>
      <c r="H34" t="s">
        <v>4699</v>
      </c>
      <c r="I34" t="s">
        <v>4709</v>
      </c>
      <c r="J34" s="17">
        <f t="shared" si="0"/>
        <v>34851</v>
      </c>
      <c r="K34">
        <f t="shared" ca="1" si="1"/>
        <v>30</v>
      </c>
    </row>
    <row r="35" spans="1:11" ht="15.75" customHeight="1">
      <c r="A35" t="s">
        <v>4607</v>
      </c>
      <c r="B35">
        <v>1993</v>
      </c>
      <c r="C35" t="s">
        <v>4712</v>
      </c>
      <c r="D35">
        <v>28</v>
      </c>
      <c r="E35">
        <v>0</v>
      </c>
      <c r="F35" s="16">
        <v>1068</v>
      </c>
      <c r="G35" t="s">
        <v>4700</v>
      </c>
      <c r="H35" t="s">
        <v>4698</v>
      </c>
      <c r="I35" t="s">
        <v>4709</v>
      </c>
      <c r="J35" s="17">
        <f t="shared" si="0"/>
        <v>34240</v>
      </c>
      <c r="K35">
        <f t="shared" ca="1" si="1"/>
        <v>32</v>
      </c>
    </row>
    <row r="36" spans="1:11" ht="15.75" customHeight="1">
      <c r="A36" t="s">
        <v>4605</v>
      </c>
      <c r="B36">
        <v>2004</v>
      </c>
      <c r="C36" t="s">
        <v>4716</v>
      </c>
      <c r="D36">
        <v>24</v>
      </c>
      <c r="E36">
        <v>0</v>
      </c>
      <c r="F36" s="16">
        <v>1070</v>
      </c>
      <c r="G36" t="s">
        <v>4700</v>
      </c>
      <c r="H36" t="s">
        <v>4700</v>
      </c>
      <c r="I36" t="s">
        <v>4709</v>
      </c>
      <c r="J36" s="17">
        <f t="shared" si="0"/>
        <v>38223</v>
      </c>
      <c r="K36">
        <f t="shared" ca="1" si="1"/>
        <v>21</v>
      </c>
    </row>
    <row r="37" spans="1:11" ht="15.75" customHeight="1">
      <c r="A37" t="s">
        <v>4603</v>
      </c>
      <c r="B37">
        <v>1997</v>
      </c>
      <c r="C37" t="s">
        <v>4716</v>
      </c>
      <c r="D37">
        <v>13</v>
      </c>
      <c r="E37">
        <v>0</v>
      </c>
      <c r="F37" s="16">
        <v>1071</v>
      </c>
      <c r="G37" t="s">
        <v>4700</v>
      </c>
      <c r="H37" t="s">
        <v>4700</v>
      </c>
      <c r="I37" t="s">
        <v>4709</v>
      </c>
      <c r="J37" s="17">
        <f t="shared" si="0"/>
        <v>35655</v>
      </c>
      <c r="K37">
        <f t="shared" ca="1" si="1"/>
        <v>28</v>
      </c>
    </row>
    <row r="38" spans="1:11" ht="15.75" customHeight="1">
      <c r="A38" t="s">
        <v>4601</v>
      </c>
      <c r="B38">
        <v>1998</v>
      </c>
      <c r="C38" t="s">
        <v>4714</v>
      </c>
      <c r="D38">
        <v>26</v>
      </c>
      <c r="E38">
        <v>0</v>
      </c>
      <c r="F38" s="16">
        <v>1082</v>
      </c>
      <c r="G38" t="s">
        <v>4700</v>
      </c>
      <c r="H38" t="s">
        <v>4699</v>
      </c>
      <c r="I38" t="s">
        <v>4709</v>
      </c>
      <c r="J38" s="17">
        <f t="shared" si="0"/>
        <v>36155</v>
      </c>
      <c r="K38">
        <f t="shared" ca="1" si="1"/>
        <v>26</v>
      </c>
    </row>
    <row r="39" spans="1:11" ht="15.75" customHeight="1">
      <c r="A39" t="s">
        <v>4599</v>
      </c>
      <c r="B39">
        <v>2002</v>
      </c>
      <c r="C39" t="s">
        <v>4716</v>
      </c>
      <c r="D39">
        <v>13</v>
      </c>
      <c r="E39">
        <v>0</v>
      </c>
      <c r="F39" s="16">
        <v>1086</v>
      </c>
      <c r="G39" t="s">
        <v>4700</v>
      </c>
      <c r="H39" t="s">
        <v>4700</v>
      </c>
      <c r="I39" t="s">
        <v>4709</v>
      </c>
      <c r="J39" s="17">
        <f t="shared" si="0"/>
        <v>37481</v>
      </c>
      <c r="K39">
        <f t="shared" ca="1" si="1"/>
        <v>23</v>
      </c>
    </row>
    <row r="40" spans="1:11" ht="15.75" customHeight="1">
      <c r="A40" t="s">
        <v>4597</v>
      </c>
      <c r="B40">
        <v>2004</v>
      </c>
      <c r="C40" t="s">
        <v>4710</v>
      </c>
      <c r="D40">
        <v>12</v>
      </c>
      <c r="E40">
        <v>0</v>
      </c>
      <c r="F40" s="16">
        <v>1121.8699999999999</v>
      </c>
      <c r="G40" t="s">
        <v>4700</v>
      </c>
      <c r="H40" t="s">
        <v>4698</v>
      </c>
      <c r="I40" t="s">
        <v>4709</v>
      </c>
      <c r="J40" s="17">
        <f t="shared" si="0"/>
        <v>38303</v>
      </c>
      <c r="K40">
        <f t="shared" ca="1" si="1"/>
        <v>21</v>
      </c>
    </row>
    <row r="41" spans="1:11" ht="15.75" customHeight="1">
      <c r="A41" t="s">
        <v>4595</v>
      </c>
      <c r="B41">
        <v>2004</v>
      </c>
      <c r="C41" t="s">
        <v>4711</v>
      </c>
      <c r="D41">
        <v>14</v>
      </c>
      <c r="E41">
        <v>0</v>
      </c>
      <c r="F41" s="16">
        <v>1131.51</v>
      </c>
      <c r="G41" t="s">
        <v>4700</v>
      </c>
      <c r="H41" t="s">
        <v>4698</v>
      </c>
      <c r="I41" t="s">
        <v>4709</v>
      </c>
      <c r="J41" s="17">
        <f t="shared" si="0"/>
        <v>38152</v>
      </c>
      <c r="K41">
        <f t="shared" ca="1" si="1"/>
        <v>21</v>
      </c>
    </row>
    <row r="42" spans="1:11" ht="15.75" customHeight="1">
      <c r="A42" t="s">
        <v>4591</v>
      </c>
      <c r="B42">
        <v>2004</v>
      </c>
      <c r="C42" t="s">
        <v>4717</v>
      </c>
      <c r="D42">
        <v>6</v>
      </c>
      <c r="E42">
        <v>0</v>
      </c>
      <c r="F42" s="16">
        <v>1135</v>
      </c>
      <c r="G42" t="s">
        <v>4700</v>
      </c>
      <c r="H42" t="s">
        <v>4700</v>
      </c>
      <c r="I42" t="s">
        <v>4709</v>
      </c>
      <c r="J42" s="17">
        <f t="shared" si="0"/>
        <v>38266</v>
      </c>
      <c r="K42">
        <f t="shared" ca="1" si="1"/>
        <v>21</v>
      </c>
    </row>
    <row r="43" spans="1:11" ht="15.75" customHeight="1">
      <c r="A43" t="s">
        <v>4589</v>
      </c>
      <c r="B43">
        <v>2004</v>
      </c>
      <c r="C43" t="s">
        <v>4711</v>
      </c>
      <c r="D43">
        <v>11</v>
      </c>
      <c r="E43">
        <v>0</v>
      </c>
      <c r="F43" s="16">
        <v>1135.94</v>
      </c>
      <c r="G43" t="s">
        <v>4700</v>
      </c>
      <c r="H43" t="s">
        <v>4700</v>
      </c>
      <c r="I43" t="s">
        <v>4709</v>
      </c>
      <c r="J43" s="17">
        <f t="shared" si="0"/>
        <v>38149</v>
      </c>
      <c r="K43">
        <f t="shared" ca="1" si="1"/>
        <v>21</v>
      </c>
    </row>
    <row r="44" spans="1:11" ht="15.75" customHeight="1">
      <c r="A44" t="s">
        <v>4587</v>
      </c>
      <c r="B44">
        <v>2004</v>
      </c>
      <c r="C44" t="s">
        <v>4710</v>
      </c>
      <c r="D44">
        <v>28</v>
      </c>
      <c r="E44">
        <v>0</v>
      </c>
      <c r="F44" s="16">
        <v>1136.4000000000001</v>
      </c>
      <c r="G44" t="s">
        <v>4700</v>
      </c>
      <c r="H44" t="s">
        <v>4700</v>
      </c>
      <c r="I44" t="s">
        <v>4709</v>
      </c>
      <c r="J44" s="17">
        <f t="shared" si="0"/>
        <v>38319</v>
      </c>
      <c r="K44">
        <f t="shared" ca="1" si="1"/>
        <v>20</v>
      </c>
    </row>
    <row r="45" spans="1:11" ht="15.75" customHeight="1">
      <c r="A45" t="s">
        <v>4585</v>
      </c>
      <c r="B45">
        <v>2002</v>
      </c>
      <c r="C45" t="s">
        <v>4716</v>
      </c>
      <c r="D45">
        <v>11</v>
      </c>
      <c r="E45">
        <v>0</v>
      </c>
      <c r="F45" s="16">
        <v>1137</v>
      </c>
      <c r="G45" t="s">
        <v>4700</v>
      </c>
      <c r="H45" t="s">
        <v>4698</v>
      </c>
      <c r="I45" t="s">
        <v>4709</v>
      </c>
      <c r="J45" s="17">
        <f t="shared" si="0"/>
        <v>37479</v>
      </c>
      <c r="K45">
        <f t="shared" ca="1" si="1"/>
        <v>23</v>
      </c>
    </row>
    <row r="46" spans="1:11" ht="15.75" customHeight="1">
      <c r="A46" t="s">
        <v>4697</v>
      </c>
      <c r="B46">
        <v>2004</v>
      </c>
      <c r="C46" t="s">
        <v>4710</v>
      </c>
      <c r="D46">
        <v>6</v>
      </c>
      <c r="E46">
        <v>0</v>
      </c>
      <c r="F46" s="16">
        <v>1137.01</v>
      </c>
      <c r="G46" t="s">
        <v>4700</v>
      </c>
      <c r="H46" t="s">
        <v>4698</v>
      </c>
      <c r="I46" t="s">
        <v>4709</v>
      </c>
      <c r="J46" s="17">
        <f t="shared" si="0"/>
        <v>38297</v>
      </c>
      <c r="K46">
        <f t="shared" ca="1" si="1"/>
        <v>21</v>
      </c>
    </row>
    <row r="47" spans="1:11" ht="15.75" customHeight="1">
      <c r="A47" t="s">
        <v>4583</v>
      </c>
      <c r="B47">
        <v>2004</v>
      </c>
      <c r="C47" t="s">
        <v>4717</v>
      </c>
      <c r="D47">
        <v>15</v>
      </c>
      <c r="E47">
        <v>0</v>
      </c>
      <c r="F47" s="16">
        <v>1137.01</v>
      </c>
      <c r="G47" t="s">
        <v>4700</v>
      </c>
      <c r="H47" t="s">
        <v>4698</v>
      </c>
      <c r="I47" t="s">
        <v>4709</v>
      </c>
      <c r="J47" s="17">
        <f t="shared" si="0"/>
        <v>38275</v>
      </c>
      <c r="K47">
        <f t="shared" ca="1" si="1"/>
        <v>21</v>
      </c>
    </row>
    <row r="48" spans="1:11" ht="15.75" customHeight="1">
      <c r="A48" t="s">
        <v>4581</v>
      </c>
      <c r="B48">
        <v>2004</v>
      </c>
      <c r="C48" t="s">
        <v>4710</v>
      </c>
      <c r="D48">
        <v>27</v>
      </c>
      <c r="E48">
        <v>0</v>
      </c>
      <c r="F48" s="16">
        <v>1137.47</v>
      </c>
      <c r="G48" t="s">
        <v>4700</v>
      </c>
      <c r="H48" t="s">
        <v>4699</v>
      </c>
      <c r="I48" t="s">
        <v>4709</v>
      </c>
      <c r="J48" s="17">
        <f t="shared" si="0"/>
        <v>38318</v>
      </c>
      <c r="K48">
        <f t="shared" ca="1" si="1"/>
        <v>21</v>
      </c>
    </row>
    <row r="49" spans="1:11" ht="15.75" customHeight="1">
      <c r="A49" t="s">
        <v>4579</v>
      </c>
      <c r="B49">
        <v>2001</v>
      </c>
      <c r="C49" t="s">
        <v>4717</v>
      </c>
      <c r="D49">
        <v>25</v>
      </c>
      <c r="E49">
        <v>0</v>
      </c>
      <c r="F49" s="16">
        <v>1141</v>
      </c>
      <c r="G49" t="s">
        <v>4700</v>
      </c>
      <c r="H49" t="s">
        <v>4698</v>
      </c>
      <c r="I49" t="s">
        <v>4709</v>
      </c>
      <c r="J49" s="17">
        <f t="shared" si="0"/>
        <v>37189</v>
      </c>
      <c r="K49">
        <f t="shared" ca="1" si="1"/>
        <v>24</v>
      </c>
    </row>
    <row r="50" spans="1:11" ht="15.75" customHeight="1">
      <c r="A50" t="s">
        <v>4577</v>
      </c>
      <c r="B50">
        <v>2004</v>
      </c>
      <c r="C50" t="s">
        <v>4712</v>
      </c>
      <c r="D50">
        <v>12</v>
      </c>
      <c r="E50">
        <v>0</v>
      </c>
      <c r="F50" s="16">
        <v>1141.45</v>
      </c>
      <c r="G50" t="s">
        <v>4700</v>
      </c>
      <c r="H50" t="s">
        <v>4700</v>
      </c>
      <c r="I50" t="s">
        <v>4709</v>
      </c>
      <c r="J50" s="17">
        <f t="shared" si="0"/>
        <v>38242</v>
      </c>
      <c r="K50">
        <f t="shared" ca="1" si="1"/>
        <v>21</v>
      </c>
    </row>
    <row r="51" spans="1:11" ht="15.75" customHeight="1">
      <c r="A51" t="s">
        <v>4575</v>
      </c>
      <c r="B51">
        <v>2002</v>
      </c>
      <c r="C51" t="s">
        <v>4717</v>
      </c>
      <c r="D51">
        <v>1</v>
      </c>
      <c r="E51">
        <v>0</v>
      </c>
      <c r="F51" s="16">
        <v>1142</v>
      </c>
      <c r="G51" t="s">
        <v>4700</v>
      </c>
      <c r="H51" t="s">
        <v>4699</v>
      </c>
      <c r="I51" t="s">
        <v>4718</v>
      </c>
      <c r="J51" s="17">
        <f t="shared" si="0"/>
        <v>37530</v>
      </c>
      <c r="K51">
        <f t="shared" ca="1" si="1"/>
        <v>23</v>
      </c>
    </row>
    <row r="52" spans="1:11" ht="15.75" customHeight="1">
      <c r="A52" t="s">
        <v>4573</v>
      </c>
      <c r="B52">
        <v>2004</v>
      </c>
      <c r="C52" t="s">
        <v>4711</v>
      </c>
      <c r="D52">
        <v>10</v>
      </c>
      <c r="E52">
        <v>0</v>
      </c>
      <c r="F52" s="16">
        <v>1146.8</v>
      </c>
      <c r="G52" t="s">
        <v>4699</v>
      </c>
      <c r="H52" t="s">
        <v>4699</v>
      </c>
      <c r="I52" t="s">
        <v>4709</v>
      </c>
      <c r="J52" s="17">
        <f t="shared" si="0"/>
        <v>38148</v>
      </c>
      <c r="K52">
        <f t="shared" ca="1" si="1"/>
        <v>21</v>
      </c>
    </row>
    <row r="53" spans="1:11" ht="15.75" customHeight="1">
      <c r="A53" t="s">
        <v>4571</v>
      </c>
      <c r="B53">
        <v>2003</v>
      </c>
      <c r="C53" t="s">
        <v>4711</v>
      </c>
      <c r="D53">
        <v>12</v>
      </c>
      <c r="E53">
        <v>0</v>
      </c>
      <c r="F53" s="16">
        <v>1149</v>
      </c>
      <c r="G53" t="s">
        <v>4699</v>
      </c>
      <c r="H53" t="s">
        <v>4698</v>
      </c>
      <c r="I53" t="s">
        <v>4713</v>
      </c>
      <c r="J53" s="17">
        <f t="shared" si="0"/>
        <v>37784</v>
      </c>
      <c r="K53">
        <f t="shared" ca="1" si="1"/>
        <v>22</v>
      </c>
    </row>
    <row r="54" spans="1:11" ht="15.75" customHeight="1">
      <c r="A54" t="s">
        <v>4569</v>
      </c>
      <c r="B54">
        <v>2004</v>
      </c>
      <c r="C54" t="s">
        <v>4708</v>
      </c>
      <c r="D54">
        <v>18</v>
      </c>
      <c r="E54">
        <v>0</v>
      </c>
      <c r="F54" s="16">
        <v>1149.4000000000001</v>
      </c>
      <c r="G54" t="s">
        <v>4699</v>
      </c>
      <c r="H54" t="s">
        <v>4699</v>
      </c>
      <c r="I54" t="s">
        <v>4709</v>
      </c>
      <c r="J54" s="17">
        <f t="shared" si="0"/>
        <v>38186</v>
      </c>
      <c r="K54">
        <f t="shared" ca="1" si="1"/>
        <v>21</v>
      </c>
    </row>
    <row r="55" spans="1:11" ht="15.75" customHeight="1">
      <c r="A55" t="s">
        <v>4593</v>
      </c>
      <c r="B55">
        <v>2002</v>
      </c>
      <c r="C55" t="s">
        <v>4708</v>
      </c>
      <c r="D55">
        <v>19</v>
      </c>
      <c r="E55">
        <v>0</v>
      </c>
      <c r="F55" s="16">
        <v>1132</v>
      </c>
      <c r="G55" t="s">
        <v>4700</v>
      </c>
      <c r="H55" t="s">
        <v>4698</v>
      </c>
      <c r="I55" t="s">
        <v>4709</v>
      </c>
      <c r="J55" s="17">
        <f t="shared" si="0"/>
        <v>37456</v>
      </c>
      <c r="K55">
        <f t="shared" ca="1" si="1"/>
        <v>23</v>
      </c>
    </row>
    <row r="56" spans="1:11" ht="15.75" customHeight="1">
      <c r="A56" t="s">
        <v>4567</v>
      </c>
      <c r="B56">
        <v>1994</v>
      </c>
      <c r="C56" t="s">
        <v>4708</v>
      </c>
      <c r="D56">
        <v>26</v>
      </c>
      <c r="E56">
        <v>0</v>
      </c>
      <c r="F56" s="16">
        <v>1158.32</v>
      </c>
      <c r="G56" t="s">
        <v>4699</v>
      </c>
      <c r="H56" t="s">
        <v>4698</v>
      </c>
      <c r="I56" t="s">
        <v>4709</v>
      </c>
      <c r="J56" s="17">
        <f t="shared" si="0"/>
        <v>34541</v>
      </c>
      <c r="K56">
        <f t="shared" ca="1" si="1"/>
        <v>31</v>
      </c>
    </row>
    <row r="57" spans="1:11" ht="15.75" customHeight="1">
      <c r="A57" t="s">
        <v>4565</v>
      </c>
      <c r="B57">
        <v>2004</v>
      </c>
      <c r="C57" t="s">
        <v>4710</v>
      </c>
      <c r="D57">
        <v>11</v>
      </c>
      <c r="E57">
        <v>0</v>
      </c>
      <c r="F57" s="16">
        <v>1163.46</v>
      </c>
      <c r="G57" t="s">
        <v>4699</v>
      </c>
      <c r="H57" t="s">
        <v>4700</v>
      </c>
      <c r="I57" t="s">
        <v>4709</v>
      </c>
      <c r="J57" s="17">
        <f t="shared" si="0"/>
        <v>38302</v>
      </c>
      <c r="K57">
        <f t="shared" ca="1" si="1"/>
        <v>21</v>
      </c>
    </row>
    <row r="58" spans="1:11" ht="15.75" customHeight="1">
      <c r="A58" t="s">
        <v>4563</v>
      </c>
      <c r="B58">
        <v>2002</v>
      </c>
      <c r="C58" t="s">
        <v>4711</v>
      </c>
      <c r="D58">
        <v>11</v>
      </c>
      <c r="E58">
        <v>0</v>
      </c>
      <c r="F58" s="16">
        <v>1165</v>
      </c>
      <c r="G58" t="s">
        <v>4699</v>
      </c>
      <c r="H58" t="s">
        <v>4700</v>
      </c>
      <c r="I58" t="s">
        <v>4713</v>
      </c>
      <c r="J58" s="17">
        <f t="shared" si="0"/>
        <v>37418</v>
      </c>
      <c r="K58">
        <f t="shared" ca="1" si="1"/>
        <v>23</v>
      </c>
    </row>
    <row r="59" spans="1:11" ht="15.75" customHeight="1">
      <c r="A59" t="s">
        <v>4561</v>
      </c>
      <c r="B59">
        <v>2001</v>
      </c>
      <c r="C59" t="s">
        <v>4710</v>
      </c>
      <c r="D59">
        <v>12</v>
      </c>
      <c r="E59">
        <v>0</v>
      </c>
      <c r="F59" s="16">
        <v>1167</v>
      </c>
      <c r="G59" t="s">
        <v>4699</v>
      </c>
      <c r="H59" t="s">
        <v>4698</v>
      </c>
      <c r="I59" t="s">
        <v>4709</v>
      </c>
      <c r="J59" s="17">
        <f t="shared" si="0"/>
        <v>37207</v>
      </c>
      <c r="K59">
        <f t="shared" ca="1" si="1"/>
        <v>24</v>
      </c>
    </row>
    <row r="60" spans="1:11" ht="15.75" customHeight="1">
      <c r="A60" t="s">
        <v>4559</v>
      </c>
      <c r="B60">
        <v>1996</v>
      </c>
      <c r="C60" t="s">
        <v>4716</v>
      </c>
      <c r="D60">
        <v>11</v>
      </c>
      <c r="E60">
        <v>0</v>
      </c>
      <c r="F60" s="16">
        <v>1178</v>
      </c>
      <c r="G60" t="s">
        <v>4699</v>
      </c>
      <c r="H60" t="s">
        <v>4700</v>
      </c>
      <c r="I60" t="s">
        <v>4709</v>
      </c>
      <c r="J60" s="17">
        <f t="shared" si="0"/>
        <v>35288</v>
      </c>
      <c r="K60">
        <f t="shared" ca="1" si="1"/>
        <v>29</v>
      </c>
    </row>
    <row r="61" spans="1:11" ht="15.75" customHeight="1">
      <c r="A61" t="s">
        <v>4557</v>
      </c>
      <c r="B61">
        <v>1997</v>
      </c>
      <c r="C61" t="s">
        <v>4711</v>
      </c>
      <c r="D61">
        <v>28</v>
      </c>
      <c r="E61">
        <v>0</v>
      </c>
      <c r="F61" s="16">
        <v>1178.07</v>
      </c>
      <c r="G61" t="s">
        <v>4699</v>
      </c>
      <c r="H61" t="s">
        <v>4699</v>
      </c>
      <c r="I61" t="s">
        <v>4709</v>
      </c>
      <c r="J61" s="17">
        <f t="shared" si="0"/>
        <v>35609</v>
      </c>
      <c r="K61">
        <f t="shared" ca="1" si="1"/>
        <v>28</v>
      </c>
    </row>
    <row r="62" spans="1:11" ht="15.75" customHeight="1">
      <c r="A62" t="s">
        <v>4555</v>
      </c>
      <c r="B62">
        <v>2002</v>
      </c>
      <c r="C62" t="s">
        <v>4716</v>
      </c>
      <c r="D62">
        <v>26</v>
      </c>
      <c r="E62">
        <v>0</v>
      </c>
      <c r="F62" s="16">
        <v>1191</v>
      </c>
      <c r="G62" t="s">
        <v>4699</v>
      </c>
      <c r="H62" t="s">
        <v>4698</v>
      </c>
      <c r="I62" t="s">
        <v>4709</v>
      </c>
      <c r="J62" s="17">
        <f t="shared" si="0"/>
        <v>37494</v>
      </c>
      <c r="K62">
        <f t="shared" ca="1" si="1"/>
        <v>23</v>
      </c>
    </row>
    <row r="63" spans="1:11" ht="15.75" customHeight="1">
      <c r="A63" t="s">
        <v>4553</v>
      </c>
      <c r="B63">
        <v>1999</v>
      </c>
      <c r="C63" t="s">
        <v>4711</v>
      </c>
      <c r="D63">
        <v>28</v>
      </c>
      <c r="E63">
        <v>0</v>
      </c>
      <c r="F63" s="16">
        <v>1200</v>
      </c>
      <c r="G63" t="s">
        <v>4699</v>
      </c>
      <c r="H63" t="s">
        <v>4700</v>
      </c>
      <c r="I63" t="s">
        <v>4713</v>
      </c>
      <c r="J63" s="17">
        <f t="shared" si="0"/>
        <v>36339</v>
      </c>
      <c r="K63">
        <f t="shared" ca="1" si="1"/>
        <v>26</v>
      </c>
    </row>
    <row r="64" spans="1:11" ht="15.75" customHeight="1">
      <c r="A64" t="s">
        <v>4551</v>
      </c>
      <c r="B64">
        <v>1992</v>
      </c>
      <c r="C64" t="s">
        <v>4717</v>
      </c>
      <c r="D64">
        <v>6</v>
      </c>
      <c r="E64">
        <v>0</v>
      </c>
      <c r="F64" s="16">
        <v>1200.55</v>
      </c>
      <c r="G64" t="s">
        <v>4699</v>
      </c>
      <c r="H64" t="s">
        <v>4700</v>
      </c>
      <c r="I64" t="s">
        <v>4709</v>
      </c>
      <c r="J64" s="17">
        <f t="shared" si="0"/>
        <v>33883</v>
      </c>
      <c r="K64">
        <f t="shared" ca="1" si="1"/>
        <v>33</v>
      </c>
    </row>
    <row r="65" spans="1:11" ht="15.75" customHeight="1">
      <c r="A65" t="s">
        <v>4549</v>
      </c>
      <c r="B65">
        <v>2004</v>
      </c>
      <c r="C65" t="s">
        <v>4711</v>
      </c>
      <c r="D65">
        <v>2</v>
      </c>
      <c r="E65">
        <v>0</v>
      </c>
      <c r="F65" s="16">
        <v>1210</v>
      </c>
      <c r="G65" t="s">
        <v>4699</v>
      </c>
      <c r="H65" t="s">
        <v>4698</v>
      </c>
      <c r="I65" t="s">
        <v>4709</v>
      </c>
      <c r="J65" s="17">
        <f t="shared" si="0"/>
        <v>38140</v>
      </c>
      <c r="K65">
        <f t="shared" ca="1" si="1"/>
        <v>21</v>
      </c>
    </row>
    <row r="66" spans="1:11" ht="15.75" customHeight="1">
      <c r="A66" t="s">
        <v>4547</v>
      </c>
      <c r="B66">
        <v>1996</v>
      </c>
      <c r="C66" t="s">
        <v>4710</v>
      </c>
      <c r="D66">
        <v>4</v>
      </c>
      <c r="E66">
        <v>0</v>
      </c>
      <c r="F66" s="16">
        <v>1220</v>
      </c>
      <c r="G66" t="s">
        <v>4699</v>
      </c>
      <c r="H66" t="s">
        <v>4700</v>
      </c>
      <c r="I66" t="s">
        <v>4713</v>
      </c>
      <c r="J66" s="17">
        <f t="shared" si="0"/>
        <v>35373</v>
      </c>
      <c r="K66">
        <f t="shared" ca="1" si="1"/>
        <v>29</v>
      </c>
    </row>
    <row r="67" spans="1:11" ht="15.75" customHeight="1">
      <c r="A67" t="s">
        <v>4545</v>
      </c>
      <c r="B67">
        <v>2004</v>
      </c>
      <c r="C67" t="s">
        <v>4708</v>
      </c>
      <c r="D67">
        <v>9</v>
      </c>
      <c r="E67">
        <v>0</v>
      </c>
      <c r="F67" s="16">
        <v>1224</v>
      </c>
      <c r="G67" t="s">
        <v>4699</v>
      </c>
      <c r="H67" t="s">
        <v>4698</v>
      </c>
      <c r="I67" t="s">
        <v>4709</v>
      </c>
      <c r="J67" s="17">
        <f t="shared" ref="J67:J130" si="2">DATEVALUE(D67&amp;"-"&amp;C67&amp;" -"&amp;B67)</f>
        <v>38177</v>
      </c>
      <c r="K67">
        <f t="shared" ref="K67:K130" ca="1" si="3">DATEDIF(J67,TODAY(),"Y")</f>
        <v>21</v>
      </c>
    </row>
    <row r="68" spans="1:11" ht="15.75" customHeight="1">
      <c r="A68" t="s">
        <v>4543</v>
      </c>
      <c r="B68">
        <v>2004</v>
      </c>
      <c r="C68" t="s">
        <v>4717</v>
      </c>
      <c r="D68">
        <v>16</v>
      </c>
      <c r="E68">
        <v>0</v>
      </c>
      <c r="F68" s="16">
        <v>1228</v>
      </c>
      <c r="G68" t="s">
        <v>4699</v>
      </c>
      <c r="H68" t="s">
        <v>4698</v>
      </c>
      <c r="I68" t="s">
        <v>4713</v>
      </c>
      <c r="J68" s="17">
        <f t="shared" si="2"/>
        <v>38276</v>
      </c>
      <c r="K68">
        <f t="shared" ca="1" si="3"/>
        <v>21</v>
      </c>
    </row>
    <row r="69" spans="1:11" ht="15.75" customHeight="1">
      <c r="A69" t="s">
        <v>4541</v>
      </c>
      <c r="B69">
        <v>1998</v>
      </c>
      <c r="C69" t="s">
        <v>4708</v>
      </c>
      <c r="D69">
        <v>13</v>
      </c>
      <c r="E69">
        <v>0</v>
      </c>
      <c r="F69" s="16">
        <v>1234</v>
      </c>
      <c r="G69" t="s">
        <v>4699</v>
      </c>
      <c r="H69" t="s">
        <v>4698</v>
      </c>
      <c r="I69" t="s">
        <v>4709</v>
      </c>
      <c r="J69" s="17">
        <f t="shared" si="2"/>
        <v>35989</v>
      </c>
      <c r="K69">
        <f t="shared" ca="1" si="3"/>
        <v>27</v>
      </c>
    </row>
    <row r="70" spans="1:11" ht="15.75" customHeight="1">
      <c r="A70" t="s">
        <v>4539</v>
      </c>
      <c r="B70">
        <v>2002</v>
      </c>
      <c r="C70" t="s">
        <v>4714</v>
      </c>
      <c r="D70">
        <v>12</v>
      </c>
      <c r="E70">
        <v>0</v>
      </c>
      <c r="F70" s="16">
        <v>1237</v>
      </c>
      <c r="G70" t="s">
        <v>4699</v>
      </c>
      <c r="H70" t="s">
        <v>4699</v>
      </c>
      <c r="I70" t="s">
        <v>4709</v>
      </c>
      <c r="J70" s="17">
        <f t="shared" si="2"/>
        <v>37602</v>
      </c>
      <c r="K70">
        <f t="shared" ca="1" si="3"/>
        <v>22</v>
      </c>
    </row>
    <row r="71" spans="1:11" ht="15.75" customHeight="1">
      <c r="A71" t="s">
        <v>4537</v>
      </c>
      <c r="B71">
        <v>1998</v>
      </c>
      <c r="C71" t="s">
        <v>4717</v>
      </c>
      <c r="D71">
        <v>11</v>
      </c>
      <c r="E71">
        <v>0</v>
      </c>
      <c r="F71" s="16">
        <v>1240</v>
      </c>
      <c r="G71" t="s">
        <v>4699</v>
      </c>
      <c r="H71" t="s">
        <v>4698</v>
      </c>
      <c r="I71" t="s">
        <v>4713</v>
      </c>
      <c r="J71" s="17">
        <f t="shared" si="2"/>
        <v>36079</v>
      </c>
      <c r="K71">
        <f t="shared" ca="1" si="3"/>
        <v>27</v>
      </c>
    </row>
    <row r="72" spans="1:11" ht="15.75" customHeight="1">
      <c r="A72" t="s">
        <v>4535</v>
      </c>
      <c r="B72">
        <v>2002</v>
      </c>
      <c r="C72" t="s">
        <v>4708</v>
      </c>
      <c r="D72">
        <v>1</v>
      </c>
      <c r="E72">
        <v>0</v>
      </c>
      <c r="F72" s="16">
        <v>1241</v>
      </c>
      <c r="G72" t="s">
        <v>4699</v>
      </c>
      <c r="H72" t="s">
        <v>4699</v>
      </c>
      <c r="I72" t="s">
        <v>4709</v>
      </c>
      <c r="J72" s="17">
        <f t="shared" si="2"/>
        <v>37438</v>
      </c>
      <c r="K72">
        <f t="shared" ca="1" si="3"/>
        <v>23</v>
      </c>
    </row>
    <row r="73" spans="1:11" ht="15.75" customHeight="1">
      <c r="A73" t="s">
        <v>4533</v>
      </c>
      <c r="B73">
        <v>2003</v>
      </c>
      <c r="C73" t="s">
        <v>4716</v>
      </c>
      <c r="D73">
        <v>2</v>
      </c>
      <c r="E73">
        <v>0</v>
      </c>
      <c r="F73" s="16">
        <v>1241.57</v>
      </c>
      <c r="G73" t="s">
        <v>4699</v>
      </c>
      <c r="H73" t="s">
        <v>4699</v>
      </c>
      <c r="I73" t="s">
        <v>4718</v>
      </c>
      <c r="J73" s="17">
        <f t="shared" si="2"/>
        <v>37835</v>
      </c>
      <c r="K73">
        <f t="shared" ca="1" si="3"/>
        <v>22</v>
      </c>
    </row>
    <row r="74" spans="1:11" ht="15.75" customHeight="1">
      <c r="A74" t="s">
        <v>4531</v>
      </c>
      <c r="B74">
        <v>2003</v>
      </c>
      <c r="C74" t="s">
        <v>4712</v>
      </c>
      <c r="D74">
        <v>15</v>
      </c>
      <c r="E74">
        <v>0</v>
      </c>
      <c r="F74" s="16">
        <v>1242.26</v>
      </c>
      <c r="G74" t="s">
        <v>4699</v>
      </c>
      <c r="H74" t="s">
        <v>4698</v>
      </c>
      <c r="I74" t="s">
        <v>4718</v>
      </c>
      <c r="J74" s="17">
        <f t="shared" si="2"/>
        <v>37879</v>
      </c>
      <c r="K74">
        <f t="shared" ca="1" si="3"/>
        <v>22</v>
      </c>
    </row>
    <row r="75" spans="1:11" ht="15.75" customHeight="1">
      <c r="A75" t="s">
        <v>4529</v>
      </c>
      <c r="B75">
        <v>2003</v>
      </c>
      <c r="C75" t="s">
        <v>4712</v>
      </c>
      <c r="D75">
        <v>8</v>
      </c>
      <c r="E75">
        <v>0</v>
      </c>
      <c r="F75" s="16">
        <v>1242.82</v>
      </c>
      <c r="G75" t="s">
        <v>4699</v>
      </c>
      <c r="H75" t="s">
        <v>4698</v>
      </c>
      <c r="I75" t="s">
        <v>4718</v>
      </c>
      <c r="J75" s="17">
        <f t="shared" si="2"/>
        <v>37872</v>
      </c>
      <c r="K75">
        <f t="shared" ca="1" si="3"/>
        <v>22</v>
      </c>
    </row>
    <row r="76" spans="1:11" ht="15.75" customHeight="1">
      <c r="A76" t="s">
        <v>4527</v>
      </c>
      <c r="B76">
        <v>2003</v>
      </c>
      <c r="C76" t="s">
        <v>4712</v>
      </c>
      <c r="D76">
        <v>15</v>
      </c>
      <c r="E76">
        <v>0</v>
      </c>
      <c r="F76" s="16">
        <v>1252.4100000000001</v>
      </c>
      <c r="G76" t="s">
        <v>4699</v>
      </c>
      <c r="H76" t="s">
        <v>4700</v>
      </c>
      <c r="I76" t="s">
        <v>4718</v>
      </c>
      <c r="J76" s="17">
        <f t="shared" si="2"/>
        <v>37879</v>
      </c>
      <c r="K76">
        <f t="shared" ca="1" si="3"/>
        <v>22</v>
      </c>
    </row>
    <row r="77" spans="1:11" ht="15.75" customHeight="1">
      <c r="A77" t="s">
        <v>4525</v>
      </c>
      <c r="B77">
        <v>1997</v>
      </c>
      <c r="C77" t="s">
        <v>4710</v>
      </c>
      <c r="D77">
        <v>4</v>
      </c>
      <c r="E77">
        <v>0</v>
      </c>
      <c r="F77" s="16">
        <v>1253</v>
      </c>
      <c r="G77" t="s">
        <v>4699</v>
      </c>
      <c r="H77" t="s">
        <v>4699</v>
      </c>
      <c r="I77" t="s">
        <v>4709</v>
      </c>
      <c r="J77" s="17">
        <f t="shared" si="2"/>
        <v>35738</v>
      </c>
      <c r="K77">
        <f t="shared" ca="1" si="3"/>
        <v>28</v>
      </c>
    </row>
    <row r="78" spans="1:11" ht="15.75" customHeight="1">
      <c r="A78" t="s">
        <v>4523</v>
      </c>
      <c r="B78">
        <v>2003</v>
      </c>
      <c r="C78" t="s">
        <v>4714</v>
      </c>
      <c r="D78">
        <v>10</v>
      </c>
      <c r="E78">
        <v>0</v>
      </c>
      <c r="F78" s="16">
        <v>1253.94</v>
      </c>
      <c r="G78" t="s">
        <v>4699</v>
      </c>
      <c r="H78" t="s">
        <v>4699</v>
      </c>
      <c r="I78" t="s">
        <v>4718</v>
      </c>
      <c r="J78" s="17">
        <f t="shared" si="2"/>
        <v>37965</v>
      </c>
      <c r="K78">
        <f t="shared" ca="1" si="3"/>
        <v>21</v>
      </c>
    </row>
    <row r="79" spans="1:11" ht="15.75" customHeight="1">
      <c r="A79" t="s">
        <v>4521</v>
      </c>
      <c r="B79">
        <v>2003</v>
      </c>
      <c r="C79" t="s">
        <v>4717</v>
      </c>
      <c r="D79">
        <v>13</v>
      </c>
      <c r="E79">
        <v>0</v>
      </c>
      <c r="F79" s="16">
        <v>1256.3</v>
      </c>
      <c r="G79" t="s">
        <v>4699</v>
      </c>
      <c r="H79" t="s">
        <v>4700</v>
      </c>
      <c r="I79" t="s">
        <v>4718</v>
      </c>
      <c r="J79" s="17">
        <f t="shared" si="2"/>
        <v>37907</v>
      </c>
      <c r="K79">
        <f t="shared" ca="1" si="3"/>
        <v>22</v>
      </c>
    </row>
    <row r="80" spans="1:11" ht="15.75" customHeight="1">
      <c r="A80" t="s">
        <v>4519</v>
      </c>
      <c r="B80">
        <v>2003</v>
      </c>
      <c r="C80" t="s">
        <v>4717</v>
      </c>
      <c r="D80">
        <v>30</v>
      </c>
      <c r="E80">
        <v>0</v>
      </c>
      <c r="F80" s="16">
        <v>1261.44</v>
      </c>
      <c r="G80" t="s">
        <v>4699</v>
      </c>
      <c r="H80" t="s">
        <v>4700</v>
      </c>
      <c r="I80" t="s">
        <v>4718</v>
      </c>
      <c r="J80" s="17">
        <f t="shared" si="2"/>
        <v>37924</v>
      </c>
      <c r="K80">
        <f t="shared" ca="1" si="3"/>
        <v>22</v>
      </c>
    </row>
    <row r="81" spans="1:11" ht="15.75" customHeight="1">
      <c r="A81" t="s">
        <v>4517</v>
      </c>
      <c r="B81">
        <v>2003</v>
      </c>
      <c r="C81" t="s">
        <v>4716</v>
      </c>
      <c r="D81">
        <v>15</v>
      </c>
      <c r="E81">
        <v>0</v>
      </c>
      <c r="F81" s="16">
        <v>1261.8599999999999</v>
      </c>
      <c r="G81" t="s">
        <v>4699</v>
      </c>
      <c r="H81" t="s">
        <v>4700</v>
      </c>
      <c r="I81" t="s">
        <v>4718</v>
      </c>
      <c r="J81" s="17">
        <f t="shared" si="2"/>
        <v>37848</v>
      </c>
      <c r="K81">
        <f t="shared" ca="1" si="3"/>
        <v>22</v>
      </c>
    </row>
    <row r="82" spans="1:11" ht="15.75" customHeight="1">
      <c r="A82" t="s">
        <v>4515</v>
      </c>
      <c r="B82">
        <v>2003</v>
      </c>
      <c r="C82" t="s">
        <v>4710</v>
      </c>
      <c r="D82">
        <v>21</v>
      </c>
      <c r="E82">
        <v>0</v>
      </c>
      <c r="F82" s="16">
        <v>1263.25</v>
      </c>
      <c r="G82" t="s">
        <v>4699</v>
      </c>
      <c r="H82" t="s">
        <v>4700</v>
      </c>
      <c r="I82" t="s">
        <v>4718</v>
      </c>
      <c r="J82" s="17">
        <f t="shared" si="2"/>
        <v>37946</v>
      </c>
      <c r="K82">
        <f t="shared" ca="1" si="3"/>
        <v>22</v>
      </c>
    </row>
    <row r="83" spans="1:11" ht="15.75" customHeight="1">
      <c r="A83" t="s">
        <v>4513</v>
      </c>
      <c r="B83">
        <v>2002</v>
      </c>
      <c r="C83" t="s">
        <v>4714</v>
      </c>
      <c r="D83">
        <v>4</v>
      </c>
      <c r="E83">
        <v>0</v>
      </c>
      <c r="F83" s="16">
        <v>1267</v>
      </c>
      <c r="G83" t="s">
        <v>4699</v>
      </c>
      <c r="H83" t="s">
        <v>4698</v>
      </c>
      <c r="I83" t="s">
        <v>4709</v>
      </c>
      <c r="J83" s="17">
        <f t="shared" si="2"/>
        <v>37594</v>
      </c>
      <c r="K83">
        <f t="shared" ca="1" si="3"/>
        <v>22</v>
      </c>
    </row>
    <row r="84" spans="1:11" ht="15.75" customHeight="1">
      <c r="A84" t="s">
        <v>4511</v>
      </c>
      <c r="B84">
        <v>1997</v>
      </c>
      <c r="C84" t="s">
        <v>4717</v>
      </c>
      <c r="D84">
        <v>26</v>
      </c>
      <c r="E84">
        <v>0</v>
      </c>
      <c r="F84" s="16">
        <v>1276</v>
      </c>
      <c r="G84" t="s">
        <v>4699</v>
      </c>
      <c r="H84" t="s">
        <v>4699</v>
      </c>
      <c r="I84" t="s">
        <v>4713</v>
      </c>
      <c r="J84" s="17">
        <f t="shared" si="2"/>
        <v>35729</v>
      </c>
      <c r="K84">
        <f t="shared" ca="1" si="3"/>
        <v>28</v>
      </c>
    </row>
    <row r="85" spans="1:11" ht="15.75" customHeight="1">
      <c r="A85" t="s">
        <v>4509</v>
      </c>
      <c r="B85">
        <v>2004</v>
      </c>
      <c r="C85" t="s">
        <v>4712</v>
      </c>
      <c r="D85">
        <v>30</v>
      </c>
      <c r="E85">
        <v>0</v>
      </c>
      <c r="F85" s="16">
        <v>1283</v>
      </c>
      <c r="G85" t="s">
        <v>4699</v>
      </c>
      <c r="H85" t="s">
        <v>4698</v>
      </c>
      <c r="I85" t="s">
        <v>4709</v>
      </c>
      <c r="J85" s="17">
        <f t="shared" si="2"/>
        <v>38260</v>
      </c>
      <c r="K85">
        <f t="shared" ca="1" si="3"/>
        <v>21</v>
      </c>
    </row>
    <row r="86" spans="1:11" ht="15.75" customHeight="1">
      <c r="A86" t="s">
        <v>4507</v>
      </c>
      <c r="B86">
        <v>2004</v>
      </c>
      <c r="C86" t="s">
        <v>4708</v>
      </c>
      <c r="D86">
        <v>28</v>
      </c>
      <c r="E86">
        <v>0</v>
      </c>
      <c r="F86" s="16">
        <v>1285</v>
      </c>
      <c r="G86" t="s">
        <v>4699</v>
      </c>
      <c r="H86" t="s">
        <v>4700</v>
      </c>
      <c r="I86" t="s">
        <v>4709</v>
      </c>
      <c r="J86" s="17">
        <f t="shared" si="2"/>
        <v>38196</v>
      </c>
      <c r="K86">
        <f t="shared" ca="1" si="3"/>
        <v>21</v>
      </c>
    </row>
    <row r="87" spans="1:11" ht="15.75" customHeight="1">
      <c r="A87" t="s">
        <v>4505</v>
      </c>
      <c r="B87">
        <v>2000</v>
      </c>
      <c r="C87" t="s">
        <v>4711</v>
      </c>
      <c r="D87">
        <v>26</v>
      </c>
      <c r="E87">
        <v>0</v>
      </c>
      <c r="F87" s="16">
        <v>1286</v>
      </c>
      <c r="G87" t="s">
        <v>4699</v>
      </c>
      <c r="H87" t="s">
        <v>4699</v>
      </c>
      <c r="I87" t="s">
        <v>4709</v>
      </c>
      <c r="J87" s="17">
        <f t="shared" si="2"/>
        <v>36703</v>
      </c>
      <c r="K87">
        <f t="shared" ca="1" si="3"/>
        <v>25</v>
      </c>
    </row>
    <row r="88" spans="1:11" ht="15.75" customHeight="1">
      <c r="A88" t="s">
        <v>4503</v>
      </c>
      <c r="B88">
        <v>1998</v>
      </c>
      <c r="C88" t="s">
        <v>4711</v>
      </c>
      <c r="D88">
        <v>4</v>
      </c>
      <c r="E88">
        <v>0</v>
      </c>
      <c r="F88" s="16">
        <v>1290.93</v>
      </c>
      <c r="G88" t="s">
        <v>4699</v>
      </c>
      <c r="H88" t="s">
        <v>4699</v>
      </c>
      <c r="I88" t="s">
        <v>4709</v>
      </c>
      <c r="J88" s="17">
        <f t="shared" si="2"/>
        <v>35950</v>
      </c>
      <c r="K88">
        <f t="shared" ca="1" si="3"/>
        <v>27</v>
      </c>
    </row>
    <row r="89" spans="1:11" ht="15.75" customHeight="1">
      <c r="A89" t="s">
        <v>4501</v>
      </c>
      <c r="B89">
        <v>2001</v>
      </c>
      <c r="C89" t="s">
        <v>4710</v>
      </c>
      <c r="D89">
        <v>29</v>
      </c>
      <c r="E89">
        <v>0</v>
      </c>
      <c r="F89" s="16">
        <v>1293</v>
      </c>
      <c r="G89" t="s">
        <v>4699</v>
      </c>
      <c r="H89" t="s">
        <v>4700</v>
      </c>
      <c r="I89" t="s">
        <v>4713</v>
      </c>
      <c r="J89" s="17">
        <f t="shared" si="2"/>
        <v>37224</v>
      </c>
      <c r="K89">
        <f t="shared" ca="1" si="3"/>
        <v>23</v>
      </c>
    </row>
    <row r="90" spans="1:11" ht="15.75" customHeight="1">
      <c r="A90" t="s">
        <v>4499</v>
      </c>
      <c r="B90">
        <v>2002</v>
      </c>
      <c r="C90" t="s">
        <v>4714</v>
      </c>
      <c r="D90">
        <v>10</v>
      </c>
      <c r="E90">
        <v>0</v>
      </c>
      <c r="F90" s="16">
        <v>1304</v>
      </c>
      <c r="G90" t="s">
        <v>4699</v>
      </c>
      <c r="H90" t="s">
        <v>4699</v>
      </c>
      <c r="I90" t="s">
        <v>4713</v>
      </c>
      <c r="J90" s="17">
        <f t="shared" si="2"/>
        <v>37600</v>
      </c>
      <c r="K90">
        <f t="shared" ca="1" si="3"/>
        <v>22</v>
      </c>
    </row>
    <row r="91" spans="1:11" ht="15.75" customHeight="1">
      <c r="A91" t="s">
        <v>4497</v>
      </c>
      <c r="B91">
        <v>1999</v>
      </c>
      <c r="C91" t="s">
        <v>4714</v>
      </c>
      <c r="D91">
        <v>2</v>
      </c>
      <c r="E91">
        <v>0</v>
      </c>
      <c r="F91" s="16">
        <v>1304</v>
      </c>
      <c r="G91" t="s">
        <v>4699</v>
      </c>
      <c r="H91" t="s">
        <v>4699</v>
      </c>
      <c r="I91" t="s">
        <v>4709</v>
      </c>
      <c r="J91" s="17">
        <f t="shared" si="2"/>
        <v>36496</v>
      </c>
      <c r="K91">
        <f t="shared" ca="1" si="3"/>
        <v>25</v>
      </c>
    </row>
    <row r="92" spans="1:11" ht="15.75" customHeight="1">
      <c r="A92" t="s">
        <v>4495</v>
      </c>
      <c r="B92">
        <v>2002</v>
      </c>
      <c r="C92" t="s">
        <v>4717</v>
      </c>
      <c r="D92">
        <v>13</v>
      </c>
      <c r="E92">
        <v>0</v>
      </c>
      <c r="F92" s="16">
        <v>1315</v>
      </c>
      <c r="G92" t="s">
        <v>4699</v>
      </c>
      <c r="H92" t="s">
        <v>4699</v>
      </c>
      <c r="I92" t="s">
        <v>4709</v>
      </c>
      <c r="J92" s="17">
        <f t="shared" si="2"/>
        <v>37542</v>
      </c>
      <c r="K92">
        <f t="shared" ca="1" si="3"/>
        <v>23</v>
      </c>
    </row>
    <row r="93" spans="1:11" ht="15.75" customHeight="1">
      <c r="A93" t="s">
        <v>4493</v>
      </c>
      <c r="B93">
        <v>1999</v>
      </c>
      <c r="C93" t="s">
        <v>4717</v>
      </c>
      <c r="D93">
        <v>14</v>
      </c>
      <c r="E93">
        <v>0</v>
      </c>
      <c r="F93" s="16">
        <v>1329.17</v>
      </c>
      <c r="G93" t="s">
        <v>4699</v>
      </c>
      <c r="H93" t="s">
        <v>4700</v>
      </c>
      <c r="I93" t="s">
        <v>4709</v>
      </c>
      <c r="J93" s="17">
        <f t="shared" si="2"/>
        <v>36447</v>
      </c>
      <c r="K93">
        <f t="shared" ca="1" si="3"/>
        <v>26</v>
      </c>
    </row>
    <row r="94" spans="1:11" ht="15.75" customHeight="1">
      <c r="A94" t="s">
        <v>4491</v>
      </c>
      <c r="B94">
        <v>1998</v>
      </c>
      <c r="C94" t="s">
        <v>4708</v>
      </c>
      <c r="D94">
        <v>12</v>
      </c>
      <c r="E94">
        <v>0</v>
      </c>
      <c r="F94" s="16">
        <v>1332.61</v>
      </c>
      <c r="G94" t="s">
        <v>4699</v>
      </c>
      <c r="H94" t="s">
        <v>4700</v>
      </c>
      <c r="I94" t="s">
        <v>4709</v>
      </c>
      <c r="J94" s="17">
        <f t="shared" si="2"/>
        <v>35988</v>
      </c>
      <c r="K94">
        <f t="shared" ca="1" si="3"/>
        <v>27</v>
      </c>
    </row>
    <row r="95" spans="1:11" ht="15.75" customHeight="1">
      <c r="A95" t="s">
        <v>4489</v>
      </c>
      <c r="B95">
        <v>1995</v>
      </c>
      <c r="C95" t="s">
        <v>4708</v>
      </c>
      <c r="D95">
        <v>30</v>
      </c>
      <c r="E95">
        <v>0</v>
      </c>
      <c r="F95" s="16">
        <v>1338</v>
      </c>
      <c r="G95" t="s">
        <v>4699</v>
      </c>
      <c r="H95" t="s">
        <v>4700</v>
      </c>
      <c r="I95" t="s">
        <v>4713</v>
      </c>
      <c r="J95" s="17">
        <f t="shared" si="2"/>
        <v>34910</v>
      </c>
      <c r="K95">
        <f t="shared" ca="1" si="3"/>
        <v>30</v>
      </c>
    </row>
    <row r="96" spans="1:11" ht="15.75" customHeight="1">
      <c r="A96" t="s">
        <v>4487</v>
      </c>
      <c r="B96">
        <v>1997</v>
      </c>
      <c r="C96" t="s">
        <v>4710</v>
      </c>
      <c r="D96">
        <v>7</v>
      </c>
      <c r="E96">
        <v>0</v>
      </c>
      <c r="F96" s="16">
        <v>1341.16</v>
      </c>
      <c r="G96" t="s">
        <v>4699</v>
      </c>
      <c r="H96" t="s">
        <v>4699</v>
      </c>
      <c r="I96" t="s">
        <v>4713</v>
      </c>
      <c r="J96" s="17">
        <f t="shared" si="2"/>
        <v>35741</v>
      </c>
      <c r="K96">
        <f t="shared" ca="1" si="3"/>
        <v>28</v>
      </c>
    </row>
    <row r="97" spans="1:11" ht="15.75" customHeight="1">
      <c r="A97" t="s">
        <v>4485</v>
      </c>
      <c r="B97">
        <v>1998</v>
      </c>
      <c r="C97" t="s">
        <v>4714</v>
      </c>
      <c r="D97">
        <v>3</v>
      </c>
      <c r="E97">
        <v>0</v>
      </c>
      <c r="F97" s="16">
        <v>1359</v>
      </c>
      <c r="G97" t="s">
        <v>4699</v>
      </c>
      <c r="H97" t="s">
        <v>4698</v>
      </c>
      <c r="I97" t="s">
        <v>4709</v>
      </c>
      <c r="J97" s="17">
        <f t="shared" si="2"/>
        <v>36132</v>
      </c>
      <c r="K97">
        <f t="shared" ca="1" si="3"/>
        <v>26</v>
      </c>
    </row>
    <row r="98" spans="1:11" ht="15.75" customHeight="1">
      <c r="A98" t="s">
        <v>4483</v>
      </c>
      <c r="B98">
        <v>2002</v>
      </c>
      <c r="C98" t="s">
        <v>4716</v>
      </c>
      <c r="D98">
        <v>15</v>
      </c>
      <c r="E98">
        <v>0</v>
      </c>
      <c r="F98" s="16">
        <v>1382</v>
      </c>
      <c r="G98" t="s">
        <v>4699</v>
      </c>
      <c r="H98" t="s">
        <v>4698</v>
      </c>
      <c r="I98" t="s">
        <v>4709</v>
      </c>
      <c r="J98" s="17">
        <f t="shared" si="2"/>
        <v>37483</v>
      </c>
      <c r="K98">
        <f t="shared" ca="1" si="3"/>
        <v>23</v>
      </c>
    </row>
    <row r="99" spans="1:11" ht="15.75" customHeight="1">
      <c r="A99" t="s">
        <v>4481</v>
      </c>
      <c r="B99">
        <v>1999</v>
      </c>
      <c r="C99" t="s">
        <v>4708</v>
      </c>
      <c r="D99">
        <v>6</v>
      </c>
      <c r="E99">
        <v>0</v>
      </c>
      <c r="F99" s="16">
        <v>1389</v>
      </c>
      <c r="G99" t="s">
        <v>4699</v>
      </c>
      <c r="H99" t="s">
        <v>4699</v>
      </c>
      <c r="I99" t="s">
        <v>4709</v>
      </c>
      <c r="J99" s="17">
        <f t="shared" si="2"/>
        <v>36347</v>
      </c>
      <c r="K99">
        <f t="shared" ca="1" si="3"/>
        <v>26</v>
      </c>
    </row>
    <row r="100" spans="1:11" ht="15.75" customHeight="1">
      <c r="A100" t="s">
        <v>4479</v>
      </c>
      <c r="B100">
        <v>2002</v>
      </c>
      <c r="C100" t="s">
        <v>4710</v>
      </c>
      <c r="D100">
        <v>14</v>
      </c>
      <c r="E100">
        <v>0</v>
      </c>
      <c r="F100" s="16">
        <v>1390</v>
      </c>
      <c r="G100" t="s">
        <v>4699</v>
      </c>
      <c r="H100" t="s">
        <v>4699</v>
      </c>
      <c r="I100" t="s">
        <v>4709</v>
      </c>
      <c r="J100" s="17">
        <f t="shared" si="2"/>
        <v>37574</v>
      </c>
      <c r="K100">
        <f t="shared" ca="1" si="3"/>
        <v>23</v>
      </c>
    </row>
    <row r="101" spans="1:11" ht="15.75" customHeight="1">
      <c r="A101" t="s">
        <v>4477</v>
      </c>
      <c r="B101">
        <v>2002</v>
      </c>
      <c r="C101" t="s">
        <v>4714</v>
      </c>
      <c r="D101">
        <v>22</v>
      </c>
      <c r="E101">
        <v>0</v>
      </c>
      <c r="F101" s="16">
        <v>1391.53</v>
      </c>
      <c r="G101" t="s">
        <v>4699</v>
      </c>
      <c r="H101" t="s">
        <v>4698</v>
      </c>
      <c r="I101" t="s">
        <v>4709</v>
      </c>
      <c r="J101" s="17">
        <f t="shared" si="2"/>
        <v>37612</v>
      </c>
      <c r="K101">
        <f t="shared" ca="1" si="3"/>
        <v>22</v>
      </c>
    </row>
    <row r="102" spans="1:11" ht="15.75" customHeight="1">
      <c r="A102" t="s">
        <v>4475</v>
      </c>
      <c r="B102">
        <v>1998</v>
      </c>
      <c r="C102" t="s">
        <v>4712</v>
      </c>
      <c r="D102">
        <v>5</v>
      </c>
      <c r="E102">
        <v>0</v>
      </c>
      <c r="F102" s="16">
        <v>1400.44</v>
      </c>
      <c r="G102" t="s">
        <v>4699</v>
      </c>
      <c r="H102" t="s">
        <v>4699</v>
      </c>
      <c r="I102" t="s">
        <v>4709</v>
      </c>
      <c r="J102" s="17">
        <f t="shared" si="2"/>
        <v>36043</v>
      </c>
      <c r="K102">
        <f t="shared" ca="1" si="3"/>
        <v>27</v>
      </c>
    </row>
    <row r="103" spans="1:11" ht="15.75" customHeight="1">
      <c r="A103" t="s">
        <v>4473</v>
      </c>
      <c r="B103">
        <v>1997</v>
      </c>
      <c r="C103" t="s">
        <v>4717</v>
      </c>
      <c r="D103">
        <v>27</v>
      </c>
      <c r="E103">
        <v>0</v>
      </c>
      <c r="F103" s="16">
        <v>1402</v>
      </c>
      <c r="G103" t="s">
        <v>4699</v>
      </c>
      <c r="H103" t="s">
        <v>4700</v>
      </c>
      <c r="I103" t="s">
        <v>4718</v>
      </c>
      <c r="J103" s="17">
        <f t="shared" si="2"/>
        <v>35730</v>
      </c>
      <c r="K103">
        <f t="shared" ca="1" si="3"/>
        <v>28</v>
      </c>
    </row>
    <row r="104" spans="1:11" ht="15.75" customHeight="1">
      <c r="A104" t="s">
        <v>4471</v>
      </c>
      <c r="B104">
        <v>1996</v>
      </c>
      <c r="C104" t="s">
        <v>4711</v>
      </c>
      <c r="D104">
        <v>23</v>
      </c>
      <c r="E104">
        <v>0</v>
      </c>
      <c r="F104" s="16">
        <v>1417</v>
      </c>
      <c r="G104" t="s">
        <v>4699</v>
      </c>
      <c r="H104" t="s">
        <v>4700</v>
      </c>
      <c r="I104" t="s">
        <v>4709</v>
      </c>
      <c r="J104" s="17">
        <f t="shared" si="2"/>
        <v>35239</v>
      </c>
      <c r="K104">
        <f t="shared" ca="1" si="3"/>
        <v>29</v>
      </c>
    </row>
    <row r="105" spans="1:11" ht="15.75" customHeight="1">
      <c r="A105" t="s">
        <v>4469</v>
      </c>
      <c r="B105">
        <v>2001</v>
      </c>
      <c r="C105" t="s">
        <v>4716</v>
      </c>
      <c r="D105">
        <v>23</v>
      </c>
      <c r="E105">
        <v>0</v>
      </c>
      <c r="F105" s="16">
        <v>1421</v>
      </c>
      <c r="G105" t="s">
        <v>4699</v>
      </c>
      <c r="H105" t="s">
        <v>4699</v>
      </c>
      <c r="I105" t="s">
        <v>4709</v>
      </c>
      <c r="J105" s="17">
        <f t="shared" si="2"/>
        <v>37126</v>
      </c>
      <c r="K105">
        <f t="shared" ca="1" si="3"/>
        <v>24</v>
      </c>
    </row>
    <row r="106" spans="1:11" ht="15.75" customHeight="1">
      <c r="A106" t="s">
        <v>4467</v>
      </c>
      <c r="B106">
        <v>1997</v>
      </c>
      <c r="C106" t="s">
        <v>4714</v>
      </c>
      <c r="D106">
        <v>5</v>
      </c>
      <c r="E106">
        <v>0</v>
      </c>
      <c r="F106" s="16">
        <v>1422</v>
      </c>
      <c r="G106" t="s">
        <v>4699</v>
      </c>
      <c r="H106" t="s">
        <v>4699</v>
      </c>
      <c r="I106" t="s">
        <v>4709</v>
      </c>
      <c r="J106" s="17">
        <f t="shared" si="2"/>
        <v>35769</v>
      </c>
      <c r="K106">
        <f t="shared" ca="1" si="3"/>
        <v>27</v>
      </c>
    </row>
    <row r="107" spans="1:11" ht="15.75" customHeight="1">
      <c r="A107" t="s">
        <v>4465</v>
      </c>
      <c r="B107">
        <v>2000</v>
      </c>
      <c r="C107" t="s">
        <v>4712</v>
      </c>
      <c r="D107">
        <v>1</v>
      </c>
      <c r="E107">
        <v>0</v>
      </c>
      <c r="F107" s="16">
        <v>1438</v>
      </c>
      <c r="G107" t="s">
        <v>4699</v>
      </c>
      <c r="H107" t="s">
        <v>4699</v>
      </c>
      <c r="I107" t="s">
        <v>4709</v>
      </c>
      <c r="J107" s="17">
        <f t="shared" si="2"/>
        <v>36770</v>
      </c>
      <c r="K107">
        <f t="shared" ca="1" si="3"/>
        <v>25</v>
      </c>
    </row>
    <row r="108" spans="1:11" ht="15.75" customHeight="1">
      <c r="A108" t="s">
        <v>4463</v>
      </c>
      <c r="B108">
        <v>1997</v>
      </c>
      <c r="C108" t="s">
        <v>4711</v>
      </c>
      <c r="D108">
        <v>19</v>
      </c>
      <c r="E108">
        <v>0</v>
      </c>
      <c r="F108" s="16">
        <v>1445</v>
      </c>
      <c r="G108" t="s">
        <v>4699</v>
      </c>
      <c r="H108" t="s">
        <v>4698</v>
      </c>
      <c r="I108" t="s">
        <v>4709</v>
      </c>
      <c r="J108" s="17">
        <f t="shared" si="2"/>
        <v>35600</v>
      </c>
      <c r="K108">
        <f t="shared" ca="1" si="3"/>
        <v>28</v>
      </c>
    </row>
    <row r="109" spans="1:11" ht="15.75" customHeight="1">
      <c r="A109" t="s">
        <v>4461</v>
      </c>
      <c r="B109">
        <v>2003</v>
      </c>
      <c r="C109" t="s">
        <v>4711</v>
      </c>
      <c r="D109">
        <v>20</v>
      </c>
      <c r="E109">
        <v>0</v>
      </c>
      <c r="F109" s="16">
        <v>1467</v>
      </c>
      <c r="G109" t="s">
        <v>4699</v>
      </c>
      <c r="H109" t="s">
        <v>4699</v>
      </c>
      <c r="I109" t="s">
        <v>4709</v>
      </c>
      <c r="J109" s="17">
        <f t="shared" si="2"/>
        <v>37792</v>
      </c>
      <c r="K109">
        <f t="shared" ca="1" si="3"/>
        <v>22</v>
      </c>
    </row>
    <row r="110" spans="1:11" ht="15.75" customHeight="1">
      <c r="A110" t="s">
        <v>4459</v>
      </c>
      <c r="B110">
        <v>1998</v>
      </c>
      <c r="C110" t="s">
        <v>4714</v>
      </c>
      <c r="D110">
        <v>7</v>
      </c>
      <c r="E110">
        <v>0</v>
      </c>
      <c r="F110" s="16">
        <v>1477</v>
      </c>
      <c r="G110" t="s">
        <v>4699</v>
      </c>
      <c r="H110" t="s">
        <v>4698</v>
      </c>
      <c r="I110" t="s">
        <v>4709</v>
      </c>
      <c r="J110" s="17">
        <f t="shared" si="2"/>
        <v>36136</v>
      </c>
      <c r="K110">
        <f t="shared" ca="1" si="3"/>
        <v>26</v>
      </c>
    </row>
    <row r="111" spans="1:11" ht="15.75" customHeight="1">
      <c r="A111" t="s">
        <v>4457</v>
      </c>
      <c r="B111">
        <v>1997</v>
      </c>
      <c r="C111" t="s">
        <v>4711</v>
      </c>
      <c r="D111">
        <v>9</v>
      </c>
      <c r="E111">
        <v>0</v>
      </c>
      <c r="F111" s="16">
        <v>1481</v>
      </c>
      <c r="G111" t="s">
        <v>4699</v>
      </c>
      <c r="H111" t="s">
        <v>4698</v>
      </c>
      <c r="I111" t="s">
        <v>4713</v>
      </c>
      <c r="J111" s="17">
        <f t="shared" si="2"/>
        <v>35590</v>
      </c>
      <c r="K111">
        <f t="shared" ca="1" si="3"/>
        <v>28</v>
      </c>
    </row>
    <row r="112" spans="1:11" ht="15.75" customHeight="1">
      <c r="A112" t="s">
        <v>4455</v>
      </c>
      <c r="B112">
        <v>1995</v>
      </c>
      <c r="C112" t="s">
        <v>4717</v>
      </c>
      <c r="D112">
        <v>7</v>
      </c>
      <c r="E112">
        <v>0</v>
      </c>
      <c r="F112" s="16">
        <v>1493</v>
      </c>
      <c r="G112" t="s">
        <v>4699</v>
      </c>
      <c r="H112" t="s">
        <v>4700</v>
      </c>
      <c r="I112" t="s">
        <v>4709</v>
      </c>
      <c r="J112" s="17">
        <f t="shared" si="2"/>
        <v>34979</v>
      </c>
      <c r="K112">
        <f t="shared" ca="1" si="3"/>
        <v>30</v>
      </c>
    </row>
    <row r="113" spans="1:11" ht="15.75" customHeight="1">
      <c r="A113" t="s">
        <v>4453</v>
      </c>
      <c r="B113">
        <v>1998</v>
      </c>
      <c r="C113" t="s">
        <v>4711</v>
      </c>
      <c r="D113">
        <v>19</v>
      </c>
      <c r="E113">
        <v>0</v>
      </c>
      <c r="F113" s="16">
        <v>1497</v>
      </c>
      <c r="G113" t="s">
        <v>4699</v>
      </c>
      <c r="H113" t="s">
        <v>4699</v>
      </c>
      <c r="I113" t="s">
        <v>4709</v>
      </c>
      <c r="J113" s="17">
        <f t="shared" si="2"/>
        <v>35965</v>
      </c>
      <c r="K113">
        <f t="shared" ca="1" si="3"/>
        <v>27</v>
      </c>
    </row>
    <row r="114" spans="1:11" ht="15.75" customHeight="1">
      <c r="A114" t="s">
        <v>4451</v>
      </c>
      <c r="B114">
        <v>2001</v>
      </c>
      <c r="C114" t="s">
        <v>4716</v>
      </c>
      <c r="D114">
        <v>25</v>
      </c>
      <c r="E114">
        <v>0</v>
      </c>
      <c r="F114" s="16">
        <v>1515.34</v>
      </c>
      <c r="G114" t="s">
        <v>4699</v>
      </c>
      <c r="H114" t="s">
        <v>4700</v>
      </c>
      <c r="I114" t="s">
        <v>4709</v>
      </c>
      <c r="J114" s="17">
        <f t="shared" si="2"/>
        <v>37128</v>
      </c>
      <c r="K114">
        <f t="shared" ca="1" si="3"/>
        <v>24</v>
      </c>
    </row>
    <row r="115" spans="1:11" ht="15.75" customHeight="1">
      <c r="A115" t="s">
        <v>4449</v>
      </c>
      <c r="B115">
        <v>2001</v>
      </c>
      <c r="C115" t="s">
        <v>4708</v>
      </c>
      <c r="D115">
        <v>7</v>
      </c>
      <c r="E115">
        <v>0</v>
      </c>
      <c r="F115" s="16">
        <v>1526.31</v>
      </c>
      <c r="G115" t="s">
        <v>4699</v>
      </c>
      <c r="H115" t="s">
        <v>4700</v>
      </c>
      <c r="I115" t="s">
        <v>4718</v>
      </c>
      <c r="J115" s="17">
        <f t="shared" si="2"/>
        <v>37079</v>
      </c>
      <c r="K115">
        <f t="shared" ca="1" si="3"/>
        <v>24</v>
      </c>
    </row>
    <row r="116" spans="1:11" ht="15.75" customHeight="1">
      <c r="A116" t="s">
        <v>4447</v>
      </c>
      <c r="B116">
        <v>2001</v>
      </c>
      <c r="C116" t="s">
        <v>4711</v>
      </c>
      <c r="D116">
        <v>2</v>
      </c>
      <c r="E116">
        <v>0</v>
      </c>
      <c r="F116" s="16">
        <v>1532.47</v>
      </c>
      <c r="G116" t="s">
        <v>4699</v>
      </c>
      <c r="H116" t="s">
        <v>4699</v>
      </c>
      <c r="I116" t="s">
        <v>4709</v>
      </c>
      <c r="J116" s="17">
        <f t="shared" si="2"/>
        <v>37044</v>
      </c>
      <c r="K116">
        <f t="shared" ca="1" si="3"/>
        <v>24</v>
      </c>
    </row>
    <row r="117" spans="1:11" ht="15.75" customHeight="1">
      <c r="A117" t="s">
        <v>4445</v>
      </c>
      <c r="B117">
        <v>2001</v>
      </c>
      <c r="C117" t="s">
        <v>4714</v>
      </c>
      <c r="D117">
        <v>5</v>
      </c>
      <c r="E117">
        <v>0</v>
      </c>
      <c r="F117" s="16">
        <v>1534.3</v>
      </c>
      <c r="G117" t="s">
        <v>4699</v>
      </c>
      <c r="H117" t="s">
        <v>4699</v>
      </c>
      <c r="I117" t="s">
        <v>4709</v>
      </c>
      <c r="J117" s="17">
        <f t="shared" si="2"/>
        <v>37230</v>
      </c>
      <c r="K117">
        <f t="shared" ca="1" si="3"/>
        <v>23</v>
      </c>
    </row>
    <row r="118" spans="1:11" ht="15.75" customHeight="1">
      <c r="A118" t="s">
        <v>4443</v>
      </c>
      <c r="B118">
        <v>1992</v>
      </c>
      <c r="C118" t="s">
        <v>4712</v>
      </c>
      <c r="D118">
        <v>22</v>
      </c>
      <c r="E118">
        <v>0</v>
      </c>
      <c r="F118" s="16">
        <v>1566.88</v>
      </c>
      <c r="G118" t="s">
        <v>4699</v>
      </c>
      <c r="H118" t="s">
        <v>4698</v>
      </c>
      <c r="I118" t="s">
        <v>4709</v>
      </c>
      <c r="J118" s="17">
        <f t="shared" si="2"/>
        <v>33869</v>
      </c>
      <c r="K118">
        <f t="shared" ca="1" si="3"/>
        <v>33</v>
      </c>
    </row>
    <row r="119" spans="1:11" ht="15.75" customHeight="1">
      <c r="A119" t="s">
        <v>4441</v>
      </c>
      <c r="B119">
        <v>2004</v>
      </c>
      <c r="C119" t="s">
        <v>4710</v>
      </c>
      <c r="D119">
        <v>19</v>
      </c>
      <c r="E119">
        <v>0</v>
      </c>
      <c r="F119" s="16">
        <v>1607.51</v>
      </c>
      <c r="G119" t="s">
        <v>4699</v>
      </c>
      <c r="H119" t="s">
        <v>4700</v>
      </c>
      <c r="I119" t="s">
        <v>4709</v>
      </c>
      <c r="J119" s="17">
        <f t="shared" si="2"/>
        <v>38310</v>
      </c>
      <c r="K119">
        <f t="shared" ca="1" si="3"/>
        <v>21</v>
      </c>
    </row>
    <row r="120" spans="1:11" ht="15.75" customHeight="1">
      <c r="A120" t="s">
        <v>4439</v>
      </c>
      <c r="B120">
        <v>2004</v>
      </c>
      <c r="C120" t="s">
        <v>4708</v>
      </c>
      <c r="D120">
        <v>22</v>
      </c>
      <c r="E120">
        <v>0</v>
      </c>
      <c r="F120" s="16">
        <v>1615.77</v>
      </c>
      <c r="G120" t="s">
        <v>4699</v>
      </c>
      <c r="H120" t="s">
        <v>4698</v>
      </c>
      <c r="I120" t="s">
        <v>4709</v>
      </c>
      <c r="J120" s="17">
        <f t="shared" si="2"/>
        <v>38190</v>
      </c>
      <c r="K120">
        <f t="shared" ca="1" si="3"/>
        <v>21</v>
      </c>
    </row>
    <row r="121" spans="1:11" ht="15.75" customHeight="1">
      <c r="A121" t="s">
        <v>4437</v>
      </c>
      <c r="B121">
        <v>1995</v>
      </c>
      <c r="C121" t="s">
        <v>4716</v>
      </c>
      <c r="D121">
        <v>5</v>
      </c>
      <c r="E121">
        <v>0</v>
      </c>
      <c r="F121" s="16">
        <v>1617.16</v>
      </c>
      <c r="G121" t="s">
        <v>4699</v>
      </c>
      <c r="H121" t="s">
        <v>4698</v>
      </c>
      <c r="I121" t="s">
        <v>4709</v>
      </c>
      <c r="J121" s="17">
        <f t="shared" si="2"/>
        <v>34916</v>
      </c>
      <c r="K121">
        <f t="shared" ca="1" si="3"/>
        <v>30</v>
      </c>
    </row>
    <row r="122" spans="1:11" ht="15.75" customHeight="1">
      <c r="A122" t="s">
        <v>4435</v>
      </c>
      <c r="B122">
        <v>2003</v>
      </c>
      <c r="C122" t="s">
        <v>4712</v>
      </c>
      <c r="D122">
        <v>14</v>
      </c>
      <c r="E122">
        <v>0</v>
      </c>
      <c r="F122" s="16">
        <v>1621.34</v>
      </c>
      <c r="G122" t="s">
        <v>4699</v>
      </c>
      <c r="H122" t="s">
        <v>4699</v>
      </c>
      <c r="I122" t="s">
        <v>4713</v>
      </c>
      <c r="J122" s="17">
        <f t="shared" si="2"/>
        <v>37878</v>
      </c>
      <c r="K122">
        <f t="shared" ca="1" si="3"/>
        <v>22</v>
      </c>
    </row>
    <row r="123" spans="1:11" ht="15.75" customHeight="1">
      <c r="A123" t="s">
        <v>4433</v>
      </c>
      <c r="B123">
        <v>2004</v>
      </c>
      <c r="C123" t="s">
        <v>4716</v>
      </c>
      <c r="D123">
        <v>21</v>
      </c>
      <c r="E123">
        <v>0</v>
      </c>
      <c r="F123" s="16">
        <v>1621.88</v>
      </c>
      <c r="G123" t="s">
        <v>4699</v>
      </c>
      <c r="H123" t="s">
        <v>4699</v>
      </c>
      <c r="I123" t="s">
        <v>4709</v>
      </c>
      <c r="J123" s="17">
        <f t="shared" si="2"/>
        <v>38220</v>
      </c>
      <c r="K123">
        <f t="shared" ca="1" si="3"/>
        <v>21</v>
      </c>
    </row>
    <row r="124" spans="1:11" ht="15.75" customHeight="1">
      <c r="A124" t="s">
        <v>4431</v>
      </c>
      <c r="B124">
        <v>2004</v>
      </c>
      <c r="C124" t="s">
        <v>4708</v>
      </c>
      <c r="D124">
        <v>25</v>
      </c>
      <c r="E124">
        <v>0</v>
      </c>
      <c r="F124" s="16">
        <v>1622.19</v>
      </c>
      <c r="G124" t="s">
        <v>4699</v>
      </c>
      <c r="H124" t="s">
        <v>4698</v>
      </c>
      <c r="I124" t="s">
        <v>4709</v>
      </c>
      <c r="J124" s="17">
        <f t="shared" si="2"/>
        <v>38193</v>
      </c>
      <c r="K124">
        <f t="shared" ca="1" si="3"/>
        <v>21</v>
      </c>
    </row>
    <row r="125" spans="1:11" ht="15.75" customHeight="1">
      <c r="A125" t="s">
        <v>4429</v>
      </c>
      <c r="B125">
        <v>2003</v>
      </c>
      <c r="C125" t="s">
        <v>4712</v>
      </c>
      <c r="D125">
        <v>9</v>
      </c>
      <c r="E125">
        <v>0</v>
      </c>
      <c r="F125" s="16">
        <v>1625.43</v>
      </c>
      <c r="G125" t="s">
        <v>4699</v>
      </c>
      <c r="H125" t="s">
        <v>4700</v>
      </c>
      <c r="I125" t="s">
        <v>4713</v>
      </c>
      <c r="J125" s="17">
        <f t="shared" si="2"/>
        <v>37873</v>
      </c>
      <c r="K125">
        <f t="shared" ca="1" si="3"/>
        <v>22</v>
      </c>
    </row>
    <row r="126" spans="1:11" ht="15.75" customHeight="1">
      <c r="A126" t="s">
        <v>4427</v>
      </c>
      <c r="B126">
        <v>2003</v>
      </c>
      <c r="C126" t="s">
        <v>4714</v>
      </c>
      <c r="D126">
        <v>4</v>
      </c>
      <c r="E126">
        <v>0</v>
      </c>
      <c r="F126" s="16">
        <v>1627.28</v>
      </c>
      <c r="G126" t="s">
        <v>4699</v>
      </c>
      <c r="H126" t="s">
        <v>4699</v>
      </c>
      <c r="I126" t="s">
        <v>4713</v>
      </c>
      <c r="J126" s="17">
        <f t="shared" si="2"/>
        <v>37959</v>
      </c>
      <c r="K126">
        <f t="shared" ca="1" si="3"/>
        <v>21</v>
      </c>
    </row>
    <row r="127" spans="1:11" ht="15.75" customHeight="1">
      <c r="A127" t="s">
        <v>4425</v>
      </c>
      <c r="B127">
        <v>2003</v>
      </c>
      <c r="C127" t="s">
        <v>4708</v>
      </c>
      <c r="D127">
        <v>17</v>
      </c>
      <c r="E127">
        <v>0</v>
      </c>
      <c r="F127" s="16">
        <v>1628.47</v>
      </c>
      <c r="G127" t="s">
        <v>4699</v>
      </c>
      <c r="H127" t="s">
        <v>4698</v>
      </c>
      <c r="I127" t="s">
        <v>4713</v>
      </c>
      <c r="J127" s="17">
        <f t="shared" si="2"/>
        <v>37819</v>
      </c>
      <c r="K127">
        <f t="shared" ca="1" si="3"/>
        <v>22</v>
      </c>
    </row>
    <row r="128" spans="1:11" ht="15.75" customHeight="1">
      <c r="A128" t="s">
        <v>4423</v>
      </c>
      <c r="B128">
        <v>2004</v>
      </c>
      <c r="C128" t="s">
        <v>4717</v>
      </c>
      <c r="D128">
        <v>4</v>
      </c>
      <c r="E128">
        <v>0</v>
      </c>
      <c r="F128" s="16">
        <v>1629.83</v>
      </c>
      <c r="G128" t="s">
        <v>4699</v>
      </c>
      <c r="H128" t="s">
        <v>4699</v>
      </c>
      <c r="I128" t="s">
        <v>4709</v>
      </c>
      <c r="J128" s="17">
        <f t="shared" si="2"/>
        <v>38264</v>
      </c>
      <c r="K128">
        <f t="shared" ca="1" si="3"/>
        <v>21</v>
      </c>
    </row>
    <row r="129" spans="1:11" ht="15.75" customHeight="1">
      <c r="A129" t="s">
        <v>4421</v>
      </c>
      <c r="B129">
        <v>2004</v>
      </c>
      <c r="C129" t="s">
        <v>4714</v>
      </c>
      <c r="D129">
        <v>5</v>
      </c>
      <c r="E129">
        <v>0</v>
      </c>
      <c r="F129" s="16">
        <v>1631.67</v>
      </c>
      <c r="G129" t="s">
        <v>4699</v>
      </c>
      <c r="H129" t="s">
        <v>4700</v>
      </c>
      <c r="I129" t="s">
        <v>4709</v>
      </c>
      <c r="J129" s="17">
        <f t="shared" si="2"/>
        <v>38326</v>
      </c>
      <c r="K129">
        <f t="shared" ca="1" si="3"/>
        <v>20</v>
      </c>
    </row>
    <row r="130" spans="1:11" ht="15.75" customHeight="1">
      <c r="A130" t="s">
        <v>4419</v>
      </c>
      <c r="B130">
        <v>2004</v>
      </c>
      <c r="C130" t="s">
        <v>4708</v>
      </c>
      <c r="D130">
        <v>9</v>
      </c>
      <c r="E130">
        <v>0</v>
      </c>
      <c r="F130" s="16">
        <v>1631.82</v>
      </c>
      <c r="G130" t="s">
        <v>4699</v>
      </c>
      <c r="H130" t="s">
        <v>4698</v>
      </c>
      <c r="I130" t="s">
        <v>4709</v>
      </c>
      <c r="J130" s="17">
        <f t="shared" si="2"/>
        <v>38177</v>
      </c>
      <c r="K130">
        <f t="shared" ca="1" si="3"/>
        <v>21</v>
      </c>
    </row>
    <row r="131" spans="1:11" ht="15.75" customHeight="1">
      <c r="A131" t="s">
        <v>4417</v>
      </c>
      <c r="B131">
        <v>2003</v>
      </c>
      <c r="C131" t="s">
        <v>4717</v>
      </c>
      <c r="D131">
        <v>3</v>
      </c>
      <c r="E131">
        <v>0</v>
      </c>
      <c r="F131" s="16">
        <v>1632.04</v>
      </c>
      <c r="G131" t="s">
        <v>4699</v>
      </c>
      <c r="H131" t="s">
        <v>4699</v>
      </c>
      <c r="I131" t="s">
        <v>4713</v>
      </c>
      <c r="J131" s="17">
        <f t="shared" ref="J131:J194" si="4">DATEVALUE(D131&amp;"-"&amp;C131&amp;" -"&amp;B131)</f>
        <v>37897</v>
      </c>
      <c r="K131">
        <f t="shared" ref="K131:K194" ca="1" si="5">DATEDIF(J131,TODAY(),"Y")</f>
        <v>22</v>
      </c>
    </row>
    <row r="132" spans="1:11" ht="15.75" customHeight="1">
      <c r="A132" t="s">
        <v>4415</v>
      </c>
      <c r="B132">
        <v>2003</v>
      </c>
      <c r="C132" t="s">
        <v>4712</v>
      </c>
      <c r="D132">
        <v>16</v>
      </c>
      <c r="E132">
        <v>0</v>
      </c>
      <c r="F132" s="16">
        <v>1632.56</v>
      </c>
      <c r="G132" t="s">
        <v>4699</v>
      </c>
      <c r="H132" t="s">
        <v>4699</v>
      </c>
      <c r="I132" t="s">
        <v>4713</v>
      </c>
      <c r="J132" s="17">
        <f t="shared" si="4"/>
        <v>37880</v>
      </c>
      <c r="K132">
        <f t="shared" ca="1" si="5"/>
        <v>22</v>
      </c>
    </row>
    <row r="133" spans="1:11" ht="15.75" customHeight="1">
      <c r="A133" t="s">
        <v>4413</v>
      </c>
      <c r="B133">
        <v>2004</v>
      </c>
      <c r="C133" t="s">
        <v>4714</v>
      </c>
      <c r="D133">
        <v>13</v>
      </c>
      <c r="E133">
        <v>0</v>
      </c>
      <c r="F133" s="16">
        <v>1633.04</v>
      </c>
      <c r="G133" t="s">
        <v>4699</v>
      </c>
      <c r="H133" t="s">
        <v>4699</v>
      </c>
      <c r="I133" t="s">
        <v>4709</v>
      </c>
      <c r="J133" s="17">
        <f t="shared" si="4"/>
        <v>38334</v>
      </c>
      <c r="K133">
        <f t="shared" ca="1" si="5"/>
        <v>20</v>
      </c>
    </row>
    <row r="134" spans="1:11" ht="15.75" customHeight="1">
      <c r="A134" t="s">
        <v>4411</v>
      </c>
      <c r="B134">
        <v>2004</v>
      </c>
      <c r="C134" t="s">
        <v>4716</v>
      </c>
      <c r="D134">
        <v>8</v>
      </c>
      <c r="E134">
        <v>0</v>
      </c>
      <c r="F134" s="16">
        <v>1633.96</v>
      </c>
      <c r="G134" t="s">
        <v>4699</v>
      </c>
      <c r="H134" t="s">
        <v>4698</v>
      </c>
      <c r="I134" t="s">
        <v>4709</v>
      </c>
      <c r="J134" s="17">
        <f t="shared" si="4"/>
        <v>38207</v>
      </c>
      <c r="K134">
        <f t="shared" ca="1" si="5"/>
        <v>21</v>
      </c>
    </row>
    <row r="135" spans="1:11" ht="15.75" customHeight="1">
      <c r="A135" t="s">
        <v>4409</v>
      </c>
      <c r="B135">
        <v>2004</v>
      </c>
      <c r="C135" t="s">
        <v>4711</v>
      </c>
      <c r="D135">
        <v>13</v>
      </c>
      <c r="E135">
        <v>0</v>
      </c>
      <c r="F135" s="16">
        <v>1634.57</v>
      </c>
      <c r="G135" t="s">
        <v>4699</v>
      </c>
      <c r="H135" t="s">
        <v>4699</v>
      </c>
      <c r="I135" t="s">
        <v>4709</v>
      </c>
      <c r="J135" s="17">
        <f t="shared" si="4"/>
        <v>38151</v>
      </c>
      <c r="K135">
        <f t="shared" ca="1" si="5"/>
        <v>21</v>
      </c>
    </row>
    <row r="136" spans="1:11" ht="15.75" customHeight="1">
      <c r="A136" t="s">
        <v>4407</v>
      </c>
      <c r="B136">
        <v>2003</v>
      </c>
      <c r="C136" t="s">
        <v>4714</v>
      </c>
      <c r="D136">
        <v>30</v>
      </c>
      <c r="E136">
        <v>0</v>
      </c>
      <c r="F136" s="16">
        <v>1635.73</v>
      </c>
      <c r="G136" t="s">
        <v>4699</v>
      </c>
      <c r="H136" t="s">
        <v>4700</v>
      </c>
      <c r="I136" t="s">
        <v>4713</v>
      </c>
      <c r="J136" s="17">
        <f t="shared" si="4"/>
        <v>37985</v>
      </c>
      <c r="K136">
        <f t="shared" ca="1" si="5"/>
        <v>21</v>
      </c>
    </row>
    <row r="137" spans="1:11" ht="15.75" customHeight="1">
      <c r="A137" t="s">
        <v>4405</v>
      </c>
      <c r="B137">
        <v>2003</v>
      </c>
      <c r="C137" t="s">
        <v>4712</v>
      </c>
      <c r="D137">
        <v>16</v>
      </c>
      <c r="E137">
        <v>0</v>
      </c>
      <c r="F137" s="16">
        <v>1639.56</v>
      </c>
      <c r="G137" t="s">
        <v>4699</v>
      </c>
      <c r="H137" t="s">
        <v>4699</v>
      </c>
      <c r="I137" t="s">
        <v>4713</v>
      </c>
      <c r="J137" s="17">
        <f t="shared" si="4"/>
        <v>37880</v>
      </c>
      <c r="K137">
        <f t="shared" ca="1" si="5"/>
        <v>22</v>
      </c>
    </row>
    <row r="138" spans="1:11" ht="15.75" customHeight="1">
      <c r="A138" t="s">
        <v>4403</v>
      </c>
      <c r="B138">
        <v>2003</v>
      </c>
      <c r="C138" t="s">
        <v>4716</v>
      </c>
      <c r="D138">
        <v>21</v>
      </c>
      <c r="E138">
        <v>0</v>
      </c>
      <c r="F138" s="16">
        <v>1639.56</v>
      </c>
      <c r="G138" t="s">
        <v>4699</v>
      </c>
      <c r="H138" t="s">
        <v>4699</v>
      </c>
      <c r="I138" t="s">
        <v>4713</v>
      </c>
      <c r="J138" s="17">
        <f t="shared" si="4"/>
        <v>37854</v>
      </c>
      <c r="K138">
        <f t="shared" ca="1" si="5"/>
        <v>22</v>
      </c>
    </row>
    <row r="139" spans="1:11" ht="15.75" customHeight="1">
      <c r="A139" t="s">
        <v>4401</v>
      </c>
      <c r="B139">
        <v>2003</v>
      </c>
      <c r="C139" t="s">
        <v>4714</v>
      </c>
      <c r="D139">
        <v>30</v>
      </c>
      <c r="E139">
        <v>0</v>
      </c>
      <c r="F139" s="16">
        <v>1646.43</v>
      </c>
      <c r="G139" t="s">
        <v>4699</v>
      </c>
      <c r="H139" t="s">
        <v>4698</v>
      </c>
      <c r="I139" t="s">
        <v>4713</v>
      </c>
      <c r="J139" s="17">
        <f t="shared" si="4"/>
        <v>37985</v>
      </c>
      <c r="K139">
        <f t="shared" ca="1" si="5"/>
        <v>21</v>
      </c>
    </row>
    <row r="140" spans="1:11" ht="15.75" customHeight="1">
      <c r="A140" t="s">
        <v>4399</v>
      </c>
      <c r="B140">
        <v>2000</v>
      </c>
      <c r="C140" t="s">
        <v>4717</v>
      </c>
      <c r="D140">
        <v>23</v>
      </c>
      <c r="E140">
        <v>0</v>
      </c>
      <c r="F140" s="16">
        <v>1665</v>
      </c>
      <c r="G140" t="s">
        <v>4699</v>
      </c>
      <c r="H140" t="s">
        <v>4699</v>
      </c>
      <c r="I140" t="s">
        <v>4709</v>
      </c>
      <c r="J140" s="17">
        <f t="shared" si="4"/>
        <v>36822</v>
      </c>
      <c r="K140">
        <f t="shared" ca="1" si="5"/>
        <v>25</v>
      </c>
    </row>
    <row r="141" spans="1:11" ht="15.75" customHeight="1">
      <c r="A141" t="s">
        <v>4397</v>
      </c>
      <c r="B141">
        <v>2000</v>
      </c>
      <c r="C141" t="s">
        <v>4711</v>
      </c>
      <c r="D141">
        <v>10</v>
      </c>
      <c r="E141">
        <v>0</v>
      </c>
      <c r="F141" s="16">
        <v>1674.63</v>
      </c>
      <c r="G141" t="s">
        <v>4699</v>
      </c>
      <c r="H141" t="s">
        <v>4699</v>
      </c>
      <c r="I141" t="s">
        <v>4709</v>
      </c>
      <c r="J141" s="17">
        <f t="shared" si="4"/>
        <v>36687</v>
      </c>
      <c r="K141">
        <f t="shared" ca="1" si="5"/>
        <v>25</v>
      </c>
    </row>
    <row r="142" spans="1:11" ht="15.75" customHeight="1">
      <c r="A142" t="s">
        <v>4395</v>
      </c>
      <c r="B142">
        <v>2000</v>
      </c>
      <c r="C142" t="s">
        <v>4717</v>
      </c>
      <c r="D142">
        <v>21</v>
      </c>
      <c r="E142">
        <v>0</v>
      </c>
      <c r="F142" s="16">
        <v>1682.6</v>
      </c>
      <c r="G142" t="s">
        <v>4699</v>
      </c>
      <c r="H142" t="s">
        <v>4699</v>
      </c>
      <c r="I142" t="s">
        <v>4718</v>
      </c>
      <c r="J142" s="17">
        <f t="shared" si="4"/>
        <v>36820</v>
      </c>
      <c r="K142">
        <f t="shared" ca="1" si="5"/>
        <v>25</v>
      </c>
    </row>
    <row r="143" spans="1:11" ht="15.75" customHeight="1">
      <c r="A143" t="s">
        <v>4393</v>
      </c>
      <c r="B143">
        <v>2004</v>
      </c>
      <c r="C143" t="s">
        <v>4710</v>
      </c>
      <c r="D143">
        <v>17</v>
      </c>
      <c r="E143">
        <v>0</v>
      </c>
      <c r="F143" s="16">
        <v>1694.8</v>
      </c>
      <c r="G143" t="s">
        <v>4699</v>
      </c>
      <c r="H143" t="s">
        <v>4699</v>
      </c>
      <c r="I143" t="s">
        <v>4719</v>
      </c>
      <c r="J143" s="17">
        <f t="shared" si="4"/>
        <v>38308</v>
      </c>
      <c r="K143">
        <f t="shared" ca="1" si="5"/>
        <v>21</v>
      </c>
    </row>
    <row r="144" spans="1:11" ht="15.75" customHeight="1">
      <c r="A144" t="s">
        <v>4391</v>
      </c>
      <c r="B144">
        <v>2004</v>
      </c>
      <c r="C144" t="s">
        <v>4714</v>
      </c>
      <c r="D144">
        <v>10</v>
      </c>
      <c r="E144">
        <v>0</v>
      </c>
      <c r="F144" s="16">
        <v>1702.46</v>
      </c>
      <c r="G144" t="s">
        <v>4699</v>
      </c>
      <c r="H144" t="s">
        <v>4700</v>
      </c>
      <c r="I144" t="s">
        <v>4720</v>
      </c>
      <c r="J144" s="17">
        <f t="shared" si="4"/>
        <v>38331</v>
      </c>
      <c r="K144">
        <f t="shared" ca="1" si="5"/>
        <v>20</v>
      </c>
    </row>
    <row r="145" spans="1:11" ht="15.75" customHeight="1">
      <c r="A145" t="s">
        <v>4389</v>
      </c>
      <c r="B145">
        <v>2004</v>
      </c>
      <c r="C145" t="s">
        <v>4710</v>
      </c>
      <c r="D145">
        <v>7</v>
      </c>
      <c r="E145">
        <v>0</v>
      </c>
      <c r="F145" s="16">
        <v>1704.57</v>
      </c>
      <c r="G145" t="s">
        <v>4699</v>
      </c>
      <c r="H145" t="s">
        <v>4698</v>
      </c>
      <c r="I145" t="s">
        <v>4721</v>
      </c>
      <c r="J145" s="17">
        <f t="shared" si="4"/>
        <v>38298</v>
      </c>
      <c r="K145">
        <f t="shared" ca="1" si="5"/>
        <v>21</v>
      </c>
    </row>
    <row r="146" spans="1:11" ht="15.75" customHeight="1">
      <c r="A146" t="s">
        <v>4387</v>
      </c>
      <c r="B146">
        <v>2004</v>
      </c>
      <c r="C146" t="s">
        <v>4714</v>
      </c>
      <c r="D146">
        <v>14</v>
      </c>
      <c r="E146">
        <v>0</v>
      </c>
      <c r="F146" s="16">
        <v>1704.7</v>
      </c>
      <c r="G146" t="s">
        <v>4699</v>
      </c>
      <c r="H146" t="s">
        <v>4700</v>
      </c>
      <c r="I146" t="s">
        <v>4722</v>
      </c>
      <c r="J146" s="17">
        <f t="shared" si="4"/>
        <v>38335</v>
      </c>
      <c r="K146">
        <f t="shared" ca="1" si="5"/>
        <v>20</v>
      </c>
    </row>
    <row r="147" spans="1:11" ht="15.75" customHeight="1">
      <c r="A147" t="s">
        <v>4385</v>
      </c>
      <c r="B147">
        <v>2004</v>
      </c>
      <c r="C147" t="s">
        <v>4714</v>
      </c>
      <c r="D147">
        <v>6</v>
      </c>
      <c r="E147">
        <v>0</v>
      </c>
      <c r="F147" s="16">
        <v>1705.62</v>
      </c>
      <c r="G147" t="s">
        <v>4699</v>
      </c>
      <c r="H147" t="s">
        <v>4699</v>
      </c>
      <c r="I147" t="s">
        <v>4719</v>
      </c>
      <c r="J147" s="17">
        <f t="shared" si="4"/>
        <v>38327</v>
      </c>
      <c r="K147">
        <f t="shared" ca="1" si="5"/>
        <v>20</v>
      </c>
    </row>
    <row r="148" spans="1:11" ht="15.75" customHeight="1">
      <c r="A148" t="s">
        <v>4383</v>
      </c>
      <c r="B148">
        <v>2004</v>
      </c>
      <c r="C148" t="s">
        <v>4717</v>
      </c>
      <c r="D148">
        <v>17</v>
      </c>
      <c r="E148">
        <v>0</v>
      </c>
      <c r="F148" s="16">
        <v>1708</v>
      </c>
      <c r="G148" t="s">
        <v>4700</v>
      </c>
      <c r="H148" t="s">
        <v>4699</v>
      </c>
      <c r="I148" t="s">
        <v>4721</v>
      </c>
      <c r="J148" s="17">
        <f t="shared" si="4"/>
        <v>38277</v>
      </c>
      <c r="K148">
        <f t="shared" ca="1" si="5"/>
        <v>21</v>
      </c>
    </row>
    <row r="149" spans="1:11" ht="15.75" customHeight="1">
      <c r="A149" t="s">
        <v>4381</v>
      </c>
      <c r="B149">
        <v>2004</v>
      </c>
      <c r="C149" t="s">
        <v>4714</v>
      </c>
      <c r="D149">
        <v>12</v>
      </c>
      <c r="E149">
        <v>0</v>
      </c>
      <c r="F149" s="16">
        <v>1708.93</v>
      </c>
      <c r="G149" t="s">
        <v>4700</v>
      </c>
      <c r="H149" t="s">
        <v>4698</v>
      </c>
      <c r="I149" t="s">
        <v>4720</v>
      </c>
      <c r="J149" s="17">
        <f t="shared" si="4"/>
        <v>38333</v>
      </c>
      <c r="K149">
        <f t="shared" ca="1" si="5"/>
        <v>20</v>
      </c>
    </row>
    <row r="150" spans="1:11" ht="15.75" customHeight="1">
      <c r="A150" t="s">
        <v>4379</v>
      </c>
      <c r="B150">
        <v>2004</v>
      </c>
      <c r="C150" t="s">
        <v>4712</v>
      </c>
      <c r="D150">
        <v>19</v>
      </c>
      <c r="E150">
        <v>1</v>
      </c>
      <c r="F150" s="16">
        <v>1711.03</v>
      </c>
      <c r="G150" t="s">
        <v>4700</v>
      </c>
      <c r="H150" t="s">
        <v>4700</v>
      </c>
      <c r="I150" t="s">
        <v>4709</v>
      </c>
      <c r="J150" s="17">
        <f t="shared" si="4"/>
        <v>38249</v>
      </c>
      <c r="K150">
        <f t="shared" ca="1" si="5"/>
        <v>21</v>
      </c>
    </row>
    <row r="151" spans="1:11" ht="15.75" customHeight="1">
      <c r="A151" t="s">
        <v>4377</v>
      </c>
      <c r="B151">
        <v>2004</v>
      </c>
      <c r="C151" t="s">
        <v>4712</v>
      </c>
      <c r="D151">
        <v>21</v>
      </c>
      <c r="E151">
        <v>0</v>
      </c>
      <c r="F151" s="16">
        <v>1712.23</v>
      </c>
      <c r="G151" t="s">
        <v>4700</v>
      </c>
      <c r="H151" t="s">
        <v>4698</v>
      </c>
      <c r="I151" t="s">
        <v>4721</v>
      </c>
      <c r="J151" s="17">
        <f t="shared" si="4"/>
        <v>38251</v>
      </c>
      <c r="K151">
        <f t="shared" ca="1" si="5"/>
        <v>21</v>
      </c>
    </row>
    <row r="152" spans="1:11" ht="15.75" customHeight="1">
      <c r="A152" t="s">
        <v>4375</v>
      </c>
      <c r="B152">
        <v>2004</v>
      </c>
      <c r="C152" t="s">
        <v>4711</v>
      </c>
      <c r="D152">
        <v>10</v>
      </c>
      <c r="E152">
        <v>1</v>
      </c>
      <c r="F152" s="16">
        <v>1719.44</v>
      </c>
      <c r="G152" t="s">
        <v>4700</v>
      </c>
      <c r="H152" t="s">
        <v>4700</v>
      </c>
      <c r="I152" t="s">
        <v>4709</v>
      </c>
      <c r="J152" s="17">
        <f t="shared" si="4"/>
        <v>38148</v>
      </c>
      <c r="K152">
        <f t="shared" ca="1" si="5"/>
        <v>21</v>
      </c>
    </row>
    <row r="153" spans="1:11" ht="15.75" customHeight="1">
      <c r="A153" t="s">
        <v>4373</v>
      </c>
      <c r="B153">
        <v>2004</v>
      </c>
      <c r="C153" t="s">
        <v>4712</v>
      </c>
      <c r="D153">
        <v>11</v>
      </c>
      <c r="E153">
        <v>1</v>
      </c>
      <c r="F153" s="16">
        <v>1720.35</v>
      </c>
      <c r="G153" t="s">
        <v>4700</v>
      </c>
      <c r="H153" t="s">
        <v>4700</v>
      </c>
      <c r="I153" t="s">
        <v>4709</v>
      </c>
      <c r="J153" s="17">
        <f t="shared" si="4"/>
        <v>38241</v>
      </c>
      <c r="K153">
        <f t="shared" ca="1" si="5"/>
        <v>21</v>
      </c>
    </row>
    <row r="154" spans="1:11" ht="15.75" customHeight="1">
      <c r="A154" t="s">
        <v>4371</v>
      </c>
      <c r="B154">
        <v>2004</v>
      </c>
      <c r="C154" t="s">
        <v>4717</v>
      </c>
      <c r="D154">
        <v>21</v>
      </c>
      <c r="E154">
        <v>1</v>
      </c>
      <c r="F154" s="16">
        <v>1725.55</v>
      </c>
      <c r="G154" t="s">
        <v>4700</v>
      </c>
      <c r="H154" t="s">
        <v>4699</v>
      </c>
      <c r="I154" t="s">
        <v>4709</v>
      </c>
      <c r="J154" s="17">
        <f t="shared" si="4"/>
        <v>38281</v>
      </c>
      <c r="K154">
        <f t="shared" ca="1" si="5"/>
        <v>21</v>
      </c>
    </row>
    <row r="155" spans="1:11" ht="15.75" customHeight="1">
      <c r="A155" t="s">
        <v>4369</v>
      </c>
      <c r="B155">
        <v>2004</v>
      </c>
      <c r="C155" t="s">
        <v>4712</v>
      </c>
      <c r="D155">
        <v>9</v>
      </c>
      <c r="E155">
        <v>1</v>
      </c>
      <c r="F155" s="16">
        <v>1727.54</v>
      </c>
      <c r="G155" t="s">
        <v>4700</v>
      </c>
      <c r="H155" t="s">
        <v>4698</v>
      </c>
      <c r="I155" t="s">
        <v>4709</v>
      </c>
      <c r="J155" s="17">
        <f t="shared" si="4"/>
        <v>38239</v>
      </c>
      <c r="K155">
        <f t="shared" ca="1" si="5"/>
        <v>21</v>
      </c>
    </row>
    <row r="156" spans="1:11" ht="15.75" customHeight="1">
      <c r="A156" t="s">
        <v>4367</v>
      </c>
      <c r="B156">
        <v>2003</v>
      </c>
      <c r="C156" t="s">
        <v>4710</v>
      </c>
      <c r="D156">
        <v>21</v>
      </c>
      <c r="E156">
        <v>0</v>
      </c>
      <c r="F156" s="16">
        <v>1727.79</v>
      </c>
      <c r="G156" t="s">
        <v>4700</v>
      </c>
      <c r="H156" t="s">
        <v>4700</v>
      </c>
      <c r="I156" t="s">
        <v>4718</v>
      </c>
      <c r="J156" s="17">
        <f t="shared" si="4"/>
        <v>37946</v>
      </c>
      <c r="K156">
        <f t="shared" ca="1" si="5"/>
        <v>22</v>
      </c>
    </row>
    <row r="157" spans="1:11" ht="15.75" customHeight="1">
      <c r="A157" t="s">
        <v>4365</v>
      </c>
      <c r="B157">
        <v>2003</v>
      </c>
      <c r="C157" t="s">
        <v>4712</v>
      </c>
      <c r="D157">
        <v>1</v>
      </c>
      <c r="E157">
        <v>0</v>
      </c>
      <c r="F157" s="16">
        <v>1728.9</v>
      </c>
      <c r="G157" t="s">
        <v>4700</v>
      </c>
      <c r="H157" t="s">
        <v>4699</v>
      </c>
      <c r="I157" t="s">
        <v>4718</v>
      </c>
      <c r="J157" s="17">
        <f t="shared" si="4"/>
        <v>37865</v>
      </c>
      <c r="K157">
        <f t="shared" ca="1" si="5"/>
        <v>22</v>
      </c>
    </row>
    <row r="158" spans="1:11" ht="15.75" customHeight="1">
      <c r="A158" t="s">
        <v>4363</v>
      </c>
      <c r="B158">
        <v>2003</v>
      </c>
      <c r="C158" t="s">
        <v>4710</v>
      </c>
      <c r="D158">
        <v>9</v>
      </c>
      <c r="E158">
        <v>0</v>
      </c>
      <c r="F158" s="16">
        <v>1731.68</v>
      </c>
      <c r="G158" t="s">
        <v>4700</v>
      </c>
      <c r="H158" t="s">
        <v>4699</v>
      </c>
      <c r="I158" t="s">
        <v>4718</v>
      </c>
      <c r="J158" s="17">
        <f t="shared" si="4"/>
        <v>37934</v>
      </c>
      <c r="K158">
        <f t="shared" ca="1" si="5"/>
        <v>22</v>
      </c>
    </row>
    <row r="159" spans="1:11" ht="15.75" customHeight="1">
      <c r="A159" t="s">
        <v>4361</v>
      </c>
      <c r="B159">
        <v>2003</v>
      </c>
      <c r="C159" t="s">
        <v>4710</v>
      </c>
      <c r="D159">
        <v>14</v>
      </c>
      <c r="E159">
        <v>0</v>
      </c>
      <c r="F159" s="16">
        <v>1737.38</v>
      </c>
      <c r="G159" t="s">
        <v>4700</v>
      </c>
      <c r="H159" t="s">
        <v>4699</v>
      </c>
      <c r="I159" t="s">
        <v>4718</v>
      </c>
      <c r="J159" s="17">
        <f t="shared" si="4"/>
        <v>37939</v>
      </c>
      <c r="K159">
        <f t="shared" ca="1" si="5"/>
        <v>22</v>
      </c>
    </row>
    <row r="160" spans="1:11" ht="15.75" customHeight="1">
      <c r="A160" t="s">
        <v>4359</v>
      </c>
      <c r="B160">
        <v>2003</v>
      </c>
      <c r="C160" t="s">
        <v>4708</v>
      </c>
      <c r="D160">
        <v>25</v>
      </c>
      <c r="E160">
        <v>0</v>
      </c>
      <c r="F160" s="16">
        <v>1743.21</v>
      </c>
      <c r="G160" t="s">
        <v>4700</v>
      </c>
      <c r="H160" t="s">
        <v>4698</v>
      </c>
      <c r="I160" t="s">
        <v>4718</v>
      </c>
      <c r="J160" s="17">
        <f t="shared" si="4"/>
        <v>37827</v>
      </c>
      <c r="K160">
        <f t="shared" ca="1" si="5"/>
        <v>22</v>
      </c>
    </row>
    <row r="161" spans="1:11" ht="15.75" customHeight="1">
      <c r="A161" t="s">
        <v>4357</v>
      </c>
      <c r="B161">
        <v>2003</v>
      </c>
      <c r="C161" t="s">
        <v>4708</v>
      </c>
      <c r="D161">
        <v>28</v>
      </c>
      <c r="E161">
        <v>0</v>
      </c>
      <c r="F161" s="16">
        <v>1744.47</v>
      </c>
      <c r="G161" t="s">
        <v>4700</v>
      </c>
      <c r="H161" t="s">
        <v>4698</v>
      </c>
      <c r="I161" t="s">
        <v>4718</v>
      </c>
      <c r="J161" s="17">
        <f t="shared" si="4"/>
        <v>37830</v>
      </c>
      <c r="K161">
        <f t="shared" ca="1" si="5"/>
        <v>22</v>
      </c>
    </row>
    <row r="162" spans="1:11" ht="15.75" customHeight="1">
      <c r="A162" t="s">
        <v>4355</v>
      </c>
      <c r="B162">
        <v>2003</v>
      </c>
      <c r="C162" t="s">
        <v>4712</v>
      </c>
      <c r="D162">
        <v>26</v>
      </c>
      <c r="E162">
        <v>0</v>
      </c>
      <c r="F162" s="16">
        <v>1748.77</v>
      </c>
      <c r="G162" t="s">
        <v>4700</v>
      </c>
      <c r="H162" t="s">
        <v>4698</v>
      </c>
      <c r="I162" t="s">
        <v>4718</v>
      </c>
      <c r="J162" s="17">
        <f t="shared" si="4"/>
        <v>37890</v>
      </c>
      <c r="K162">
        <f t="shared" ca="1" si="5"/>
        <v>22</v>
      </c>
    </row>
    <row r="163" spans="1:11" ht="15.75" customHeight="1">
      <c r="A163" t="s">
        <v>4353</v>
      </c>
      <c r="B163">
        <v>1998</v>
      </c>
      <c r="C163" t="s">
        <v>4717</v>
      </c>
      <c r="D163">
        <v>7</v>
      </c>
      <c r="E163">
        <v>0</v>
      </c>
      <c r="F163" s="16">
        <v>1756.6</v>
      </c>
      <c r="G163" t="s">
        <v>4700</v>
      </c>
      <c r="H163" t="s">
        <v>4700</v>
      </c>
      <c r="I163" t="s">
        <v>4709</v>
      </c>
      <c r="J163" s="17">
        <f t="shared" si="4"/>
        <v>36075</v>
      </c>
      <c r="K163">
        <f t="shared" ca="1" si="5"/>
        <v>27</v>
      </c>
    </row>
    <row r="164" spans="1:11" ht="15.75" customHeight="1">
      <c r="A164" t="s">
        <v>4351</v>
      </c>
      <c r="B164">
        <v>2003</v>
      </c>
      <c r="C164" t="s">
        <v>4710</v>
      </c>
      <c r="D164">
        <v>19</v>
      </c>
      <c r="E164">
        <v>0</v>
      </c>
      <c r="F164" s="16">
        <v>1759.34</v>
      </c>
      <c r="G164" t="s">
        <v>4700</v>
      </c>
      <c r="H164" t="s">
        <v>4698</v>
      </c>
      <c r="I164" t="s">
        <v>4718</v>
      </c>
      <c r="J164" s="17">
        <f t="shared" si="4"/>
        <v>37944</v>
      </c>
      <c r="K164">
        <f t="shared" ca="1" si="5"/>
        <v>22</v>
      </c>
    </row>
    <row r="165" spans="1:11" ht="15.75" customHeight="1">
      <c r="A165" t="s">
        <v>4349</v>
      </c>
      <c r="B165">
        <v>2002</v>
      </c>
      <c r="C165" t="s">
        <v>4714</v>
      </c>
      <c r="D165">
        <v>13</v>
      </c>
      <c r="E165">
        <v>0</v>
      </c>
      <c r="F165" s="16">
        <v>1769.53</v>
      </c>
      <c r="G165" t="s">
        <v>4700</v>
      </c>
      <c r="H165" t="s">
        <v>4700</v>
      </c>
      <c r="I165" t="s">
        <v>4713</v>
      </c>
      <c r="J165" s="17">
        <f t="shared" si="4"/>
        <v>37603</v>
      </c>
      <c r="K165">
        <f t="shared" ca="1" si="5"/>
        <v>22</v>
      </c>
    </row>
    <row r="166" spans="1:11" ht="15.75" customHeight="1">
      <c r="A166" t="s">
        <v>4347</v>
      </c>
      <c r="B166">
        <v>1999</v>
      </c>
      <c r="C166" t="s">
        <v>4712</v>
      </c>
      <c r="D166">
        <v>25</v>
      </c>
      <c r="E166">
        <v>0</v>
      </c>
      <c r="F166" s="16">
        <v>1815.88</v>
      </c>
      <c r="G166" t="s">
        <v>4700</v>
      </c>
      <c r="H166" t="s">
        <v>4700</v>
      </c>
      <c r="I166" t="s">
        <v>4709</v>
      </c>
      <c r="J166" s="17">
        <f t="shared" si="4"/>
        <v>36428</v>
      </c>
      <c r="K166">
        <f t="shared" ca="1" si="5"/>
        <v>26</v>
      </c>
    </row>
    <row r="167" spans="1:11" ht="15.75" customHeight="1">
      <c r="A167" t="s">
        <v>4345</v>
      </c>
      <c r="B167">
        <v>2004</v>
      </c>
      <c r="C167" t="s">
        <v>4716</v>
      </c>
      <c r="D167">
        <v>19</v>
      </c>
      <c r="E167">
        <v>0</v>
      </c>
      <c r="F167" s="16">
        <v>1822.54</v>
      </c>
      <c r="G167" t="s">
        <v>4700</v>
      </c>
      <c r="H167" t="s">
        <v>4698</v>
      </c>
      <c r="I167" t="s">
        <v>4713</v>
      </c>
      <c r="J167" s="17">
        <f t="shared" si="4"/>
        <v>38218</v>
      </c>
      <c r="K167">
        <f t="shared" ca="1" si="5"/>
        <v>21</v>
      </c>
    </row>
    <row r="168" spans="1:11" ht="15.75" customHeight="1">
      <c r="A168" t="s">
        <v>4343</v>
      </c>
      <c r="B168">
        <v>1999</v>
      </c>
      <c r="C168" t="s">
        <v>4710</v>
      </c>
      <c r="D168">
        <v>17</v>
      </c>
      <c r="E168">
        <v>0</v>
      </c>
      <c r="F168" s="16">
        <v>1824.29</v>
      </c>
      <c r="G168" t="s">
        <v>4700</v>
      </c>
      <c r="H168" t="s">
        <v>4700</v>
      </c>
      <c r="I168" t="s">
        <v>4709</v>
      </c>
      <c r="J168" s="17">
        <f t="shared" si="4"/>
        <v>36481</v>
      </c>
      <c r="K168">
        <f t="shared" ca="1" si="5"/>
        <v>26</v>
      </c>
    </row>
    <row r="169" spans="1:11" ht="15.75" customHeight="1">
      <c r="A169" t="s">
        <v>4341</v>
      </c>
      <c r="B169">
        <v>1999</v>
      </c>
      <c r="C169" t="s">
        <v>4717</v>
      </c>
      <c r="D169">
        <v>1</v>
      </c>
      <c r="E169">
        <v>0</v>
      </c>
      <c r="F169" s="16">
        <v>1826.84</v>
      </c>
      <c r="G169" t="s">
        <v>4700</v>
      </c>
      <c r="H169" t="s">
        <v>4699</v>
      </c>
      <c r="I169" t="s">
        <v>4718</v>
      </c>
      <c r="J169" s="17">
        <f t="shared" si="4"/>
        <v>36434</v>
      </c>
      <c r="K169">
        <f t="shared" ca="1" si="5"/>
        <v>26</v>
      </c>
    </row>
    <row r="170" spans="1:11" ht="15.75" customHeight="1">
      <c r="A170" t="s">
        <v>4339</v>
      </c>
      <c r="B170">
        <v>2003</v>
      </c>
      <c r="C170" t="s">
        <v>4716</v>
      </c>
      <c r="D170">
        <v>11</v>
      </c>
      <c r="E170">
        <v>1</v>
      </c>
      <c r="F170" s="16">
        <v>1832.09</v>
      </c>
      <c r="G170" t="s">
        <v>4700</v>
      </c>
      <c r="H170" t="s">
        <v>4700</v>
      </c>
      <c r="I170" t="s">
        <v>4718</v>
      </c>
      <c r="J170" s="17">
        <f t="shared" si="4"/>
        <v>37844</v>
      </c>
      <c r="K170">
        <f t="shared" ca="1" si="5"/>
        <v>22</v>
      </c>
    </row>
    <row r="171" spans="1:11" ht="15.75" customHeight="1">
      <c r="A171" t="s">
        <v>4337</v>
      </c>
      <c r="B171">
        <v>2003</v>
      </c>
      <c r="C171" t="s">
        <v>4716</v>
      </c>
      <c r="D171">
        <v>4</v>
      </c>
      <c r="E171">
        <v>1</v>
      </c>
      <c r="F171" s="16">
        <v>1837.24</v>
      </c>
      <c r="G171" t="s">
        <v>4700</v>
      </c>
      <c r="H171" t="s">
        <v>4699</v>
      </c>
      <c r="I171" t="s">
        <v>4718</v>
      </c>
      <c r="J171" s="17">
        <f t="shared" si="4"/>
        <v>37837</v>
      </c>
      <c r="K171">
        <f t="shared" ca="1" si="5"/>
        <v>22</v>
      </c>
    </row>
    <row r="172" spans="1:11" ht="15.75" customHeight="1">
      <c r="A172" t="s">
        <v>4335</v>
      </c>
      <c r="B172">
        <v>1999</v>
      </c>
      <c r="C172" t="s">
        <v>4714</v>
      </c>
      <c r="D172">
        <v>12</v>
      </c>
      <c r="E172">
        <v>0</v>
      </c>
      <c r="F172" s="16">
        <v>1837.28</v>
      </c>
      <c r="G172" t="s">
        <v>4700</v>
      </c>
      <c r="H172" t="s">
        <v>4699</v>
      </c>
      <c r="I172" t="s">
        <v>4709</v>
      </c>
      <c r="J172" s="17">
        <f t="shared" si="4"/>
        <v>36506</v>
      </c>
      <c r="K172">
        <f t="shared" ca="1" si="5"/>
        <v>25</v>
      </c>
    </row>
    <row r="173" spans="1:11" ht="15.75" customHeight="1">
      <c r="A173" t="s">
        <v>4333</v>
      </c>
      <c r="B173">
        <v>2003</v>
      </c>
      <c r="C173" t="s">
        <v>4708</v>
      </c>
      <c r="D173">
        <v>20</v>
      </c>
      <c r="E173">
        <v>1</v>
      </c>
      <c r="F173" s="16">
        <v>1842.52</v>
      </c>
      <c r="G173" t="s">
        <v>4700</v>
      </c>
      <c r="H173" t="s">
        <v>4699</v>
      </c>
      <c r="I173" t="s">
        <v>4718</v>
      </c>
      <c r="J173" s="17">
        <f t="shared" si="4"/>
        <v>37822</v>
      </c>
      <c r="K173">
        <f t="shared" ca="1" si="5"/>
        <v>22</v>
      </c>
    </row>
    <row r="174" spans="1:11" ht="15.75" customHeight="1">
      <c r="A174" t="s">
        <v>4331</v>
      </c>
      <c r="B174">
        <v>1994</v>
      </c>
      <c r="C174" t="s">
        <v>4714</v>
      </c>
      <c r="D174">
        <v>6</v>
      </c>
      <c r="E174">
        <v>0</v>
      </c>
      <c r="F174" s="16">
        <v>1850.55</v>
      </c>
      <c r="G174" t="s">
        <v>4700</v>
      </c>
      <c r="H174" t="s">
        <v>4699</v>
      </c>
      <c r="I174" t="s">
        <v>4713</v>
      </c>
      <c r="J174" s="17">
        <f t="shared" si="4"/>
        <v>34674</v>
      </c>
      <c r="K174">
        <f t="shared" ca="1" si="5"/>
        <v>30</v>
      </c>
    </row>
    <row r="175" spans="1:11" ht="15.75" customHeight="1">
      <c r="A175" t="s">
        <v>4329</v>
      </c>
      <c r="B175">
        <v>2004</v>
      </c>
      <c r="C175" t="s">
        <v>4714</v>
      </c>
      <c r="D175">
        <v>27</v>
      </c>
      <c r="E175">
        <v>0</v>
      </c>
      <c r="F175" s="16">
        <v>1863.45</v>
      </c>
      <c r="G175" t="s">
        <v>4700</v>
      </c>
      <c r="H175" t="s">
        <v>4698</v>
      </c>
      <c r="I175" t="s">
        <v>4723</v>
      </c>
      <c r="J175" s="17">
        <f t="shared" si="4"/>
        <v>38348</v>
      </c>
      <c r="K175">
        <f t="shared" ca="1" si="5"/>
        <v>20</v>
      </c>
    </row>
    <row r="176" spans="1:11" ht="15.75" customHeight="1">
      <c r="A176" t="s">
        <v>4327</v>
      </c>
      <c r="B176">
        <v>1996</v>
      </c>
      <c r="C176" t="s">
        <v>4708</v>
      </c>
      <c r="D176">
        <v>2</v>
      </c>
      <c r="E176">
        <v>0</v>
      </c>
      <c r="F176" s="16">
        <v>1865.98</v>
      </c>
      <c r="G176" t="s">
        <v>4700</v>
      </c>
      <c r="H176" t="s">
        <v>4700</v>
      </c>
      <c r="I176" t="s">
        <v>4713</v>
      </c>
      <c r="J176" s="17">
        <f t="shared" si="4"/>
        <v>35248</v>
      </c>
      <c r="K176">
        <f t="shared" ca="1" si="5"/>
        <v>29</v>
      </c>
    </row>
    <row r="177" spans="1:11" ht="15.75" customHeight="1">
      <c r="A177" t="s">
        <v>4325</v>
      </c>
      <c r="B177">
        <v>2002</v>
      </c>
      <c r="C177" t="s">
        <v>4712</v>
      </c>
      <c r="D177">
        <v>22</v>
      </c>
      <c r="E177">
        <v>0</v>
      </c>
      <c r="F177" s="16">
        <v>1875.34</v>
      </c>
      <c r="G177" t="s">
        <v>4700</v>
      </c>
      <c r="H177" t="s">
        <v>4699</v>
      </c>
      <c r="I177" t="s">
        <v>4718</v>
      </c>
      <c r="J177" s="17">
        <f t="shared" si="4"/>
        <v>37521</v>
      </c>
      <c r="K177">
        <f t="shared" ca="1" si="5"/>
        <v>23</v>
      </c>
    </row>
    <row r="178" spans="1:11" ht="15.75" customHeight="1">
      <c r="A178" t="s">
        <v>4323</v>
      </c>
      <c r="B178">
        <v>2002</v>
      </c>
      <c r="C178" t="s">
        <v>4717</v>
      </c>
      <c r="D178">
        <v>29</v>
      </c>
      <c r="E178">
        <v>0</v>
      </c>
      <c r="F178" s="16">
        <v>1877.93</v>
      </c>
      <c r="G178" t="s">
        <v>4700</v>
      </c>
      <c r="H178" t="s">
        <v>4698</v>
      </c>
      <c r="I178" t="s">
        <v>4709</v>
      </c>
      <c r="J178" s="17">
        <f t="shared" si="4"/>
        <v>37558</v>
      </c>
      <c r="K178">
        <f t="shared" ca="1" si="5"/>
        <v>23</v>
      </c>
    </row>
    <row r="179" spans="1:11" ht="15.75" customHeight="1">
      <c r="A179" t="s">
        <v>4321</v>
      </c>
      <c r="B179">
        <v>2002</v>
      </c>
      <c r="C179" t="s">
        <v>4716</v>
      </c>
      <c r="D179">
        <v>29</v>
      </c>
      <c r="E179">
        <v>0</v>
      </c>
      <c r="F179" s="16">
        <v>1880.07</v>
      </c>
      <c r="G179" t="s">
        <v>4700</v>
      </c>
      <c r="H179" t="s">
        <v>4699</v>
      </c>
      <c r="I179" t="s">
        <v>4709</v>
      </c>
      <c r="J179" s="17">
        <f t="shared" si="4"/>
        <v>37497</v>
      </c>
      <c r="K179">
        <f t="shared" ca="1" si="5"/>
        <v>23</v>
      </c>
    </row>
    <row r="180" spans="1:11" ht="15.75" customHeight="1">
      <c r="A180" t="s">
        <v>4319</v>
      </c>
      <c r="B180">
        <v>2002</v>
      </c>
      <c r="C180" t="s">
        <v>4716</v>
      </c>
      <c r="D180">
        <v>21</v>
      </c>
      <c r="E180">
        <v>0</v>
      </c>
      <c r="F180" s="16">
        <v>1880.49</v>
      </c>
      <c r="G180" t="s">
        <v>4700</v>
      </c>
      <c r="H180" t="s">
        <v>4698</v>
      </c>
      <c r="I180" t="s">
        <v>4718</v>
      </c>
      <c r="J180" s="17">
        <f t="shared" si="4"/>
        <v>37489</v>
      </c>
      <c r="K180">
        <f t="shared" ca="1" si="5"/>
        <v>23</v>
      </c>
    </row>
    <row r="181" spans="1:11" ht="15.75" customHeight="1">
      <c r="A181" t="s">
        <v>4317</v>
      </c>
      <c r="B181">
        <v>2001</v>
      </c>
      <c r="C181" t="s">
        <v>4716</v>
      </c>
      <c r="D181">
        <v>10</v>
      </c>
      <c r="E181">
        <v>0</v>
      </c>
      <c r="F181" s="16">
        <v>1906.36</v>
      </c>
      <c r="G181" t="s">
        <v>4700</v>
      </c>
      <c r="H181" t="s">
        <v>4698</v>
      </c>
      <c r="I181" t="s">
        <v>4713</v>
      </c>
      <c r="J181" s="17">
        <f t="shared" si="4"/>
        <v>37113</v>
      </c>
      <c r="K181">
        <f t="shared" ca="1" si="5"/>
        <v>24</v>
      </c>
    </row>
    <row r="182" spans="1:11" ht="15.75" customHeight="1">
      <c r="A182" t="s">
        <v>4315</v>
      </c>
      <c r="B182">
        <v>1994</v>
      </c>
      <c r="C182" t="s">
        <v>4717</v>
      </c>
      <c r="D182">
        <v>6</v>
      </c>
      <c r="E182">
        <v>0</v>
      </c>
      <c r="F182" s="16">
        <v>1908.9</v>
      </c>
      <c r="G182" t="s">
        <v>4700</v>
      </c>
      <c r="H182" t="s">
        <v>4700</v>
      </c>
      <c r="I182" t="s">
        <v>4709</v>
      </c>
      <c r="J182" s="17">
        <f t="shared" si="4"/>
        <v>34613</v>
      </c>
      <c r="K182">
        <f t="shared" ca="1" si="5"/>
        <v>31</v>
      </c>
    </row>
    <row r="183" spans="1:11" ht="15.75" customHeight="1">
      <c r="A183" t="s">
        <v>4313</v>
      </c>
      <c r="B183">
        <v>2001</v>
      </c>
      <c r="C183" t="s">
        <v>4716</v>
      </c>
      <c r="D183">
        <v>3</v>
      </c>
      <c r="E183">
        <v>0</v>
      </c>
      <c r="F183" s="16">
        <v>1909.53</v>
      </c>
      <c r="G183" t="s">
        <v>4700</v>
      </c>
      <c r="H183" t="s">
        <v>4700</v>
      </c>
      <c r="I183" t="s">
        <v>4713</v>
      </c>
      <c r="J183" s="17">
        <f t="shared" si="4"/>
        <v>37106</v>
      </c>
      <c r="K183">
        <f t="shared" ca="1" si="5"/>
        <v>24</v>
      </c>
    </row>
    <row r="184" spans="1:11" ht="15.75" customHeight="1">
      <c r="A184" t="s">
        <v>4311</v>
      </c>
      <c r="B184">
        <v>2001</v>
      </c>
      <c r="C184" t="s">
        <v>4714</v>
      </c>
      <c r="D184">
        <v>9</v>
      </c>
      <c r="E184">
        <v>0</v>
      </c>
      <c r="F184" s="16">
        <v>1917.32</v>
      </c>
      <c r="G184" t="s">
        <v>4700</v>
      </c>
      <c r="H184" t="s">
        <v>4699</v>
      </c>
      <c r="I184" t="s">
        <v>4713</v>
      </c>
      <c r="J184" s="17">
        <f t="shared" si="4"/>
        <v>37234</v>
      </c>
      <c r="K184">
        <f t="shared" ca="1" si="5"/>
        <v>23</v>
      </c>
    </row>
    <row r="185" spans="1:11" ht="15.75" customHeight="1">
      <c r="A185" t="s">
        <v>4309</v>
      </c>
      <c r="B185">
        <v>2002</v>
      </c>
      <c r="C185" t="s">
        <v>4712</v>
      </c>
      <c r="D185">
        <v>7</v>
      </c>
      <c r="E185">
        <v>1</v>
      </c>
      <c r="F185" s="16">
        <v>1964.78</v>
      </c>
      <c r="G185" t="s">
        <v>4700</v>
      </c>
      <c r="H185" t="s">
        <v>4698</v>
      </c>
      <c r="I185" t="s">
        <v>4718</v>
      </c>
      <c r="J185" s="17">
        <f t="shared" si="4"/>
        <v>37506</v>
      </c>
      <c r="K185">
        <f t="shared" ca="1" si="5"/>
        <v>23</v>
      </c>
    </row>
    <row r="186" spans="1:11" ht="15.75" customHeight="1">
      <c r="A186" t="s">
        <v>4307</v>
      </c>
      <c r="B186">
        <v>2002</v>
      </c>
      <c r="C186" t="s">
        <v>4708</v>
      </c>
      <c r="D186">
        <v>29</v>
      </c>
      <c r="E186">
        <v>0</v>
      </c>
      <c r="F186" s="16">
        <v>1967.02</v>
      </c>
      <c r="G186" t="s">
        <v>4700</v>
      </c>
      <c r="H186" t="s">
        <v>4699</v>
      </c>
      <c r="I186" t="s">
        <v>4721</v>
      </c>
      <c r="J186" s="17">
        <f t="shared" si="4"/>
        <v>37466</v>
      </c>
      <c r="K186">
        <f t="shared" ca="1" si="5"/>
        <v>23</v>
      </c>
    </row>
    <row r="187" spans="1:11" ht="15.75" customHeight="1">
      <c r="A187" t="s">
        <v>4305</v>
      </c>
      <c r="B187">
        <v>1998</v>
      </c>
      <c r="C187" t="s">
        <v>4712</v>
      </c>
      <c r="D187">
        <v>28</v>
      </c>
      <c r="E187">
        <v>0</v>
      </c>
      <c r="F187" s="16">
        <v>1969.61</v>
      </c>
      <c r="G187" t="s">
        <v>4700</v>
      </c>
      <c r="H187" t="s">
        <v>4700</v>
      </c>
      <c r="I187" t="s">
        <v>4718</v>
      </c>
      <c r="J187" s="17">
        <f t="shared" si="4"/>
        <v>36066</v>
      </c>
      <c r="K187">
        <f t="shared" ca="1" si="5"/>
        <v>27</v>
      </c>
    </row>
    <row r="188" spans="1:11" ht="15.75" customHeight="1">
      <c r="A188" t="s">
        <v>4303</v>
      </c>
      <c r="B188">
        <v>1998</v>
      </c>
      <c r="C188" t="s">
        <v>4717</v>
      </c>
      <c r="D188">
        <v>5</v>
      </c>
      <c r="E188">
        <v>0</v>
      </c>
      <c r="F188" s="16">
        <v>1972.95</v>
      </c>
      <c r="G188" t="s">
        <v>4700</v>
      </c>
      <c r="H188" t="s">
        <v>4698</v>
      </c>
      <c r="I188" t="s">
        <v>4718</v>
      </c>
      <c r="J188" s="17">
        <f t="shared" si="4"/>
        <v>36073</v>
      </c>
      <c r="K188">
        <f t="shared" ca="1" si="5"/>
        <v>27</v>
      </c>
    </row>
    <row r="189" spans="1:11" ht="15.75" customHeight="1">
      <c r="A189" t="s">
        <v>4301</v>
      </c>
      <c r="B189">
        <v>1998</v>
      </c>
      <c r="C189" t="s">
        <v>4712</v>
      </c>
      <c r="D189">
        <v>29</v>
      </c>
      <c r="E189">
        <v>0</v>
      </c>
      <c r="F189" s="16">
        <v>1977.82</v>
      </c>
      <c r="G189" t="s">
        <v>4700</v>
      </c>
      <c r="H189" t="s">
        <v>4698</v>
      </c>
      <c r="I189" t="s">
        <v>4718</v>
      </c>
      <c r="J189" s="17">
        <f t="shared" si="4"/>
        <v>36067</v>
      </c>
      <c r="K189">
        <f t="shared" ca="1" si="5"/>
        <v>27</v>
      </c>
    </row>
    <row r="190" spans="1:11" ht="15.75" customHeight="1">
      <c r="A190" t="s">
        <v>4299</v>
      </c>
      <c r="B190">
        <v>2002</v>
      </c>
      <c r="C190" t="s">
        <v>4708</v>
      </c>
      <c r="D190">
        <v>16</v>
      </c>
      <c r="E190">
        <v>1</v>
      </c>
      <c r="F190" s="16">
        <v>1980.07</v>
      </c>
      <c r="G190" t="s">
        <v>4700</v>
      </c>
      <c r="H190" t="s">
        <v>4700</v>
      </c>
      <c r="I190" t="s">
        <v>4718</v>
      </c>
      <c r="J190" s="17">
        <f t="shared" si="4"/>
        <v>37453</v>
      </c>
      <c r="K190">
        <f t="shared" ca="1" si="5"/>
        <v>23</v>
      </c>
    </row>
    <row r="191" spans="1:11" ht="15.75" customHeight="1">
      <c r="A191" t="s">
        <v>4297</v>
      </c>
      <c r="B191">
        <v>1998</v>
      </c>
      <c r="C191" t="s">
        <v>4714</v>
      </c>
      <c r="D191">
        <v>29</v>
      </c>
      <c r="E191">
        <v>0</v>
      </c>
      <c r="F191" s="16">
        <v>1981.58</v>
      </c>
      <c r="G191" t="s">
        <v>4700</v>
      </c>
      <c r="H191" t="s">
        <v>4698</v>
      </c>
      <c r="I191" t="s">
        <v>4709</v>
      </c>
      <c r="J191" s="17">
        <f t="shared" si="4"/>
        <v>36158</v>
      </c>
      <c r="K191">
        <f t="shared" ca="1" si="5"/>
        <v>26</v>
      </c>
    </row>
    <row r="192" spans="1:11" ht="15.75" customHeight="1">
      <c r="A192" t="s">
        <v>4295</v>
      </c>
      <c r="B192">
        <v>2002</v>
      </c>
      <c r="C192" t="s">
        <v>4712</v>
      </c>
      <c r="D192">
        <v>29</v>
      </c>
      <c r="E192">
        <v>0</v>
      </c>
      <c r="F192" s="16">
        <v>1984.45</v>
      </c>
      <c r="G192" t="s">
        <v>4700</v>
      </c>
      <c r="H192" t="s">
        <v>4700</v>
      </c>
      <c r="I192" t="s">
        <v>4721</v>
      </c>
      <c r="J192" s="17">
        <f t="shared" si="4"/>
        <v>37528</v>
      </c>
      <c r="K192">
        <f t="shared" ca="1" si="5"/>
        <v>23</v>
      </c>
    </row>
    <row r="193" spans="1:11" ht="15.75" customHeight="1">
      <c r="A193" t="s">
        <v>4293</v>
      </c>
      <c r="B193">
        <v>1998</v>
      </c>
      <c r="C193" t="s">
        <v>4712</v>
      </c>
      <c r="D193">
        <v>14</v>
      </c>
      <c r="E193">
        <v>0</v>
      </c>
      <c r="F193" s="16">
        <v>1986.93</v>
      </c>
      <c r="G193" t="s">
        <v>4700</v>
      </c>
      <c r="H193" t="s">
        <v>4699</v>
      </c>
      <c r="I193" t="s">
        <v>4709</v>
      </c>
      <c r="J193" s="17">
        <f t="shared" si="4"/>
        <v>36052</v>
      </c>
      <c r="K193">
        <f t="shared" ca="1" si="5"/>
        <v>27</v>
      </c>
    </row>
    <row r="194" spans="1:11" ht="15.75" customHeight="1">
      <c r="A194" t="s">
        <v>4291</v>
      </c>
      <c r="B194">
        <v>2001</v>
      </c>
      <c r="C194" t="s">
        <v>4716</v>
      </c>
      <c r="D194">
        <v>14</v>
      </c>
      <c r="E194">
        <v>0</v>
      </c>
      <c r="F194" s="16">
        <v>2007.95</v>
      </c>
      <c r="G194" t="s">
        <v>4700</v>
      </c>
      <c r="H194" t="s">
        <v>4699</v>
      </c>
      <c r="I194" t="s">
        <v>4718</v>
      </c>
      <c r="J194" s="17">
        <f t="shared" si="4"/>
        <v>37117</v>
      </c>
      <c r="K194">
        <f t="shared" ca="1" si="5"/>
        <v>24</v>
      </c>
    </row>
    <row r="195" spans="1:11" ht="15.75" customHeight="1">
      <c r="A195" t="s">
        <v>4289</v>
      </c>
      <c r="B195">
        <v>2001</v>
      </c>
      <c r="C195" t="s">
        <v>4708</v>
      </c>
      <c r="D195">
        <v>1</v>
      </c>
      <c r="E195">
        <v>0</v>
      </c>
      <c r="F195" s="16">
        <v>2020.18</v>
      </c>
      <c r="G195" t="s">
        <v>4700</v>
      </c>
      <c r="H195" t="s">
        <v>4698</v>
      </c>
      <c r="I195" t="s">
        <v>4718</v>
      </c>
      <c r="J195" s="17">
        <f t="shared" ref="J195:J258" si="6">DATEVALUE(D195&amp;"-"&amp;C195&amp;" -"&amp;B195)</f>
        <v>37073</v>
      </c>
      <c r="K195">
        <f t="shared" ref="K195:K258" ca="1" si="7">DATEDIF(J195,TODAY(),"Y")</f>
        <v>24</v>
      </c>
    </row>
    <row r="196" spans="1:11" ht="15.75" customHeight="1">
      <c r="A196" t="s">
        <v>4287</v>
      </c>
      <c r="B196">
        <v>2001</v>
      </c>
      <c r="C196" t="s">
        <v>4712</v>
      </c>
      <c r="D196">
        <v>6</v>
      </c>
      <c r="E196">
        <v>0</v>
      </c>
      <c r="F196" s="16">
        <v>2020.55</v>
      </c>
      <c r="G196" t="s">
        <v>4700</v>
      </c>
      <c r="H196" t="s">
        <v>4699</v>
      </c>
      <c r="I196" t="s">
        <v>4709</v>
      </c>
      <c r="J196" s="17">
        <f t="shared" si="6"/>
        <v>37140</v>
      </c>
      <c r="K196">
        <f t="shared" ca="1" si="7"/>
        <v>24</v>
      </c>
    </row>
    <row r="197" spans="1:11" ht="15.75" customHeight="1">
      <c r="A197" t="s">
        <v>4285</v>
      </c>
      <c r="B197">
        <v>2001</v>
      </c>
      <c r="C197" t="s">
        <v>4716</v>
      </c>
      <c r="D197">
        <v>4</v>
      </c>
      <c r="E197">
        <v>0</v>
      </c>
      <c r="F197" s="16">
        <v>2026.97</v>
      </c>
      <c r="G197" t="s">
        <v>4700</v>
      </c>
      <c r="H197" t="s">
        <v>4699</v>
      </c>
      <c r="I197" t="s">
        <v>4709</v>
      </c>
      <c r="J197" s="17">
        <f t="shared" si="6"/>
        <v>37107</v>
      </c>
      <c r="K197">
        <f t="shared" ca="1" si="7"/>
        <v>24</v>
      </c>
    </row>
    <row r="198" spans="1:11" ht="15.75" customHeight="1">
      <c r="A198" t="s">
        <v>4283</v>
      </c>
      <c r="B198">
        <v>2000</v>
      </c>
      <c r="C198" t="s">
        <v>4712</v>
      </c>
      <c r="D198">
        <v>2</v>
      </c>
      <c r="E198">
        <v>0</v>
      </c>
      <c r="F198" s="16">
        <v>2045.69</v>
      </c>
      <c r="G198" t="s">
        <v>4700</v>
      </c>
      <c r="H198" t="s">
        <v>4700</v>
      </c>
      <c r="I198" t="s">
        <v>4713</v>
      </c>
      <c r="J198" s="17">
        <f t="shared" si="6"/>
        <v>36771</v>
      </c>
      <c r="K198">
        <f t="shared" ca="1" si="7"/>
        <v>25</v>
      </c>
    </row>
    <row r="199" spans="1:11" ht="15.75" customHeight="1">
      <c r="A199" t="s">
        <v>4281</v>
      </c>
      <c r="B199">
        <v>2000</v>
      </c>
      <c r="C199" t="s">
        <v>4708</v>
      </c>
      <c r="D199">
        <v>26</v>
      </c>
      <c r="E199">
        <v>0</v>
      </c>
      <c r="F199" s="16">
        <v>2055.3200000000002</v>
      </c>
      <c r="G199" t="s">
        <v>4700</v>
      </c>
      <c r="H199" t="s">
        <v>4700</v>
      </c>
      <c r="I199" t="s">
        <v>4713</v>
      </c>
      <c r="J199" s="17">
        <f t="shared" si="6"/>
        <v>36733</v>
      </c>
      <c r="K199">
        <f t="shared" ca="1" si="7"/>
        <v>25</v>
      </c>
    </row>
    <row r="200" spans="1:11" ht="15.75" customHeight="1">
      <c r="A200" t="s">
        <v>4279</v>
      </c>
      <c r="B200">
        <v>2004</v>
      </c>
      <c r="C200" t="s">
        <v>4711</v>
      </c>
      <c r="D200">
        <v>12</v>
      </c>
      <c r="E200">
        <v>0</v>
      </c>
      <c r="F200" s="16">
        <v>2094.1</v>
      </c>
      <c r="G200" t="s">
        <v>4700</v>
      </c>
      <c r="H200" t="s">
        <v>4699</v>
      </c>
      <c r="I200" t="s">
        <v>4723</v>
      </c>
      <c r="J200" s="17">
        <f t="shared" si="6"/>
        <v>38150</v>
      </c>
      <c r="K200">
        <f t="shared" ca="1" si="7"/>
        <v>21</v>
      </c>
    </row>
    <row r="201" spans="1:11" ht="15.75" customHeight="1">
      <c r="A201" t="s">
        <v>4277</v>
      </c>
      <c r="B201">
        <v>2001</v>
      </c>
      <c r="C201" t="s">
        <v>4716</v>
      </c>
      <c r="D201">
        <v>14</v>
      </c>
      <c r="E201">
        <v>0</v>
      </c>
      <c r="F201" s="16">
        <v>2102.2600000000002</v>
      </c>
      <c r="G201" t="s">
        <v>4700</v>
      </c>
      <c r="H201" t="s">
        <v>4699</v>
      </c>
      <c r="I201" t="s">
        <v>4720</v>
      </c>
      <c r="J201" s="17">
        <f t="shared" si="6"/>
        <v>37117</v>
      </c>
      <c r="K201">
        <f t="shared" ca="1" si="7"/>
        <v>24</v>
      </c>
    </row>
    <row r="202" spans="1:11" ht="15.75" customHeight="1">
      <c r="A202" t="s">
        <v>4275</v>
      </c>
      <c r="B202">
        <v>2001</v>
      </c>
      <c r="C202" t="s">
        <v>4711</v>
      </c>
      <c r="D202">
        <v>22</v>
      </c>
      <c r="E202">
        <v>1</v>
      </c>
      <c r="F202" s="16">
        <v>2103.08</v>
      </c>
      <c r="G202" t="s">
        <v>4700</v>
      </c>
      <c r="H202" t="s">
        <v>4699</v>
      </c>
      <c r="I202" t="s">
        <v>4718</v>
      </c>
      <c r="J202" s="17">
        <f t="shared" si="6"/>
        <v>37064</v>
      </c>
      <c r="K202">
        <f t="shared" ca="1" si="7"/>
        <v>24</v>
      </c>
    </row>
    <row r="203" spans="1:11" ht="15.75" customHeight="1">
      <c r="A203" t="s">
        <v>4273</v>
      </c>
      <c r="B203">
        <v>2001</v>
      </c>
      <c r="C203" t="s">
        <v>4710</v>
      </c>
      <c r="D203">
        <v>28</v>
      </c>
      <c r="E203">
        <v>0</v>
      </c>
      <c r="F203" s="16">
        <v>2104.11</v>
      </c>
      <c r="G203" t="s">
        <v>4699</v>
      </c>
      <c r="H203" t="s">
        <v>4698</v>
      </c>
      <c r="I203" t="s">
        <v>4721</v>
      </c>
      <c r="J203" s="17">
        <f t="shared" si="6"/>
        <v>37223</v>
      </c>
      <c r="K203">
        <f t="shared" ca="1" si="7"/>
        <v>23</v>
      </c>
    </row>
    <row r="204" spans="1:11" ht="15.75" customHeight="1">
      <c r="A204" t="s">
        <v>4271</v>
      </c>
      <c r="B204">
        <v>1989</v>
      </c>
      <c r="C204" t="s">
        <v>4708</v>
      </c>
      <c r="D204">
        <v>21</v>
      </c>
      <c r="E204">
        <v>3</v>
      </c>
      <c r="F204" s="16">
        <v>2106.2600000000002</v>
      </c>
      <c r="G204" t="s">
        <v>4699</v>
      </c>
      <c r="H204" t="s">
        <v>4699</v>
      </c>
      <c r="I204" t="s">
        <v>4709</v>
      </c>
      <c r="J204" s="17">
        <f t="shared" si="6"/>
        <v>32710</v>
      </c>
      <c r="K204">
        <f t="shared" ca="1" si="7"/>
        <v>36</v>
      </c>
    </row>
    <row r="205" spans="1:11" ht="15.75" customHeight="1">
      <c r="A205" t="s">
        <v>4269</v>
      </c>
      <c r="B205">
        <v>2003</v>
      </c>
      <c r="C205" t="s">
        <v>4712</v>
      </c>
      <c r="D205">
        <v>30</v>
      </c>
      <c r="E205">
        <v>0</v>
      </c>
      <c r="F205" s="16">
        <v>2117.34</v>
      </c>
      <c r="G205" t="s">
        <v>4699</v>
      </c>
      <c r="H205" t="s">
        <v>4700</v>
      </c>
      <c r="I205" t="s">
        <v>4713</v>
      </c>
      <c r="J205" s="17">
        <f t="shared" si="6"/>
        <v>37894</v>
      </c>
      <c r="K205">
        <f t="shared" ca="1" si="7"/>
        <v>22</v>
      </c>
    </row>
    <row r="206" spans="1:11" ht="15.75" customHeight="1">
      <c r="A206" t="s">
        <v>4267</v>
      </c>
      <c r="B206">
        <v>2004</v>
      </c>
      <c r="C206" t="s">
        <v>4710</v>
      </c>
      <c r="D206">
        <v>4</v>
      </c>
      <c r="E206">
        <v>0</v>
      </c>
      <c r="F206" s="16">
        <v>2118.61</v>
      </c>
      <c r="G206" t="s">
        <v>4699</v>
      </c>
      <c r="H206" t="s">
        <v>4698</v>
      </c>
      <c r="I206" t="s">
        <v>4713</v>
      </c>
      <c r="J206" s="17">
        <f t="shared" si="6"/>
        <v>38295</v>
      </c>
      <c r="K206">
        <f t="shared" ca="1" si="7"/>
        <v>21</v>
      </c>
    </row>
    <row r="207" spans="1:11" ht="15.75" customHeight="1">
      <c r="A207" t="s">
        <v>4265</v>
      </c>
      <c r="B207">
        <v>2003</v>
      </c>
      <c r="C207" t="s">
        <v>4716</v>
      </c>
      <c r="D207">
        <v>30</v>
      </c>
      <c r="E207">
        <v>0</v>
      </c>
      <c r="F207" s="16">
        <v>2128.4299999999998</v>
      </c>
      <c r="G207" t="s">
        <v>4699</v>
      </c>
      <c r="H207" t="s">
        <v>4698</v>
      </c>
      <c r="I207" t="s">
        <v>4713</v>
      </c>
      <c r="J207" s="17">
        <f t="shared" si="6"/>
        <v>37863</v>
      </c>
      <c r="K207">
        <f t="shared" ca="1" si="7"/>
        <v>22</v>
      </c>
    </row>
    <row r="208" spans="1:11" ht="15.75" customHeight="1">
      <c r="A208" t="s">
        <v>4263</v>
      </c>
      <c r="B208">
        <v>2003</v>
      </c>
      <c r="C208" t="s">
        <v>4714</v>
      </c>
      <c r="D208">
        <v>22</v>
      </c>
      <c r="E208">
        <v>0</v>
      </c>
      <c r="F208" s="16">
        <v>2130.6799999999998</v>
      </c>
      <c r="G208" t="s">
        <v>4699</v>
      </c>
      <c r="H208" t="s">
        <v>4700</v>
      </c>
      <c r="I208" t="s">
        <v>4713</v>
      </c>
      <c r="J208" s="17">
        <f t="shared" si="6"/>
        <v>37977</v>
      </c>
      <c r="K208">
        <f t="shared" ca="1" si="7"/>
        <v>21</v>
      </c>
    </row>
    <row r="209" spans="1:11" ht="15.75" customHeight="1">
      <c r="A209" t="s">
        <v>4261</v>
      </c>
      <c r="B209">
        <v>2003</v>
      </c>
      <c r="C209" t="s">
        <v>4712</v>
      </c>
      <c r="D209">
        <v>1</v>
      </c>
      <c r="E209">
        <v>0</v>
      </c>
      <c r="F209" s="16">
        <v>2134.9</v>
      </c>
      <c r="G209" t="s">
        <v>4699</v>
      </c>
      <c r="H209" t="s">
        <v>4700</v>
      </c>
      <c r="I209" t="s">
        <v>4713</v>
      </c>
      <c r="J209" s="17">
        <f t="shared" si="6"/>
        <v>37865</v>
      </c>
      <c r="K209">
        <f t="shared" ca="1" si="7"/>
        <v>22</v>
      </c>
    </row>
    <row r="210" spans="1:11" ht="15.75" customHeight="1">
      <c r="A210" t="s">
        <v>4259</v>
      </c>
      <c r="B210">
        <v>2003</v>
      </c>
      <c r="C210" t="s">
        <v>4712</v>
      </c>
      <c r="D210">
        <v>26</v>
      </c>
      <c r="E210">
        <v>0</v>
      </c>
      <c r="F210" s="16">
        <v>2136.88</v>
      </c>
      <c r="G210" t="s">
        <v>4699</v>
      </c>
      <c r="H210" t="s">
        <v>4699</v>
      </c>
      <c r="I210" t="s">
        <v>4713</v>
      </c>
      <c r="J210" s="17">
        <f t="shared" si="6"/>
        <v>37890</v>
      </c>
      <c r="K210">
        <f t="shared" ca="1" si="7"/>
        <v>22</v>
      </c>
    </row>
    <row r="211" spans="1:11" ht="15.75" customHeight="1">
      <c r="A211" t="s">
        <v>4257</v>
      </c>
      <c r="B211">
        <v>1997</v>
      </c>
      <c r="C211" t="s">
        <v>4712</v>
      </c>
      <c r="D211">
        <v>3</v>
      </c>
      <c r="E211">
        <v>0</v>
      </c>
      <c r="F211" s="16">
        <v>2137.65</v>
      </c>
      <c r="G211" t="s">
        <v>4700</v>
      </c>
      <c r="H211" t="s">
        <v>4698</v>
      </c>
      <c r="I211" t="s">
        <v>4709</v>
      </c>
      <c r="J211" s="17">
        <f t="shared" si="6"/>
        <v>35676</v>
      </c>
      <c r="K211">
        <f t="shared" ca="1" si="7"/>
        <v>28</v>
      </c>
    </row>
    <row r="212" spans="1:11" ht="15.75" customHeight="1">
      <c r="A212" t="s">
        <v>4255</v>
      </c>
      <c r="B212">
        <v>2003</v>
      </c>
      <c r="C212" t="s">
        <v>4716</v>
      </c>
      <c r="D212">
        <v>19</v>
      </c>
      <c r="E212">
        <v>0</v>
      </c>
      <c r="F212" s="16">
        <v>2138.0700000000002</v>
      </c>
      <c r="G212" t="s">
        <v>4699</v>
      </c>
      <c r="H212" t="s">
        <v>4698</v>
      </c>
      <c r="I212" t="s">
        <v>4713</v>
      </c>
      <c r="J212" s="17">
        <f t="shared" si="6"/>
        <v>37852</v>
      </c>
      <c r="K212">
        <f t="shared" ca="1" si="7"/>
        <v>22</v>
      </c>
    </row>
    <row r="213" spans="1:11" ht="15.75" customHeight="1">
      <c r="A213" t="s">
        <v>4253</v>
      </c>
      <c r="B213">
        <v>2004</v>
      </c>
      <c r="C213" t="s">
        <v>4717</v>
      </c>
      <c r="D213">
        <v>4</v>
      </c>
      <c r="E213">
        <v>0</v>
      </c>
      <c r="F213" s="16">
        <v>2144.85</v>
      </c>
      <c r="G213" t="s">
        <v>4699</v>
      </c>
      <c r="H213" t="s">
        <v>4698</v>
      </c>
      <c r="I213" t="s">
        <v>4718</v>
      </c>
      <c r="J213" s="17">
        <f t="shared" si="6"/>
        <v>38264</v>
      </c>
      <c r="K213">
        <f t="shared" ca="1" si="7"/>
        <v>21</v>
      </c>
    </row>
    <row r="214" spans="1:11" ht="15.75" customHeight="1">
      <c r="A214" t="s">
        <v>4251</v>
      </c>
      <c r="B214">
        <v>2000</v>
      </c>
      <c r="C214" t="s">
        <v>4714</v>
      </c>
      <c r="D214">
        <v>27</v>
      </c>
      <c r="E214">
        <v>0</v>
      </c>
      <c r="F214" s="16">
        <v>2150.4699999999998</v>
      </c>
      <c r="G214" t="s">
        <v>4699</v>
      </c>
      <c r="H214" t="s">
        <v>4700</v>
      </c>
      <c r="I214" t="s">
        <v>4718</v>
      </c>
      <c r="J214" s="17">
        <f t="shared" si="6"/>
        <v>36887</v>
      </c>
      <c r="K214">
        <f t="shared" ca="1" si="7"/>
        <v>24</v>
      </c>
    </row>
    <row r="215" spans="1:11" ht="15.75" customHeight="1">
      <c r="A215" t="s">
        <v>4249</v>
      </c>
      <c r="B215">
        <v>2000</v>
      </c>
      <c r="C215" t="s">
        <v>4717</v>
      </c>
      <c r="D215">
        <v>22</v>
      </c>
      <c r="E215">
        <v>0</v>
      </c>
      <c r="F215" s="16">
        <v>2154.36</v>
      </c>
      <c r="G215" t="s">
        <v>4699</v>
      </c>
      <c r="H215" t="s">
        <v>4699</v>
      </c>
      <c r="I215" t="s">
        <v>4718</v>
      </c>
      <c r="J215" s="17">
        <f t="shared" si="6"/>
        <v>36821</v>
      </c>
      <c r="K215">
        <f t="shared" ca="1" si="7"/>
        <v>25</v>
      </c>
    </row>
    <row r="216" spans="1:11" ht="15.75" customHeight="1">
      <c r="A216" t="s">
        <v>4247</v>
      </c>
      <c r="B216">
        <v>2000</v>
      </c>
      <c r="C216" t="s">
        <v>4710</v>
      </c>
      <c r="D216">
        <v>29</v>
      </c>
      <c r="E216">
        <v>0</v>
      </c>
      <c r="F216" s="16">
        <v>2155.6799999999998</v>
      </c>
      <c r="G216" t="s">
        <v>4699</v>
      </c>
      <c r="H216" t="s">
        <v>4700</v>
      </c>
      <c r="I216" t="s">
        <v>4709</v>
      </c>
      <c r="J216" s="17">
        <f t="shared" si="6"/>
        <v>36859</v>
      </c>
      <c r="K216">
        <f t="shared" ca="1" si="7"/>
        <v>24</v>
      </c>
    </row>
    <row r="217" spans="1:11" ht="15.75" customHeight="1">
      <c r="A217" t="s">
        <v>4245</v>
      </c>
      <c r="B217">
        <v>2000</v>
      </c>
      <c r="C217" t="s">
        <v>4714</v>
      </c>
      <c r="D217">
        <v>10</v>
      </c>
      <c r="E217">
        <v>0</v>
      </c>
      <c r="F217" s="16">
        <v>2156.75</v>
      </c>
      <c r="G217" t="s">
        <v>4699</v>
      </c>
      <c r="H217" t="s">
        <v>4699</v>
      </c>
      <c r="I217" t="s">
        <v>4709</v>
      </c>
      <c r="J217" s="17">
        <f t="shared" si="6"/>
        <v>36870</v>
      </c>
      <c r="K217">
        <f t="shared" ca="1" si="7"/>
        <v>24</v>
      </c>
    </row>
    <row r="218" spans="1:11" ht="15.75" customHeight="1">
      <c r="A218" t="s">
        <v>4243</v>
      </c>
      <c r="B218">
        <v>2000</v>
      </c>
      <c r="C218" t="s">
        <v>4716</v>
      </c>
      <c r="D218">
        <v>23</v>
      </c>
      <c r="E218">
        <v>0</v>
      </c>
      <c r="F218" s="16">
        <v>2166.73</v>
      </c>
      <c r="G218" t="s">
        <v>4699</v>
      </c>
      <c r="H218" t="s">
        <v>4699</v>
      </c>
      <c r="I218" t="s">
        <v>4718</v>
      </c>
      <c r="J218" s="17">
        <f t="shared" si="6"/>
        <v>36761</v>
      </c>
      <c r="K218">
        <f t="shared" ca="1" si="7"/>
        <v>25</v>
      </c>
    </row>
    <row r="219" spans="1:11" ht="15.75" customHeight="1">
      <c r="A219" t="s">
        <v>4241</v>
      </c>
      <c r="B219">
        <v>1994</v>
      </c>
      <c r="C219" t="s">
        <v>4712</v>
      </c>
      <c r="D219">
        <v>27</v>
      </c>
      <c r="E219">
        <v>0</v>
      </c>
      <c r="F219" s="16">
        <v>2170.08</v>
      </c>
      <c r="G219" t="s">
        <v>4699</v>
      </c>
      <c r="H219" t="s">
        <v>4699</v>
      </c>
      <c r="I219" t="s">
        <v>4709</v>
      </c>
      <c r="J219" s="17">
        <f t="shared" si="6"/>
        <v>34604</v>
      </c>
      <c r="K219">
        <f t="shared" ca="1" si="7"/>
        <v>31</v>
      </c>
    </row>
    <row r="220" spans="1:11" ht="15.75" customHeight="1">
      <c r="A220" t="s">
        <v>4239</v>
      </c>
      <c r="B220">
        <v>1991</v>
      </c>
      <c r="C220" t="s">
        <v>4714</v>
      </c>
      <c r="D220">
        <v>16</v>
      </c>
      <c r="E220">
        <v>3</v>
      </c>
      <c r="F220" s="16">
        <v>2193.1999999999998</v>
      </c>
      <c r="G220" t="s">
        <v>4699</v>
      </c>
      <c r="H220" t="s">
        <v>4699</v>
      </c>
      <c r="I220" t="s">
        <v>4713</v>
      </c>
      <c r="J220" s="17">
        <f t="shared" si="6"/>
        <v>33588</v>
      </c>
      <c r="K220">
        <f t="shared" ca="1" si="7"/>
        <v>33</v>
      </c>
    </row>
    <row r="221" spans="1:11" ht="15.75" customHeight="1">
      <c r="A221" t="s">
        <v>4237</v>
      </c>
      <c r="B221">
        <v>2004</v>
      </c>
      <c r="C221" t="s">
        <v>4714</v>
      </c>
      <c r="D221">
        <v>7</v>
      </c>
      <c r="E221">
        <v>0</v>
      </c>
      <c r="F221" s="16">
        <v>2196.4699999999998</v>
      </c>
      <c r="G221" t="s">
        <v>4699</v>
      </c>
      <c r="H221" t="s">
        <v>4700</v>
      </c>
      <c r="I221" t="s">
        <v>4724</v>
      </c>
      <c r="J221" s="17">
        <f t="shared" si="6"/>
        <v>38328</v>
      </c>
      <c r="K221">
        <f t="shared" ca="1" si="7"/>
        <v>20</v>
      </c>
    </row>
    <row r="222" spans="1:11" ht="15.75" customHeight="1">
      <c r="A222" t="s">
        <v>4235</v>
      </c>
      <c r="B222">
        <v>2004</v>
      </c>
      <c r="C222" t="s">
        <v>4712</v>
      </c>
      <c r="D222">
        <v>3</v>
      </c>
      <c r="E222">
        <v>0</v>
      </c>
      <c r="F222" s="16">
        <v>2198.19</v>
      </c>
      <c r="G222" t="s">
        <v>4699</v>
      </c>
      <c r="H222" t="s">
        <v>4698</v>
      </c>
      <c r="I222" t="s">
        <v>4725</v>
      </c>
      <c r="J222" s="17">
        <f t="shared" si="6"/>
        <v>38233</v>
      </c>
      <c r="K222">
        <f t="shared" ca="1" si="7"/>
        <v>21</v>
      </c>
    </row>
    <row r="223" spans="1:11" ht="15.75" customHeight="1">
      <c r="A223" t="s">
        <v>4233</v>
      </c>
      <c r="B223">
        <v>2004</v>
      </c>
      <c r="C223" t="s">
        <v>4712</v>
      </c>
      <c r="D223">
        <v>12</v>
      </c>
      <c r="E223">
        <v>0</v>
      </c>
      <c r="F223" s="16">
        <v>2200.83</v>
      </c>
      <c r="G223" t="s">
        <v>4699</v>
      </c>
      <c r="H223" t="s">
        <v>4699</v>
      </c>
      <c r="I223" t="s">
        <v>4724</v>
      </c>
      <c r="J223" s="17">
        <f t="shared" si="6"/>
        <v>38242</v>
      </c>
      <c r="K223">
        <f t="shared" ca="1" si="7"/>
        <v>21</v>
      </c>
    </row>
    <row r="224" spans="1:11" ht="15.75" customHeight="1">
      <c r="A224" t="s">
        <v>4231</v>
      </c>
      <c r="B224">
        <v>2004</v>
      </c>
      <c r="C224" t="s">
        <v>4708</v>
      </c>
      <c r="D224">
        <v>27</v>
      </c>
      <c r="E224">
        <v>1</v>
      </c>
      <c r="F224" s="16">
        <v>2201.1</v>
      </c>
      <c r="G224" t="s">
        <v>4699</v>
      </c>
      <c r="H224" t="s">
        <v>4700</v>
      </c>
      <c r="I224" t="s">
        <v>4709</v>
      </c>
      <c r="J224" s="17">
        <f t="shared" si="6"/>
        <v>38195</v>
      </c>
      <c r="K224">
        <f t="shared" ca="1" si="7"/>
        <v>21</v>
      </c>
    </row>
    <row r="225" spans="1:11" ht="15.75" customHeight="1">
      <c r="A225" t="s">
        <v>4229</v>
      </c>
      <c r="B225">
        <v>2004</v>
      </c>
      <c r="C225" t="s">
        <v>4716</v>
      </c>
      <c r="D225">
        <v>6</v>
      </c>
      <c r="E225">
        <v>0</v>
      </c>
      <c r="F225" s="16">
        <v>2203.4699999999998</v>
      </c>
      <c r="G225" t="s">
        <v>4699</v>
      </c>
      <c r="H225" t="s">
        <v>4699</v>
      </c>
      <c r="I225" t="s">
        <v>4724</v>
      </c>
      <c r="J225" s="17">
        <f t="shared" si="6"/>
        <v>38205</v>
      </c>
      <c r="K225">
        <f t="shared" ca="1" si="7"/>
        <v>21</v>
      </c>
    </row>
    <row r="226" spans="1:11" ht="15.75" customHeight="1">
      <c r="A226" t="s">
        <v>4227</v>
      </c>
      <c r="B226">
        <v>2004</v>
      </c>
      <c r="C226" t="s">
        <v>4717</v>
      </c>
      <c r="D226">
        <v>28</v>
      </c>
      <c r="E226">
        <v>0</v>
      </c>
      <c r="F226" s="16">
        <v>2203.7399999999998</v>
      </c>
      <c r="G226" t="s">
        <v>4699</v>
      </c>
      <c r="H226" t="s">
        <v>4699</v>
      </c>
      <c r="I226" t="s">
        <v>4724</v>
      </c>
      <c r="J226" s="17">
        <f t="shared" si="6"/>
        <v>38288</v>
      </c>
      <c r="K226">
        <f t="shared" ca="1" si="7"/>
        <v>21</v>
      </c>
    </row>
    <row r="227" spans="1:11" ht="15.75" customHeight="1">
      <c r="A227" t="s">
        <v>4225</v>
      </c>
      <c r="B227">
        <v>2004</v>
      </c>
      <c r="C227" t="s">
        <v>4710</v>
      </c>
      <c r="D227">
        <v>13</v>
      </c>
      <c r="E227">
        <v>0</v>
      </c>
      <c r="F227" s="16">
        <v>2205.98</v>
      </c>
      <c r="G227" t="s">
        <v>4699</v>
      </c>
      <c r="H227" t="s">
        <v>4700</v>
      </c>
      <c r="I227" t="s">
        <v>4724</v>
      </c>
      <c r="J227" s="17">
        <f t="shared" si="6"/>
        <v>38304</v>
      </c>
      <c r="K227">
        <f t="shared" ca="1" si="7"/>
        <v>21</v>
      </c>
    </row>
    <row r="228" spans="1:11" ht="15.75" customHeight="1">
      <c r="A228" t="s">
        <v>4223</v>
      </c>
      <c r="B228">
        <v>2004</v>
      </c>
      <c r="C228" t="s">
        <v>4716</v>
      </c>
      <c r="D228">
        <v>6</v>
      </c>
      <c r="E228">
        <v>0</v>
      </c>
      <c r="F228" s="16">
        <v>2207.6999999999998</v>
      </c>
      <c r="G228" t="s">
        <v>4699</v>
      </c>
      <c r="H228" t="s">
        <v>4699</v>
      </c>
      <c r="I228" t="s">
        <v>4724</v>
      </c>
      <c r="J228" s="17">
        <f t="shared" si="6"/>
        <v>38205</v>
      </c>
      <c r="K228">
        <f t="shared" ca="1" si="7"/>
        <v>21</v>
      </c>
    </row>
    <row r="229" spans="1:11" ht="15.75" customHeight="1">
      <c r="A229" t="s">
        <v>4221</v>
      </c>
      <c r="B229">
        <v>2004</v>
      </c>
      <c r="C229" t="s">
        <v>4708</v>
      </c>
      <c r="D229">
        <v>27</v>
      </c>
      <c r="E229">
        <v>0</v>
      </c>
      <c r="F229" s="16">
        <v>2211.13</v>
      </c>
      <c r="G229" t="s">
        <v>4699</v>
      </c>
      <c r="H229" t="s">
        <v>4699</v>
      </c>
      <c r="I229" t="s">
        <v>4724</v>
      </c>
      <c r="J229" s="17">
        <f t="shared" si="6"/>
        <v>38195</v>
      </c>
      <c r="K229">
        <f t="shared" ca="1" si="7"/>
        <v>21</v>
      </c>
    </row>
    <row r="230" spans="1:11" ht="15.75" customHeight="1">
      <c r="A230" t="s">
        <v>4219</v>
      </c>
      <c r="B230">
        <v>1994</v>
      </c>
      <c r="C230" t="s">
        <v>4710</v>
      </c>
      <c r="D230">
        <v>17</v>
      </c>
      <c r="E230">
        <v>0</v>
      </c>
      <c r="F230" s="16">
        <v>2213.21</v>
      </c>
      <c r="G230" t="s">
        <v>4699</v>
      </c>
      <c r="H230" t="s">
        <v>4699</v>
      </c>
      <c r="I230" t="s">
        <v>4709</v>
      </c>
      <c r="J230" s="17">
        <f t="shared" si="6"/>
        <v>34655</v>
      </c>
      <c r="K230">
        <f t="shared" ca="1" si="7"/>
        <v>31</v>
      </c>
    </row>
    <row r="231" spans="1:11" ht="15.75" customHeight="1">
      <c r="A231" t="s">
        <v>4217</v>
      </c>
      <c r="B231">
        <v>2004</v>
      </c>
      <c r="C231" t="s">
        <v>4711</v>
      </c>
      <c r="D231">
        <v>13</v>
      </c>
      <c r="E231">
        <v>0</v>
      </c>
      <c r="F231" s="16">
        <v>2217.4699999999998</v>
      </c>
      <c r="G231" t="s">
        <v>4699</v>
      </c>
      <c r="H231" t="s">
        <v>4698</v>
      </c>
      <c r="I231" t="s">
        <v>4724</v>
      </c>
      <c r="J231" s="17">
        <f t="shared" si="6"/>
        <v>38151</v>
      </c>
      <c r="K231">
        <f t="shared" ca="1" si="7"/>
        <v>21</v>
      </c>
    </row>
    <row r="232" spans="1:11" ht="15.75" customHeight="1">
      <c r="A232" t="s">
        <v>4215</v>
      </c>
      <c r="B232">
        <v>2004</v>
      </c>
      <c r="C232" t="s">
        <v>4712</v>
      </c>
      <c r="D232">
        <v>25</v>
      </c>
      <c r="E232">
        <v>0</v>
      </c>
      <c r="F232" s="16">
        <v>2217.6</v>
      </c>
      <c r="G232" t="s">
        <v>4699</v>
      </c>
      <c r="H232" t="s">
        <v>4698</v>
      </c>
      <c r="I232" t="s">
        <v>4724</v>
      </c>
      <c r="J232" s="17">
        <f t="shared" si="6"/>
        <v>38255</v>
      </c>
      <c r="K232">
        <f t="shared" ca="1" si="7"/>
        <v>21</v>
      </c>
    </row>
    <row r="233" spans="1:11" ht="15.75" customHeight="1">
      <c r="A233" t="s">
        <v>4213</v>
      </c>
      <c r="B233">
        <v>2004</v>
      </c>
      <c r="C233" t="s">
        <v>4714</v>
      </c>
      <c r="D233">
        <v>12</v>
      </c>
      <c r="E233">
        <v>1</v>
      </c>
      <c r="F233" s="16">
        <v>2219.4499999999998</v>
      </c>
      <c r="G233" t="s">
        <v>4699</v>
      </c>
      <c r="H233" t="s">
        <v>4698</v>
      </c>
      <c r="I233" t="s">
        <v>4709</v>
      </c>
      <c r="J233" s="17">
        <f t="shared" si="6"/>
        <v>38333</v>
      </c>
      <c r="K233">
        <f t="shared" ca="1" si="7"/>
        <v>20</v>
      </c>
    </row>
    <row r="234" spans="1:11" ht="15.75" customHeight="1">
      <c r="A234" t="s">
        <v>4211</v>
      </c>
      <c r="B234">
        <v>2003</v>
      </c>
      <c r="C234" t="s">
        <v>4714</v>
      </c>
      <c r="D234">
        <v>10</v>
      </c>
      <c r="E234">
        <v>1</v>
      </c>
      <c r="F234" s="16">
        <v>2221.56</v>
      </c>
      <c r="G234" t="s">
        <v>4699</v>
      </c>
      <c r="H234" t="s">
        <v>4700</v>
      </c>
      <c r="I234" t="s">
        <v>4713</v>
      </c>
      <c r="J234" s="17">
        <f t="shared" si="6"/>
        <v>37965</v>
      </c>
      <c r="K234">
        <f t="shared" ca="1" si="7"/>
        <v>21</v>
      </c>
    </row>
    <row r="235" spans="1:11" ht="15.75" customHeight="1">
      <c r="A235" t="s">
        <v>4209</v>
      </c>
      <c r="B235">
        <v>2000</v>
      </c>
      <c r="C235" t="s">
        <v>4711</v>
      </c>
      <c r="D235">
        <v>30</v>
      </c>
      <c r="E235">
        <v>0</v>
      </c>
      <c r="F235" s="16">
        <v>2250.84</v>
      </c>
      <c r="G235" t="s">
        <v>4699</v>
      </c>
      <c r="H235" t="s">
        <v>4699</v>
      </c>
      <c r="I235" t="s">
        <v>4722</v>
      </c>
      <c r="J235" s="17">
        <f t="shared" si="6"/>
        <v>36707</v>
      </c>
      <c r="K235">
        <f t="shared" ca="1" si="7"/>
        <v>25</v>
      </c>
    </row>
    <row r="236" spans="1:11" ht="15.75" customHeight="1">
      <c r="A236" t="s">
        <v>4207</v>
      </c>
      <c r="B236">
        <v>2000</v>
      </c>
      <c r="C236" t="s">
        <v>4714</v>
      </c>
      <c r="D236">
        <v>11</v>
      </c>
      <c r="E236">
        <v>0</v>
      </c>
      <c r="F236" s="16">
        <v>2254.8000000000002</v>
      </c>
      <c r="G236" t="s">
        <v>4699</v>
      </c>
      <c r="H236" t="s">
        <v>4700</v>
      </c>
      <c r="I236" t="s">
        <v>4721</v>
      </c>
      <c r="J236" s="17">
        <f t="shared" si="6"/>
        <v>36871</v>
      </c>
      <c r="K236">
        <f t="shared" ca="1" si="7"/>
        <v>24</v>
      </c>
    </row>
    <row r="237" spans="1:11" ht="15.75" customHeight="1">
      <c r="A237" t="s">
        <v>4205</v>
      </c>
      <c r="B237">
        <v>2002</v>
      </c>
      <c r="C237" t="s">
        <v>4708</v>
      </c>
      <c r="D237">
        <v>15</v>
      </c>
      <c r="E237">
        <v>0</v>
      </c>
      <c r="F237" s="16">
        <v>2257.48</v>
      </c>
      <c r="G237" t="s">
        <v>4699</v>
      </c>
      <c r="H237" t="s">
        <v>4698</v>
      </c>
      <c r="I237" t="s">
        <v>4713</v>
      </c>
      <c r="J237" s="17">
        <f t="shared" si="6"/>
        <v>37452</v>
      </c>
      <c r="K237">
        <f t="shared" ca="1" si="7"/>
        <v>23</v>
      </c>
    </row>
    <row r="238" spans="1:11" ht="15.75" customHeight="1">
      <c r="A238" t="s">
        <v>4203</v>
      </c>
      <c r="B238">
        <v>2002</v>
      </c>
      <c r="C238" t="s">
        <v>4710</v>
      </c>
      <c r="D238">
        <v>12</v>
      </c>
      <c r="E238">
        <v>0</v>
      </c>
      <c r="F238" s="16">
        <v>2261.5700000000002</v>
      </c>
      <c r="G238" t="s">
        <v>4699</v>
      </c>
      <c r="H238" t="s">
        <v>4698</v>
      </c>
      <c r="I238" t="s">
        <v>4713</v>
      </c>
      <c r="J238" s="17">
        <f t="shared" si="6"/>
        <v>37572</v>
      </c>
      <c r="K238">
        <f t="shared" ca="1" si="7"/>
        <v>23</v>
      </c>
    </row>
    <row r="239" spans="1:11" ht="15.75" customHeight="1">
      <c r="A239" t="s">
        <v>4201</v>
      </c>
      <c r="B239">
        <v>1991</v>
      </c>
      <c r="C239" t="s">
        <v>4711</v>
      </c>
      <c r="D239">
        <v>16</v>
      </c>
      <c r="E239">
        <v>3</v>
      </c>
      <c r="F239" s="16">
        <v>2277.7199999999998</v>
      </c>
      <c r="G239" t="s">
        <v>4699</v>
      </c>
      <c r="H239" t="s">
        <v>4698</v>
      </c>
      <c r="I239" t="s">
        <v>4709</v>
      </c>
      <c r="J239" s="17">
        <f t="shared" si="6"/>
        <v>33405</v>
      </c>
      <c r="K239">
        <f t="shared" ca="1" si="7"/>
        <v>34</v>
      </c>
    </row>
    <row r="240" spans="1:11" ht="15.75" customHeight="1">
      <c r="A240" t="s">
        <v>4199</v>
      </c>
      <c r="B240">
        <v>1989</v>
      </c>
      <c r="C240" t="s">
        <v>4717</v>
      </c>
      <c r="D240">
        <v>5</v>
      </c>
      <c r="E240">
        <v>3</v>
      </c>
      <c r="F240" s="16">
        <v>2295.2399999999998</v>
      </c>
      <c r="G240" t="s">
        <v>4699</v>
      </c>
      <c r="H240" t="s">
        <v>4698</v>
      </c>
      <c r="I240" t="s">
        <v>4709</v>
      </c>
      <c r="J240" s="17">
        <f t="shared" si="6"/>
        <v>32786</v>
      </c>
      <c r="K240">
        <f t="shared" ca="1" si="7"/>
        <v>36</v>
      </c>
    </row>
    <row r="241" spans="1:11" ht="15.75" customHeight="1">
      <c r="A241" t="s">
        <v>4197</v>
      </c>
      <c r="B241">
        <v>1996</v>
      </c>
      <c r="C241" t="s">
        <v>4710</v>
      </c>
      <c r="D241">
        <v>28</v>
      </c>
      <c r="E241">
        <v>0</v>
      </c>
      <c r="F241" s="16">
        <v>2302.3000000000002</v>
      </c>
      <c r="G241" t="s">
        <v>4698</v>
      </c>
      <c r="H241" t="s">
        <v>4699</v>
      </c>
      <c r="I241" t="s">
        <v>4718</v>
      </c>
      <c r="J241" s="17">
        <f t="shared" si="6"/>
        <v>35397</v>
      </c>
      <c r="K241">
        <f t="shared" ca="1" si="7"/>
        <v>28</v>
      </c>
    </row>
    <row r="242" spans="1:11" ht="15.75" customHeight="1">
      <c r="A242" t="s">
        <v>4195</v>
      </c>
      <c r="B242">
        <v>2004</v>
      </c>
      <c r="C242" t="s">
        <v>4712</v>
      </c>
      <c r="D242">
        <v>6</v>
      </c>
      <c r="E242">
        <v>2</v>
      </c>
      <c r="F242" s="16">
        <v>2304</v>
      </c>
      <c r="G242" t="s">
        <v>4699</v>
      </c>
      <c r="H242" t="s">
        <v>4700</v>
      </c>
      <c r="I242" t="s">
        <v>4709</v>
      </c>
      <c r="J242" s="17">
        <f t="shared" si="6"/>
        <v>38236</v>
      </c>
      <c r="K242">
        <f t="shared" ca="1" si="7"/>
        <v>21</v>
      </c>
    </row>
    <row r="243" spans="1:11" ht="15.75" customHeight="1">
      <c r="A243" t="s">
        <v>4193</v>
      </c>
      <c r="B243">
        <v>1996</v>
      </c>
      <c r="C243" t="s">
        <v>4714</v>
      </c>
      <c r="D243">
        <v>17</v>
      </c>
      <c r="E243">
        <v>0</v>
      </c>
      <c r="F243" s="16">
        <v>2322.62</v>
      </c>
      <c r="G243" t="s">
        <v>4699</v>
      </c>
      <c r="H243" t="s">
        <v>4698</v>
      </c>
      <c r="I243" t="s">
        <v>4709</v>
      </c>
      <c r="J243" s="17">
        <f t="shared" si="6"/>
        <v>35416</v>
      </c>
      <c r="K243">
        <f t="shared" ca="1" si="7"/>
        <v>28</v>
      </c>
    </row>
    <row r="244" spans="1:11" ht="15.75" customHeight="1">
      <c r="A244" t="s">
        <v>4191</v>
      </c>
      <c r="B244">
        <v>2003</v>
      </c>
      <c r="C244" t="s">
        <v>4710</v>
      </c>
      <c r="D244">
        <v>18</v>
      </c>
      <c r="E244">
        <v>1</v>
      </c>
      <c r="F244" s="16">
        <v>2331.52</v>
      </c>
      <c r="G244" t="s">
        <v>4699</v>
      </c>
      <c r="H244" t="s">
        <v>4700</v>
      </c>
      <c r="I244" t="s">
        <v>4718</v>
      </c>
      <c r="J244" s="17">
        <f t="shared" si="6"/>
        <v>37943</v>
      </c>
      <c r="K244">
        <f t="shared" ca="1" si="7"/>
        <v>22</v>
      </c>
    </row>
    <row r="245" spans="1:11" ht="15.75" customHeight="1">
      <c r="A245" t="s">
        <v>4189</v>
      </c>
      <c r="B245">
        <v>1998</v>
      </c>
      <c r="C245" t="s">
        <v>4717</v>
      </c>
      <c r="D245">
        <v>21</v>
      </c>
      <c r="E245">
        <v>0</v>
      </c>
      <c r="F245" s="16">
        <v>2352.9699999999998</v>
      </c>
      <c r="G245" t="s">
        <v>4700</v>
      </c>
      <c r="H245" t="s">
        <v>4700</v>
      </c>
      <c r="I245" t="s">
        <v>4713</v>
      </c>
      <c r="J245" s="17">
        <f t="shared" si="6"/>
        <v>36089</v>
      </c>
      <c r="K245">
        <f t="shared" ca="1" si="7"/>
        <v>27</v>
      </c>
    </row>
    <row r="246" spans="1:11" ht="15.75" customHeight="1">
      <c r="A246" t="s">
        <v>4187</v>
      </c>
      <c r="B246">
        <v>2002</v>
      </c>
      <c r="C246" t="s">
        <v>4710</v>
      </c>
      <c r="D246">
        <v>5</v>
      </c>
      <c r="E246">
        <v>1</v>
      </c>
      <c r="F246" s="16">
        <v>2362.23</v>
      </c>
      <c r="G246" t="s">
        <v>4699</v>
      </c>
      <c r="H246" t="s">
        <v>4698</v>
      </c>
      <c r="I246" t="s">
        <v>4713</v>
      </c>
      <c r="J246" s="17">
        <f t="shared" si="6"/>
        <v>37565</v>
      </c>
      <c r="K246">
        <f t="shared" ca="1" si="7"/>
        <v>23</v>
      </c>
    </row>
    <row r="247" spans="1:11" ht="15.75" customHeight="1">
      <c r="A247" t="s">
        <v>4185</v>
      </c>
      <c r="B247">
        <v>1988</v>
      </c>
      <c r="C247" t="s">
        <v>4714</v>
      </c>
      <c r="D247">
        <v>12</v>
      </c>
      <c r="E247">
        <v>3</v>
      </c>
      <c r="F247" s="16">
        <v>2373.3000000000002</v>
      </c>
      <c r="G247" t="s">
        <v>4699</v>
      </c>
      <c r="H247" t="s">
        <v>4699</v>
      </c>
      <c r="I247" t="s">
        <v>4709</v>
      </c>
      <c r="J247" s="17">
        <f t="shared" si="6"/>
        <v>32489</v>
      </c>
      <c r="K247">
        <f t="shared" ca="1" si="7"/>
        <v>36</v>
      </c>
    </row>
    <row r="248" spans="1:11" ht="15.75" customHeight="1">
      <c r="A248" t="s">
        <v>4183</v>
      </c>
      <c r="B248">
        <v>1999</v>
      </c>
      <c r="C248" t="s">
        <v>4714</v>
      </c>
      <c r="D248">
        <v>17</v>
      </c>
      <c r="E248">
        <v>0</v>
      </c>
      <c r="F248" s="16">
        <v>2395.17</v>
      </c>
      <c r="G248" t="s">
        <v>4699</v>
      </c>
      <c r="H248" t="s">
        <v>4698</v>
      </c>
      <c r="I248" t="s">
        <v>4726</v>
      </c>
      <c r="J248" s="17">
        <f t="shared" si="6"/>
        <v>36511</v>
      </c>
      <c r="K248">
        <f t="shared" ca="1" si="7"/>
        <v>25</v>
      </c>
    </row>
    <row r="249" spans="1:11" ht="15.75" customHeight="1">
      <c r="A249" t="s">
        <v>4181</v>
      </c>
      <c r="B249">
        <v>1999</v>
      </c>
      <c r="C249" t="s">
        <v>4716</v>
      </c>
      <c r="D249">
        <v>10</v>
      </c>
      <c r="E249">
        <v>0</v>
      </c>
      <c r="F249" s="16">
        <v>2396.1</v>
      </c>
      <c r="G249" t="s">
        <v>4699</v>
      </c>
      <c r="H249" t="s">
        <v>4698</v>
      </c>
      <c r="I249" t="s">
        <v>4720</v>
      </c>
      <c r="J249" s="17">
        <f t="shared" si="6"/>
        <v>36382</v>
      </c>
      <c r="K249">
        <f t="shared" ca="1" si="7"/>
        <v>26</v>
      </c>
    </row>
    <row r="250" spans="1:11" ht="15.75" customHeight="1">
      <c r="A250" t="s">
        <v>4179</v>
      </c>
      <c r="B250">
        <v>2001</v>
      </c>
      <c r="C250" t="s">
        <v>4711</v>
      </c>
      <c r="D250">
        <v>3</v>
      </c>
      <c r="E250">
        <v>0</v>
      </c>
      <c r="F250" s="16">
        <v>2404.73</v>
      </c>
      <c r="G250" t="s">
        <v>4699</v>
      </c>
      <c r="H250" t="s">
        <v>4700</v>
      </c>
      <c r="I250" t="s">
        <v>4713</v>
      </c>
      <c r="J250" s="17">
        <f t="shared" si="6"/>
        <v>37045</v>
      </c>
      <c r="K250">
        <f t="shared" ca="1" si="7"/>
        <v>24</v>
      </c>
    </row>
    <row r="251" spans="1:11" ht="15.75" customHeight="1">
      <c r="A251" t="s">
        <v>4177</v>
      </c>
      <c r="B251">
        <v>1999</v>
      </c>
      <c r="C251" t="s">
        <v>4710</v>
      </c>
      <c r="D251">
        <v>12</v>
      </c>
      <c r="E251">
        <v>1</v>
      </c>
      <c r="F251" s="16">
        <v>2416.96</v>
      </c>
      <c r="G251" t="s">
        <v>4699</v>
      </c>
      <c r="H251" t="s">
        <v>4699</v>
      </c>
      <c r="I251" t="s">
        <v>4718</v>
      </c>
      <c r="J251" s="17">
        <f t="shared" si="6"/>
        <v>36476</v>
      </c>
      <c r="K251">
        <f t="shared" ca="1" si="7"/>
        <v>26</v>
      </c>
    </row>
    <row r="252" spans="1:11" ht="15.75" customHeight="1">
      <c r="A252" t="s">
        <v>4175</v>
      </c>
      <c r="B252">
        <v>1999</v>
      </c>
      <c r="C252" t="s">
        <v>4710</v>
      </c>
      <c r="D252">
        <v>21</v>
      </c>
      <c r="E252">
        <v>1</v>
      </c>
      <c r="F252" s="16">
        <v>2438.06</v>
      </c>
      <c r="G252" t="s">
        <v>4699</v>
      </c>
      <c r="H252" t="s">
        <v>4699</v>
      </c>
      <c r="I252" t="s">
        <v>4709</v>
      </c>
      <c r="J252" s="17">
        <f t="shared" si="6"/>
        <v>36485</v>
      </c>
      <c r="K252">
        <f t="shared" ca="1" si="7"/>
        <v>26</v>
      </c>
    </row>
    <row r="253" spans="1:11" ht="15.75" customHeight="1">
      <c r="A253" t="s">
        <v>4173</v>
      </c>
      <c r="B253">
        <v>2002</v>
      </c>
      <c r="C253" t="s">
        <v>4708</v>
      </c>
      <c r="D253">
        <v>29</v>
      </c>
      <c r="E253">
        <v>0</v>
      </c>
      <c r="F253" s="16">
        <v>2457.21</v>
      </c>
      <c r="G253" t="s">
        <v>4699</v>
      </c>
      <c r="H253" t="s">
        <v>4698</v>
      </c>
      <c r="I253" t="s">
        <v>4724</v>
      </c>
      <c r="J253" s="17">
        <f t="shared" si="6"/>
        <v>37466</v>
      </c>
      <c r="K253">
        <f t="shared" ca="1" si="7"/>
        <v>23</v>
      </c>
    </row>
    <row r="254" spans="1:11" ht="15.75" customHeight="1">
      <c r="A254" t="s">
        <v>4171</v>
      </c>
      <c r="B254">
        <v>1998</v>
      </c>
      <c r="C254" t="s">
        <v>4710</v>
      </c>
      <c r="D254">
        <v>19</v>
      </c>
      <c r="E254">
        <v>0</v>
      </c>
      <c r="F254" s="16">
        <v>2457.5</v>
      </c>
      <c r="G254" t="s">
        <v>4699</v>
      </c>
      <c r="H254" t="s">
        <v>4698</v>
      </c>
      <c r="I254" t="s">
        <v>4718</v>
      </c>
      <c r="J254" s="17">
        <f t="shared" si="6"/>
        <v>36118</v>
      </c>
      <c r="K254">
        <f t="shared" ca="1" si="7"/>
        <v>27</v>
      </c>
    </row>
    <row r="255" spans="1:11" ht="15.75" customHeight="1">
      <c r="A255" t="s">
        <v>4169</v>
      </c>
      <c r="B255">
        <v>2002</v>
      </c>
      <c r="C255" t="s">
        <v>4708</v>
      </c>
      <c r="D255">
        <v>11</v>
      </c>
      <c r="E255">
        <v>0</v>
      </c>
      <c r="F255" s="16">
        <v>2459.7199999999998</v>
      </c>
      <c r="G255" t="s">
        <v>4699</v>
      </c>
      <c r="H255" t="s">
        <v>4699</v>
      </c>
      <c r="I255" t="s">
        <v>4724</v>
      </c>
      <c r="J255" s="17">
        <f t="shared" si="6"/>
        <v>37448</v>
      </c>
      <c r="K255">
        <f t="shared" ca="1" si="7"/>
        <v>23</v>
      </c>
    </row>
    <row r="256" spans="1:11" ht="15.75" customHeight="1">
      <c r="A256" t="s">
        <v>4167</v>
      </c>
      <c r="B256">
        <v>1998</v>
      </c>
      <c r="C256" t="s">
        <v>4716</v>
      </c>
      <c r="D256">
        <v>17</v>
      </c>
      <c r="E256">
        <v>0</v>
      </c>
      <c r="F256" s="16">
        <v>2464.62</v>
      </c>
      <c r="G256" t="s">
        <v>4699</v>
      </c>
      <c r="H256" t="s">
        <v>4700</v>
      </c>
      <c r="I256" t="s">
        <v>4709</v>
      </c>
      <c r="J256" s="17">
        <f t="shared" si="6"/>
        <v>36024</v>
      </c>
      <c r="K256">
        <f t="shared" ca="1" si="7"/>
        <v>27</v>
      </c>
    </row>
    <row r="257" spans="1:11" ht="15.75" customHeight="1">
      <c r="A257" t="s">
        <v>4165</v>
      </c>
      <c r="B257">
        <v>1998</v>
      </c>
      <c r="C257" t="s">
        <v>4708</v>
      </c>
      <c r="D257">
        <v>2</v>
      </c>
      <c r="E257">
        <v>0</v>
      </c>
      <c r="F257" s="16">
        <v>2473.33</v>
      </c>
      <c r="G257" t="s">
        <v>4699</v>
      </c>
      <c r="H257" t="s">
        <v>4700</v>
      </c>
      <c r="I257" t="s">
        <v>4709</v>
      </c>
      <c r="J257" s="17">
        <f t="shared" si="6"/>
        <v>35978</v>
      </c>
      <c r="K257">
        <f t="shared" ca="1" si="7"/>
        <v>27</v>
      </c>
    </row>
    <row r="258" spans="1:11" ht="15.75" customHeight="1">
      <c r="A258" t="s">
        <v>4163</v>
      </c>
      <c r="B258">
        <v>1998</v>
      </c>
      <c r="C258" t="s">
        <v>4711</v>
      </c>
      <c r="D258">
        <v>20</v>
      </c>
      <c r="E258">
        <v>0</v>
      </c>
      <c r="F258" s="16">
        <v>2480.98</v>
      </c>
      <c r="G258" t="s">
        <v>4699</v>
      </c>
      <c r="H258" t="s">
        <v>4699</v>
      </c>
      <c r="I258" t="s">
        <v>4709</v>
      </c>
      <c r="J258" s="17">
        <f t="shared" si="6"/>
        <v>35966</v>
      </c>
      <c r="K258">
        <f t="shared" ca="1" si="7"/>
        <v>27</v>
      </c>
    </row>
    <row r="259" spans="1:11" ht="15.75" customHeight="1">
      <c r="A259" t="s">
        <v>4161</v>
      </c>
      <c r="B259">
        <v>1995</v>
      </c>
      <c r="C259" t="s">
        <v>4710</v>
      </c>
      <c r="D259">
        <v>6</v>
      </c>
      <c r="E259">
        <v>0</v>
      </c>
      <c r="F259" s="16">
        <v>2483.7399999999998</v>
      </c>
      <c r="G259" t="s">
        <v>4700</v>
      </c>
      <c r="H259" t="s">
        <v>4699</v>
      </c>
      <c r="I259" t="s">
        <v>4709</v>
      </c>
      <c r="J259" s="17">
        <f t="shared" ref="J259:J322" si="8">DATEVALUE(D259&amp;"-"&amp;C259&amp;" -"&amp;B259)</f>
        <v>35009</v>
      </c>
      <c r="K259">
        <f t="shared" ref="K259:K322" ca="1" si="9">DATEDIF(J259,TODAY(),"Y")</f>
        <v>30</v>
      </c>
    </row>
    <row r="260" spans="1:11" ht="15.75" customHeight="1">
      <c r="A260" t="s">
        <v>4159</v>
      </c>
      <c r="B260">
        <v>1995</v>
      </c>
      <c r="C260" t="s">
        <v>4717</v>
      </c>
      <c r="D260">
        <v>14</v>
      </c>
      <c r="E260">
        <v>0</v>
      </c>
      <c r="F260" s="16">
        <v>2494.02</v>
      </c>
      <c r="G260" t="s">
        <v>4700</v>
      </c>
      <c r="H260" t="s">
        <v>4698</v>
      </c>
      <c r="I260" t="s">
        <v>4718</v>
      </c>
      <c r="J260" s="17">
        <f t="shared" si="8"/>
        <v>34986</v>
      </c>
      <c r="K260">
        <f t="shared" ca="1" si="9"/>
        <v>30</v>
      </c>
    </row>
    <row r="261" spans="1:11" ht="15.75" customHeight="1">
      <c r="A261" t="s">
        <v>4157</v>
      </c>
      <c r="B261">
        <v>1995</v>
      </c>
      <c r="C261" t="s">
        <v>4708</v>
      </c>
      <c r="D261">
        <v>9</v>
      </c>
      <c r="E261">
        <v>0</v>
      </c>
      <c r="F261" s="16">
        <v>2497.04</v>
      </c>
      <c r="G261" t="s">
        <v>4700</v>
      </c>
      <c r="H261" t="s">
        <v>4700</v>
      </c>
      <c r="I261" t="s">
        <v>4709</v>
      </c>
      <c r="J261" s="17">
        <f t="shared" si="8"/>
        <v>34889</v>
      </c>
      <c r="K261">
        <f t="shared" ca="1" si="9"/>
        <v>30</v>
      </c>
    </row>
    <row r="262" spans="1:11" ht="15.75" customHeight="1">
      <c r="A262" t="s">
        <v>4155</v>
      </c>
      <c r="B262">
        <v>1995</v>
      </c>
      <c r="C262" t="s">
        <v>4717</v>
      </c>
      <c r="D262">
        <v>15</v>
      </c>
      <c r="E262">
        <v>0</v>
      </c>
      <c r="F262" s="16">
        <v>2498.41</v>
      </c>
      <c r="G262" t="s">
        <v>4700</v>
      </c>
      <c r="H262" t="s">
        <v>4700</v>
      </c>
      <c r="I262" t="s">
        <v>4709</v>
      </c>
      <c r="J262" s="17">
        <f t="shared" si="8"/>
        <v>34987</v>
      </c>
      <c r="K262">
        <f t="shared" ca="1" si="9"/>
        <v>30</v>
      </c>
    </row>
    <row r="263" spans="1:11" ht="15.75" customHeight="1">
      <c r="A263" t="s">
        <v>4153</v>
      </c>
      <c r="B263">
        <v>2004</v>
      </c>
      <c r="C263" t="s">
        <v>4712</v>
      </c>
      <c r="D263">
        <v>6</v>
      </c>
      <c r="E263">
        <v>0</v>
      </c>
      <c r="F263" s="16">
        <v>2500.9299999999998</v>
      </c>
      <c r="G263" t="s">
        <v>4699</v>
      </c>
      <c r="H263" t="s">
        <v>4699</v>
      </c>
      <c r="I263" t="s">
        <v>4713</v>
      </c>
      <c r="J263" s="17">
        <f t="shared" si="8"/>
        <v>38236</v>
      </c>
      <c r="K263">
        <f t="shared" ca="1" si="9"/>
        <v>21</v>
      </c>
    </row>
    <row r="264" spans="1:11" ht="15.75" customHeight="1">
      <c r="A264" t="s">
        <v>4151</v>
      </c>
      <c r="B264">
        <v>1991</v>
      </c>
      <c r="C264" t="s">
        <v>4716</v>
      </c>
      <c r="D264">
        <v>5</v>
      </c>
      <c r="E264">
        <v>3</v>
      </c>
      <c r="F264" s="16">
        <v>2510.79</v>
      </c>
      <c r="G264" t="s">
        <v>4699</v>
      </c>
      <c r="H264" t="s">
        <v>4698</v>
      </c>
      <c r="I264" t="s">
        <v>4709</v>
      </c>
      <c r="J264" s="17">
        <f t="shared" si="8"/>
        <v>33455</v>
      </c>
      <c r="K264">
        <f t="shared" ca="1" si="9"/>
        <v>34</v>
      </c>
    </row>
    <row r="265" spans="1:11" ht="15.75" customHeight="1">
      <c r="A265" t="s">
        <v>4149</v>
      </c>
      <c r="B265">
        <v>1997</v>
      </c>
      <c r="C265" t="s">
        <v>4710</v>
      </c>
      <c r="D265">
        <v>2</v>
      </c>
      <c r="E265">
        <v>0</v>
      </c>
      <c r="F265" s="16">
        <v>2523.17</v>
      </c>
      <c r="G265" t="s">
        <v>4700</v>
      </c>
      <c r="H265" t="s">
        <v>4698</v>
      </c>
      <c r="I265" t="s">
        <v>4713</v>
      </c>
      <c r="J265" s="17">
        <f t="shared" si="8"/>
        <v>35736</v>
      </c>
      <c r="K265">
        <f t="shared" ca="1" si="9"/>
        <v>28</v>
      </c>
    </row>
    <row r="266" spans="1:11" ht="15.75" customHeight="1">
      <c r="A266" t="s">
        <v>4147</v>
      </c>
      <c r="B266">
        <v>2000</v>
      </c>
      <c r="C266" t="s">
        <v>4716</v>
      </c>
      <c r="D266">
        <v>25</v>
      </c>
      <c r="E266">
        <v>0</v>
      </c>
      <c r="F266" s="16">
        <v>2527.8200000000002</v>
      </c>
      <c r="G266" t="s">
        <v>4699</v>
      </c>
      <c r="H266" t="s">
        <v>4700</v>
      </c>
      <c r="I266" t="s">
        <v>4713</v>
      </c>
      <c r="J266" s="17">
        <f t="shared" si="8"/>
        <v>36763</v>
      </c>
      <c r="K266">
        <f t="shared" ca="1" si="9"/>
        <v>25</v>
      </c>
    </row>
    <row r="267" spans="1:11" ht="15.75" customHeight="1">
      <c r="A267" t="s">
        <v>4145</v>
      </c>
      <c r="B267">
        <v>1997</v>
      </c>
      <c r="C267" t="s">
        <v>4708</v>
      </c>
      <c r="D267">
        <v>28</v>
      </c>
      <c r="E267">
        <v>0</v>
      </c>
      <c r="F267" s="16">
        <v>2534.39</v>
      </c>
      <c r="G267" t="s">
        <v>4700</v>
      </c>
      <c r="H267" t="s">
        <v>4700</v>
      </c>
      <c r="I267" t="s">
        <v>4713</v>
      </c>
      <c r="J267" s="17">
        <f t="shared" si="8"/>
        <v>35639</v>
      </c>
      <c r="K267">
        <f t="shared" ca="1" si="9"/>
        <v>28</v>
      </c>
    </row>
    <row r="268" spans="1:11" ht="15.75" customHeight="1">
      <c r="A268" t="s">
        <v>4143</v>
      </c>
      <c r="B268">
        <v>1990</v>
      </c>
      <c r="C268" t="s">
        <v>4717</v>
      </c>
      <c r="D268">
        <v>1</v>
      </c>
      <c r="E268">
        <v>3</v>
      </c>
      <c r="F268" s="16">
        <v>2540.39</v>
      </c>
      <c r="G268" t="s">
        <v>4699</v>
      </c>
      <c r="H268" t="s">
        <v>4699</v>
      </c>
      <c r="I268" t="s">
        <v>4709</v>
      </c>
      <c r="J268" s="17">
        <f t="shared" si="8"/>
        <v>33147</v>
      </c>
      <c r="K268">
        <f t="shared" ca="1" si="9"/>
        <v>35</v>
      </c>
    </row>
    <row r="269" spans="1:11" ht="15.75" customHeight="1">
      <c r="A269" t="s">
        <v>4141</v>
      </c>
      <c r="B269">
        <v>1991</v>
      </c>
      <c r="C269" t="s">
        <v>4710</v>
      </c>
      <c r="D269">
        <v>17</v>
      </c>
      <c r="E269">
        <v>3</v>
      </c>
      <c r="F269" s="16">
        <v>2545.6799999999998</v>
      </c>
      <c r="G269" t="s">
        <v>4699</v>
      </c>
      <c r="H269" t="s">
        <v>4698</v>
      </c>
      <c r="I269" t="s">
        <v>4709</v>
      </c>
      <c r="J269" s="17">
        <f t="shared" si="8"/>
        <v>33559</v>
      </c>
      <c r="K269">
        <f t="shared" ca="1" si="9"/>
        <v>34</v>
      </c>
    </row>
    <row r="270" spans="1:11" ht="15.75" customHeight="1">
      <c r="A270" t="s">
        <v>4139</v>
      </c>
      <c r="B270">
        <v>2002</v>
      </c>
      <c r="C270" t="s">
        <v>4717</v>
      </c>
      <c r="D270">
        <v>11</v>
      </c>
      <c r="E270">
        <v>2</v>
      </c>
      <c r="F270" s="16">
        <v>2566.4699999999998</v>
      </c>
      <c r="G270" t="s">
        <v>4699</v>
      </c>
      <c r="H270" t="s">
        <v>4700</v>
      </c>
      <c r="I270" t="s">
        <v>4709</v>
      </c>
      <c r="J270" s="17">
        <f t="shared" si="8"/>
        <v>37540</v>
      </c>
      <c r="K270">
        <f t="shared" ca="1" si="9"/>
        <v>23</v>
      </c>
    </row>
    <row r="271" spans="1:11" ht="15.75" customHeight="1">
      <c r="A271" t="s">
        <v>4137</v>
      </c>
      <c r="B271">
        <v>2002</v>
      </c>
      <c r="C271" t="s">
        <v>4708</v>
      </c>
      <c r="D271">
        <v>20</v>
      </c>
      <c r="E271">
        <v>0</v>
      </c>
      <c r="F271" s="16">
        <v>2585.04</v>
      </c>
      <c r="G271" t="s">
        <v>4699</v>
      </c>
      <c r="H271" t="s">
        <v>4699</v>
      </c>
      <c r="I271" t="s">
        <v>4727</v>
      </c>
      <c r="J271" s="17">
        <f t="shared" si="8"/>
        <v>37457</v>
      </c>
      <c r="K271">
        <f t="shared" ca="1" si="9"/>
        <v>23</v>
      </c>
    </row>
    <row r="272" spans="1:11" ht="15.75" customHeight="1">
      <c r="A272" t="s">
        <v>4135</v>
      </c>
      <c r="B272">
        <v>2001</v>
      </c>
      <c r="C272" t="s">
        <v>4717</v>
      </c>
      <c r="D272">
        <v>15</v>
      </c>
      <c r="E272">
        <v>1</v>
      </c>
      <c r="F272" s="16">
        <v>2585.27</v>
      </c>
      <c r="G272" t="s">
        <v>4699</v>
      </c>
      <c r="H272" t="s">
        <v>4700</v>
      </c>
      <c r="I272" t="s">
        <v>4718</v>
      </c>
      <c r="J272" s="17">
        <f t="shared" si="8"/>
        <v>37179</v>
      </c>
      <c r="K272">
        <f t="shared" ca="1" si="9"/>
        <v>24</v>
      </c>
    </row>
    <row r="273" spans="1:11" ht="15.75" customHeight="1">
      <c r="A273" t="s">
        <v>4133</v>
      </c>
      <c r="B273">
        <v>2001</v>
      </c>
      <c r="C273" t="s">
        <v>4708</v>
      </c>
      <c r="D273">
        <v>28</v>
      </c>
      <c r="E273">
        <v>0</v>
      </c>
      <c r="F273" s="16">
        <v>2585.85</v>
      </c>
      <c r="G273" t="s">
        <v>4699</v>
      </c>
      <c r="H273" t="s">
        <v>4699</v>
      </c>
      <c r="I273" t="s">
        <v>4724</v>
      </c>
      <c r="J273" s="17">
        <f t="shared" si="8"/>
        <v>37100</v>
      </c>
      <c r="K273">
        <f t="shared" ca="1" si="9"/>
        <v>24</v>
      </c>
    </row>
    <row r="274" spans="1:11" ht="15.75" customHeight="1">
      <c r="A274" t="s">
        <v>4131</v>
      </c>
      <c r="B274">
        <v>2001</v>
      </c>
      <c r="C274" t="s">
        <v>4716</v>
      </c>
      <c r="D274">
        <v>26</v>
      </c>
      <c r="E274">
        <v>1</v>
      </c>
      <c r="F274" s="16">
        <v>2597.7800000000002</v>
      </c>
      <c r="G274" t="s">
        <v>4699</v>
      </c>
      <c r="H274" t="s">
        <v>4698</v>
      </c>
      <c r="I274" t="s">
        <v>4718</v>
      </c>
      <c r="J274" s="17">
        <f t="shared" si="8"/>
        <v>37129</v>
      </c>
      <c r="K274">
        <f t="shared" ca="1" si="9"/>
        <v>24</v>
      </c>
    </row>
    <row r="275" spans="1:11" ht="15.75" customHeight="1">
      <c r="A275" t="s">
        <v>4129</v>
      </c>
      <c r="B275">
        <v>1997</v>
      </c>
      <c r="C275" t="s">
        <v>4716</v>
      </c>
      <c r="D275">
        <v>26</v>
      </c>
      <c r="E275">
        <v>0</v>
      </c>
      <c r="F275" s="16">
        <v>2632.99</v>
      </c>
      <c r="G275" t="s">
        <v>4699</v>
      </c>
      <c r="H275" t="s">
        <v>4698</v>
      </c>
      <c r="I275" t="s">
        <v>4718</v>
      </c>
      <c r="J275" s="17">
        <f t="shared" si="8"/>
        <v>35668</v>
      </c>
      <c r="K275">
        <f t="shared" ca="1" si="9"/>
        <v>28</v>
      </c>
    </row>
    <row r="276" spans="1:11" ht="15.75" customHeight="1">
      <c r="A276" t="s">
        <v>4127</v>
      </c>
      <c r="B276">
        <v>2000</v>
      </c>
      <c r="C276" t="s">
        <v>4711</v>
      </c>
      <c r="D276">
        <v>24</v>
      </c>
      <c r="E276">
        <v>1</v>
      </c>
      <c r="F276" s="16">
        <v>2639.04</v>
      </c>
      <c r="G276" t="s">
        <v>4699</v>
      </c>
      <c r="H276" t="s">
        <v>4699</v>
      </c>
      <c r="I276" t="s">
        <v>4713</v>
      </c>
      <c r="J276" s="17">
        <f t="shared" si="8"/>
        <v>36701</v>
      </c>
      <c r="K276">
        <f t="shared" ca="1" si="9"/>
        <v>25</v>
      </c>
    </row>
    <row r="277" spans="1:11" ht="15.75" customHeight="1">
      <c r="A277" t="s">
        <v>4125</v>
      </c>
      <c r="B277">
        <v>2000</v>
      </c>
      <c r="C277" t="s">
        <v>4714</v>
      </c>
      <c r="D277">
        <v>9</v>
      </c>
      <c r="E277">
        <v>1</v>
      </c>
      <c r="F277" s="16">
        <v>2643.27</v>
      </c>
      <c r="G277" t="s">
        <v>4699</v>
      </c>
      <c r="H277" t="s">
        <v>4698</v>
      </c>
      <c r="I277" t="s">
        <v>4713</v>
      </c>
      <c r="J277" s="17">
        <f t="shared" si="8"/>
        <v>36869</v>
      </c>
      <c r="K277">
        <f t="shared" ca="1" si="9"/>
        <v>24</v>
      </c>
    </row>
    <row r="278" spans="1:11" ht="15.75" customHeight="1">
      <c r="A278" t="s">
        <v>4123</v>
      </c>
      <c r="B278">
        <v>1996</v>
      </c>
      <c r="C278" t="s">
        <v>4716</v>
      </c>
      <c r="D278">
        <v>5</v>
      </c>
      <c r="E278">
        <v>0</v>
      </c>
      <c r="F278" s="16">
        <v>2680.95</v>
      </c>
      <c r="G278" t="s">
        <v>4700</v>
      </c>
      <c r="H278" t="s">
        <v>4699</v>
      </c>
      <c r="I278" t="s">
        <v>4713</v>
      </c>
      <c r="J278" s="17">
        <f t="shared" si="8"/>
        <v>35282</v>
      </c>
      <c r="K278">
        <f t="shared" ca="1" si="9"/>
        <v>29</v>
      </c>
    </row>
    <row r="279" spans="1:11" ht="15.75" customHeight="1">
      <c r="A279" t="s">
        <v>4121</v>
      </c>
      <c r="B279">
        <v>1994</v>
      </c>
      <c r="C279" t="s">
        <v>4712</v>
      </c>
      <c r="D279">
        <v>17</v>
      </c>
      <c r="E279">
        <v>0</v>
      </c>
      <c r="F279" s="16">
        <v>2684.69</v>
      </c>
      <c r="G279" t="s">
        <v>4699</v>
      </c>
      <c r="H279" t="s">
        <v>4699</v>
      </c>
      <c r="I279" t="s">
        <v>4709</v>
      </c>
      <c r="J279" s="17">
        <f t="shared" si="8"/>
        <v>34594</v>
      </c>
      <c r="K279">
        <f t="shared" ca="1" si="9"/>
        <v>31</v>
      </c>
    </row>
    <row r="280" spans="1:11" ht="15.75" customHeight="1">
      <c r="A280" t="s">
        <v>4119</v>
      </c>
      <c r="B280">
        <v>1994</v>
      </c>
      <c r="C280" t="s">
        <v>4717</v>
      </c>
      <c r="D280">
        <v>2</v>
      </c>
      <c r="E280">
        <v>0</v>
      </c>
      <c r="F280" s="16">
        <v>2689.5</v>
      </c>
      <c r="G280" t="s">
        <v>4700</v>
      </c>
      <c r="H280" t="s">
        <v>4699</v>
      </c>
      <c r="I280" t="s">
        <v>4709</v>
      </c>
      <c r="J280" s="17">
        <f t="shared" si="8"/>
        <v>34609</v>
      </c>
      <c r="K280">
        <f t="shared" ca="1" si="9"/>
        <v>31</v>
      </c>
    </row>
    <row r="281" spans="1:11" ht="15.75" customHeight="1">
      <c r="A281" t="s">
        <v>4117</v>
      </c>
      <c r="B281">
        <v>1999</v>
      </c>
      <c r="C281" t="s">
        <v>4711</v>
      </c>
      <c r="D281">
        <v>11</v>
      </c>
      <c r="E281">
        <v>0</v>
      </c>
      <c r="F281" s="16">
        <v>2690.11</v>
      </c>
      <c r="G281" t="s">
        <v>4699</v>
      </c>
      <c r="H281" t="s">
        <v>4699</v>
      </c>
      <c r="I281" t="s">
        <v>4713</v>
      </c>
      <c r="J281" s="17">
        <f t="shared" si="8"/>
        <v>36322</v>
      </c>
      <c r="K281">
        <f t="shared" ca="1" si="9"/>
        <v>26</v>
      </c>
    </row>
    <row r="282" spans="1:11" ht="15.75" customHeight="1">
      <c r="A282" t="s">
        <v>4115</v>
      </c>
      <c r="B282">
        <v>1996</v>
      </c>
      <c r="C282" t="s">
        <v>4711</v>
      </c>
      <c r="D282">
        <v>13</v>
      </c>
      <c r="E282">
        <v>0</v>
      </c>
      <c r="F282" s="16">
        <v>2699.57</v>
      </c>
      <c r="G282" t="s">
        <v>4699</v>
      </c>
      <c r="H282" t="s">
        <v>4698</v>
      </c>
      <c r="I282" t="s">
        <v>4713</v>
      </c>
      <c r="J282" s="17">
        <f t="shared" si="8"/>
        <v>35229</v>
      </c>
      <c r="K282">
        <f t="shared" ca="1" si="9"/>
        <v>29</v>
      </c>
    </row>
    <row r="283" spans="1:11" ht="15.75" customHeight="1">
      <c r="A283" t="s">
        <v>4113</v>
      </c>
      <c r="B283">
        <v>2003</v>
      </c>
      <c r="C283" t="s">
        <v>4708</v>
      </c>
      <c r="D283">
        <v>17</v>
      </c>
      <c r="E283">
        <v>1</v>
      </c>
      <c r="F283" s="16">
        <v>2709.11</v>
      </c>
      <c r="G283" t="s">
        <v>4699</v>
      </c>
      <c r="H283" t="s">
        <v>4699</v>
      </c>
      <c r="I283" t="s">
        <v>4713</v>
      </c>
      <c r="J283" s="17">
        <f t="shared" si="8"/>
        <v>37819</v>
      </c>
      <c r="K283">
        <f t="shared" ca="1" si="9"/>
        <v>22</v>
      </c>
    </row>
    <row r="284" spans="1:11" ht="15.75" customHeight="1">
      <c r="A284" t="s">
        <v>4111</v>
      </c>
      <c r="B284">
        <v>2003</v>
      </c>
      <c r="C284" t="s">
        <v>4710</v>
      </c>
      <c r="D284">
        <v>21</v>
      </c>
      <c r="E284">
        <v>1</v>
      </c>
      <c r="F284" s="16">
        <v>2709.24</v>
      </c>
      <c r="G284" t="s">
        <v>4699</v>
      </c>
      <c r="H284" t="s">
        <v>4699</v>
      </c>
      <c r="I284" t="s">
        <v>4713</v>
      </c>
      <c r="J284" s="17">
        <f t="shared" si="8"/>
        <v>37946</v>
      </c>
      <c r="K284">
        <f t="shared" ca="1" si="9"/>
        <v>22</v>
      </c>
    </row>
    <row r="285" spans="1:11" ht="15.75" customHeight="1">
      <c r="A285" t="s">
        <v>4109</v>
      </c>
      <c r="B285">
        <v>2003</v>
      </c>
      <c r="C285" t="s">
        <v>4714</v>
      </c>
      <c r="D285">
        <v>1</v>
      </c>
      <c r="E285">
        <v>1</v>
      </c>
      <c r="F285" s="16">
        <v>2710.83</v>
      </c>
      <c r="G285" t="s">
        <v>4699</v>
      </c>
      <c r="H285" t="s">
        <v>4700</v>
      </c>
      <c r="I285" t="s">
        <v>4713</v>
      </c>
      <c r="J285" s="17">
        <f t="shared" si="8"/>
        <v>37956</v>
      </c>
      <c r="K285">
        <f t="shared" ca="1" si="9"/>
        <v>21</v>
      </c>
    </row>
    <row r="286" spans="1:11" ht="15.75" customHeight="1">
      <c r="A286" t="s">
        <v>4107</v>
      </c>
      <c r="B286">
        <v>2003</v>
      </c>
      <c r="C286" t="s">
        <v>4716</v>
      </c>
      <c r="D286">
        <v>6</v>
      </c>
      <c r="E286">
        <v>1</v>
      </c>
      <c r="F286" s="16">
        <v>2719.28</v>
      </c>
      <c r="G286" t="s">
        <v>4699</v>
      </c>
      <c r="H286" t="s">
        <v>4699</v>
      </c>
      <c r="I286" t="s">
        <v>4713</v>
      </c>
      <c r="J286" s="17">
        <f t="shared" si="8"/>
        <v>37839</v>
      </c>
      <c r="K286">
        <f t="shared" ca="1" si="9"/>
        <v>22</v>
      </c>
    </row>
    <row r="287" spans="1:11" ht="15.75" customHeight="1">
      <c r="A287" t="s">
        <v>4105</v>
      </c>
      <c r="B287">
        <v>1997</v>
      </c>
      <c r="C287" t="s">
        <v>4717</v>
      </c>
      <c r="D287">
        <v>30</v>
      </c>
      <c r="E287">
        <v>0</v>
      </c>
      <c r="F287" s="16">
        <v>2721.32</v>
      </c>
      <c r="G287" t="s">
        <v>4698</v>
      </c>
      <c r="H287" t="s">
        <v>4700</v>
      </c>
      <c r="I287" t="s">
        <v>4726</v>
      </c>
      <c r="J287" s="17">
        <f t="shared" si="8"/>
        <v>35733</v>
      </c>
      <c r="K287">
        <f t="shared" ca="1" si="9"/>
        <v>28</v>
      </c>
    </row>
    <row r="288" spans="1:11" ht="15.75" customHeight="1">
      <c r="A288" t="s">
        <v>4103</v>
      </c>
      <c r="B288">
        <v>1988</v>
      </c>
      <c r="C288" t="s">
        <v>4716</v>
      </c>
      <c r="D288">
        <v>20</v>
      </c>
      <c r="E288">
        <v>3</v>
      </c>
      <c r="F288" s="16">
        <v>2726.06</v>
      </c>
      <c r="G288" t="s">
        <v>4699</v>
      </c>
      <c r="H288" t="s">
        <v>4699</v>
      </c>
      <c r="I288" t="s">
        <v>4709</v>
      </c>
      <c r="J288" s="17">
        <f t="shared" si="8"/>
        <v>32375</v>
      </c>
      <c r="K288">
        <f t="shared" ca="1" si="9"/>
        <v>37</v>
      </c>
    </row>
    <row r="289" spans="1:11" ht="15.75" customHeight="1">
      <c r="A289" t="s">
        <v>4101</v>
      </c>
      <c r="B289">
        <v>1997</v>
      </c>
      <c r="C289" t="s">
        <v>4717</v>
      </c>
      <c r="D289">
        <v>6</v>
      </c>
      <c r="E289">
        <v>0</v>
      </c>
      <c r="F289" s="16">
        <v>2727.4</v>
      </c>
      <c r="G289" t="s">
        <v>4700</v>
      </c>
      <c r="H289" t="s">
        <v>4700</v>
      </c>
      <c r="I289" t="s">
        <v>4721</v>
      </c>
      <c r="J289" s="17">
        <f t="shared" si="8"/>
        <v>35709</v>
      </c>
      <c r="K289">
        <f t="shared" ca="1" si="9"/>
        <v>28</v>
      </c>
    </row>
    <row r="290" spans="1:11" ht="15.75" customHeight="1">
      <c r="A290" t="s">
        <v>4099</v>
      </c>
      <c r="B290">
        <v>2003</v>
      </c>
      <c r="C290" t="s">
        <v>4714</v>
      </c>
      <c r="D290">
        <v>3</v>
      </c>
      <c r="E290">
        <v>1</v>
      </c>
      <c r="F290" s="16">
        <v>2730.11</v>
      </c>
      <c r="G290" t="s">
        <v>4699</v>
      </c>
      <c r="H290" t="s">
        <v>4700</v>
      </c>
      <c r="I290" t="s">
        <v>4713</v>
      </c>
      <c r="J290" s="17">
        <f t="shared" si="8"/>
        <v>37958</v>
      </c>
      <c r="K290">
        <f t="shared" ca="1" si="9"/>
        <v>21</v>
      </c>
    </row>
    <row r="291" spans="1:11" ht="15.75" customHeight="1">
      <c r="A291" t="s">
        <v>4097</v>
      </c>
      <c r="B291">
        <v>2000</v>
      </c>
      <c r="C291" t="s">
        <v>4714</v>
      </c>
      <c r="D291">
        <v>17</v>
      </c>
      <c r="E291">
        <v>0</v>
      </c>
      <c r="F291" s="16">
        <v>2731.91</v>
      </c>
      <c r="G291" t="s">
        <v>4699</v>
      </c>
      <c r="H291" t="s">
        <v>4700</v>
      </c>
      <c r="I291" t="s">
        <v>4724</v>
      </c>
      <c r="J291" s="17">
        <f t="shared" si="8"/>
        <v>36877</v>
      </c>
      <c r="K291">
        <f t="shared" ca="1" si="9"/>
        <v>24</v>
      </c>
    </row>
    <row r="292" spans="1:11" ht="15.75" customHeight="1">
      <c r="A292" t="s">
        <v>4095</v>
      </c>
      <c r="B292">
        <v>2000</v>
      </c>
      <c r="C292" t="s">
        <v>4717</v>
      </c>
      <c r="D292">
        <v>3</v>
      </c>
      <c r="E292">
        <v>0</v>
      </c>
      <c r="F292" s="16">
        <v>2741.95</v>
      </c>
      <c r="G292" t="s">
        <v>4699</v>
      </c>
      <c r="H292" t="s">
        <v>4700</v>
      </c>
      <c r="I292" t="s">
        <v>4724</v>
      </c>
      <c r="J292" s="17">
        <f t="shared" si="8"/>
        <v>36802</v>
      </c>
      <c r="K292">
        <f t="shared" ca="1" si="9"/>
        <v>25</v>
      </c>
    </row>
    <row r="293" spans="1:11" ht="15.75" customHeight="1">
      <c r="A293" t="s">
        <v>4093</v>
      </c>
      <c r="B293">
        <v>2000</v>
      </c>
      <c r="C293" t="s">
        <v>4717</v>
      </c>
      <c r="D293">
        <v>11</v>
      </c>
      <c r="E293">
        <v>0</v>
      </c>
      <c r="F293" s="16">
        <v>2755.02</v>
      </c>
      <c r="G293" t="s">
        <v>4699</v>
      </c>
      <c r="H293" t="s">
        <v>4698</v>
      </c>
      <c r="I293" t="s">
        <v>4724</v>
      </c>
      <c r="J293" s="17">
        <f t="shared" si="8"/>
        <v>36810</v>
      </c>
      <c r="K293">
        <f t="shared" ca="1" si="9"/>
        <v>25</v>
      </c>
    </row>
    <row r="294" spans="1:11" ht="15.75" customHeight="1">
      <c r="A294" t="s">
        <v>4091</v>
      </c>
      <c r="B294">
        <v>1997</v>
      </c>
      <c r="C294" t="s">
        <v>4716</v>
      </c>
      <c r="D294">
        <v>10</v>
      </c>
      <c r="E294">
        <v>0</v>
      </c>
      <c r="F294" s="16">
        <v>2758.99</v>
      </c>
      <c r="G294" t="s">
        <v>4699</v>
      </c>
      <c r="H294" t="s">
        <v>4698</v>
      </c>
      <c r="I294" t="s">
        <v>4713</v>
      </c>
      <c r="J294" s="17">
        <f t="shared" si="8"/>
        <v>35652</v>
      </c>
      <c r="K294">
        <f t="shared" ca="1" si="9"/>
        <v>28</v>
      </c>
    </row>
    <row r="295" spans="1:11" ht="15.75" customHeight="1">
      <c r="A295" t="s">
        <v>4089</v>
      </c>
      <c r="B295">
        <v>2004</v>
      </c>
      <c r="C295" t="s">
        <v>4710</v>
      </c>
      <c r="D295">
        <v>14</v>
      </c>
      <c r="E295">
        <v>0</v>
      </c>
      <c r="F295" s="16">
        <v>2773.46</v>
      </c>
      <c r="G295" t="s">
        <v>4699</v>
      </c>
      <c r="H295" t="s">
        <v>4698</v>
      </c>
      <c r="I295" t="s">
        <v>4727</v>
      </c>
      <c r="J295" s="17">
        <f t="shared" si="8"/>
        <v>38305</v>
      </c>
      <c r="K295">
        <f t="shared" ca="1" si="9"/>
        <v>21</v>
      </c>
    </row>
    <row r="296" spans="1:11" ht="15.75" customHeight="1">
      <c r="A296" t="s">
        <v>4697</v>
      </c>
      <c r="B296">
        <v>1999</v>
      </c>
      <c r="C296" t="s">
        <v>4711</v>
      </c>
      <c r="D296">
        <v>9</v>
      </c>
      <c r="E296">
        <v>1</v>
      </c>
      <c r="F296" s="16">
        <v>2775.19</v>
      </c>
      <c r="G296" t="s">
        <v>4699</v>
      </c>
      <c r="H296" t="s">
        <v>4698</v>
      </c>
      <c r="I296" t="s">
        <v>4713</v>
      </c>
      <c r="J296" s="17">
        <f t="shared" si="8"/>
        <v>36320</v>
      </c>
      <c r="K296">
        <f t="shared" ca="1" si="9"/>
        <v>26</v>
      </c>
    </row>
    <row r="297" spans="1:11" ht="15.75" customHeight="1">
      <c r="A297" t="s">
        <v>4087</v>
      </c>
      <c r="B297">
        <v>1999</v>
      </c>
      <c r="C297" t="s">
        <v>4716</v>
      </c>
      <c r="D297">
        <v>29</v>
      </c>
      <c r="E297">
        <v>1</v>
      </c>
      <c r="F297" s="16">
        <v>2775.19</v>
      </c>
      <c r="G297" t="s">
        <v>4699</v>
      </c>
      <c r="H297" t="s">
        <v>4698</v>
      </c>
      <c r="I297" t="s">
        <v>4713</v>
      </c>
      <c r="J297" s="17">
        <f t="shared" si="8"/>
        <v>36401</v>
      </c>
      <c r="K297">
        <f t="shared" ca="1" si="9"/>
        <v>26</v>
      </c>
    </row>
    <row r="298" spans="1:11" ht="15.75" customHeight="1">
      <c r="A298" t="s">
        <v>4085</v>
      </c>
      <c r="B298">
        <v>1999</v>
      </c>
      <c r="C298" t="s">
        <v>4714</v>
      </c>
      <c r="D298">
        <v>24</v>
      </c>
      <c r="E298">
        <v>1</v>
      </c>
      <c r="F298" s="16">
        <v>2789.06</v>
      </c>
      <c r="G298" t="s">
        <v>4699</v>
      </c>
      <c r="H298" t="s">
        <v>4700</v>
      </c>
      <c r="I298" t="s">
        <v>4713</v>
      </c>
      <c r="J298" s="17">
        <f t="shared" si="8"/>
        <v>36518</v>
      </c>
      <c r="K298">
        <f t="shared" ca="1" si="9"/>
        <v>25</v>
      </c>
    </row>
    <row r="299" spans="1:11" ht="15.75" customHeight="1">
      <c r="A299" t="s">
        <v>4083</v>
      </c>
      <c r="B299">
        <v>2004</v>
      </c>
      <c r="C299" t="s">
        <v>4716</v>
      </c>
      <c r="D299">
        <v>4</v>
      </c>
      <c r="E299">
        <v>2</v>
      </c>
      <c r="F299" s="16">
        <v>2801.26</v>
      </c>
      <c r="G299" t="s">
        <v>4699</v>
      </c>
      <c r="H299" t="s">
        <v>4700</v>
      </c>
      <c r="I299" t="s">
        <v>4709</v>
      </c>
      <c r="J299" s="17">
        <f t="shared" si="8"/>
        <v>38203</v>
      </c>
      <c r="K299">
        <f t="shared" ca="1" si="9"/>
        <v>21</v>
      </c>
    </row>
    <row r="300" spans="1:11" ht="15.75" customHeight="1">
      <c r="A300" t="s">
        <v>4081</v>
      </c>
      <c r="B300">
        <v>2003</v>
      </c>
      <c r="C300" t="s">
        <v>4712</v>
      </c>
      <c r="D300">
        <v>23</v>
      </c>
      <c r="E300">
        <v>2</v>
      </c>
      <c r="F300" s="16">
        <v>2803.7</v>
      </c>
      <c r="G300" t="s">
        <v>4699</v>
      </c>
      <c r="H300" t="s">
        <v>4698</v>
      </c>
      <c r="I300" t="s">
        <v>4713</v>
      </c>
      <c r="J300" s="17">
        <f t="shared" si="8"/>
        <v>37887</v>
      </c>
      <c r="K300">
        <f t="shared" ca="1" si="9"/>
        <v>22</v>
      </c>
    </row>
    <row r="301" spans="1:11" ht="15.75" customHeight="1">
      <c r="A301" t="s">
        <v>4079</v>
      </c>
      <c r="B301">
        <v>2000</v>
      </c>
      <c r="C301" t="s">
        <v>4717</v>
      </c>
      <c r="D301">
        <v>1</v>
      </c>
      <c r="E301">
        <v>0</v>
      </c>
      <c r="F301" s="16">
        <v>2819.51</v>
      </c>
      <c r="G301" t="s">
        <v>4699</v>
      </c>
      <c r="H301" t="s">
        <v>4700</v>
      </c>
      <c r="I301" t="s">
        <v>4718</v>
      </c>
      <c r="J301" s="17">
        <f t="shared" si="8"/>
        <v>36800</v>
      </c>
      <c r="K301">
        <f t="shared" ca="1" si="9"/>
        <v>25</v>
      </c>
    </row>
    <row r="302" spans="1:11" ht="15.75" customHeight="1">
      <c r="A302" t="s">
        <v>4077</v>
      </c>
      <c r="B302">
        <v>1998</v>
      </c>
      <c r="C302" t="s">
        <v>4710</v>
      </c>
      <c r="D302">
        <v>15</v>
      </c>
      <c r="E302">
        <v>0</v>
      </c>
      <c r="F302" s="16">
        <v>2842.76</v>
      </c>
      <c r="G302" t="s">
        <v>4699</v>
      </c>
      <c r="H302" t="s">
        <v>4700</v>
      </c>
      <c r="I302" t="s">
        <v>4713</v>
      </c>
      <c r="J302" s="17">
        <f t="shared" si="8"/>
        <v>36114</v>
      </c>
      <c r="K302">
        <f t="shared" ca="1" si="9"/>
        <v>27</v>
      </c>
    </row>
    <row r="303" spans="1:11" ht="15.75" customHeight="1">
      <c r="A303" t="s">
        <v>4075</v>
      </c>
      <c r="B303">
        <v>1998</v>
      </c>
      <c r="C303" t="s">
        <v>4711</v>
      </c>
      <c r="D303">
        <v>17</v>
      </c>
      <c r="E303">
        <v>0</v>
      </c>
      <c r="F303" s="16">
        <v>2850.68</v>
      </c>
      <c r="G303" t="s">
        <v>4699</v>
      </c>
      <c r="H303" t="s">
        <v>4700</v>
      </c>
      <c r="I303" t="s">
        <v>4713</v>
      </c>
      <c r="J303" s="17">
        <f t="shared" si="8"/>
        <v>35963</v>
      </c>
      <c r="K303">
        <f t="shared" ca="1" si="9"/>
        <v>27</v>
      </c>
    </row>
    <row r="304" spans="1:11" ht="15.75" customHeight="1">
      <c r="A304" t="s">
        <v>4073</v>
      </c>
      <c r="B304">
        <v>1998</v>
      </c>
      <c r="C304" t="s">
        <v>4712</v>
      </c>
      <c r="D304">
        <v>4</v>
      </c>
      <c r="E304">
        <v>0</v>
      </c>
      <c r="F304" s="16">
        <v>2855.44</v>
      </c>
      <c r="G304" t="s">
        <v>4699</v>
      </c>
      <c r="H304" t="s">
        <v>4700</v>
      </c>
      <c r="I304" t="s">
        <v>4713</v>
      </c>
      <c r="J304" s="17">
        <f t="shared" si="8"/>
        <v>36042</v>
      </c>
      <c r="K304">
        <f t="shared" ca="1" si="9"/>
        <v>27</v>
      </c>
    </row>
    <row r="305" spans="1:11" ht="15.75" customHeight="1">
      <c r="A305" t="s">
        <v>4071</v>
      </c>
      <c r="B305">
        <v>1993</v>
      </c>
      <c r="C305" t="s">
        <v>4710</v>
      </c>
      <c r="D305">
        <v>1</v>
      </c>
      <c r="E305">
        <v>0</v>
      </c>
      <c r="F305" s="16">
        <v>2866.09</v>
      </c>
      <c r="G305" t="s">
        <v>4700</v>
      </c>
      <c r="H305" t="s">
        <v>4700</v>
      </c>
      <c r="I305" t="s">
        <v>4718</v>
      </c>
      <c r="J305" s="17">
        <f t="shared" si="8"/>
        <v>34274</v>
      </c>
      <c r="K305">
        <f t="shared" ca="1" si="9"/>
        <v>32</v>
      </c>
    </row>
    <row r="306" spans="1:11" ht="15.75" customHeight="1">
      <c r="A306" t="s">
        <v>4069</v>
      </c>
      <c r="B306">
        <v>1993</v>
      </c>
      <c r="C306" t="s">
        <v>4716</v>
      </c>
      <c r="D306">
        <v>12</v>
      </c>
      <c r="E306">
        <v>0</v>
      </c>
      <c r="F306" s="16">
        <v>2867.12</v>
      </c>
      <c r="G306" t="s">
        <v>4698</v>
      </c>
      <c r="H306" t="s">
        <v>4700</v>
      </c>
      <c r="I306" t="s">
        <v>4709</v>
      </c>
      <c r="J306" s="17">
        <f t="shared" si="8"/>
        <v>34193</v>
      </c>
      <c r="K306">
        <f t="shared" ca="1" si="9"/>
        <v>32</v>
      </c>
    </row>
    <row r="307" spans="1:11" ht="15.75" customHeight="1">
      <c r="A307" t="s">
        <v>4067</v>
      </c>
      <c r="B307">
        <v>1996</v>
      </c>
      <c r="C307" t="s">
        <v>4711</v>
      </c>
      <c r="D307">
        <v>21</v>
      </c>
      <c r="E307">
        <v>0</v>
      </c>
      <c r="F307" s="16">
        <v>2897.32</v>
      </c>
      <c r="G307" t="s">
        <v>4700</v>
      </c>
      <c r="H307" t="s">
        <v>4700</v>
      </c>
      <c r="I307" t="s">
        <v>4721</v>
      </c>
      <c r="J307" s="17">
        <f t="shared" si="8"/>
        <v>35237</v>
      </c>
      <c r="K307">
        <f t="shared" ca="1" si="9"/>
        <v>29</v>
      </c>
    </row>
    <row r="308" spans="1:11" ht="15.75" customHeight="1">
      <c r="A308" t="s">
        <v>4065</v>
      </c>
      <c r="B308">
        <v>2000</v>
      </c>
      <c r="C308" t="s">
        <v>4708</v>
      </c>
      <c r="D308">
        <v>14</v>
      </c>
      <c r="E308">
        <v>0</v>
      </c>
      <c r="F308" s="16">
        <v>2897.46</v>
      </c>
      <c r="G308" t="s">
        <v>4699</v>
      </c>
      <c r="H308" t="s">
        <v>4698</v>
      </c>
      <c r="I308" t="s">
        <v>4713</v>
      </c>
      <c r="J308" s="17">
        <f t="shared" si="8"/>
        <v>36721</v>
      </c>
      <c r="K308">
        <f t="shared" ca="1" si="9"/>
        <v>25</v>
      </c>
    </row>
    <row r="309" spans="1:11" ht="15.75" customHeight="1">
      <c r="A309" t="s">
        <v>4063</v>
      </c>
      <c r="B309">
        <v>1999</v>
      </c>
      <c r="C309" t="s">
        <v>4710</v>
      </c>
      <c r="D309">
        <v>1</v>
      </c>
      <c r="E309">
        <v>0</v>
      </c>
      <c r="F309" s="16">
        <v>2899.49</v>
      </c>
      <c r="G309" t="s">
        <v>4699</v>
      </c>
      <c r="H309" t="s">
        <v>4699</v>
      </c>
      <c r="I309" t="s">
        <v>4724</v>
      </c>
      <c r="J309" s="17">
        <f t="shared" si="8"/>
        <v>36465</v>
      </c>
      <c r="K309">
        <f t="shared" ca="1" si="9"/>
        <v>26</v>
      </c>
    </row>
    <row r="310" spans="1:11" ht="15.75" customHeight="1">
      <c r="A310" t="s">
        <v>4061</v>
      </c>
      <c r="B310">
        <v>1996</v>
      </c>
      <c r="C310" t="s">
        <v>4717</v>
      </c>
      <c r="D310">
        <v>24</v>
      </c>
      <c r="E310">
        <v>1</v>
      </c>
      <c r="F310" s="16">
        <v>2902.91</v>
      </c>
      <c r="G310" t="s">
        <v>4699</v>
      </c>
      <c r="H310" t="s">
        <v>4699</v>
      </c>
      <c r="I310" t="s">
        <v>4709</v>
      </c>
      <c r="J310" s="17">
        <f t="shared" si="8"/>
        <v>35362</v>
      </c>
      <c r="K310">
        <f t="shared" ca="1" si="9"/>
        <v>29</v>
      </c>
    </row>
    <row r="311" spans="1:11" ht="15.75" customHeight="1">
      <c r="A311" t="s">
        <v>4059</v>
      </c>
      <c r="B311">
        <v>1996</v>
      </c>
      <c r="C311" t="s">
        <v>4711</v>
      </c>
      <c r="D311">
        <v>13</v>
      </c>
      <c r="E311">
        <v>1</v>
      </c>
      <c r="F311" s="16">
        <v>2904.09</v>
      </c>
      <c r="G311" t="s">
        <v>4699</v>
      </c>
      <c r="H311" t="s">
        <v>4699</v>
      </c>
      <c r="I311" t="s">
        <v>4718</v>
      </c>
      <c r="J311" s="17">
        <f t="shared" si="8"/>
        <v>35229</v>
      </c>
      <c r="K311">
        <f t="shared" ca="1" si="9"/>
        <v>29</v>
      </c>
    </row>
    <row r="312" spans="1:11" ht="15.75" customHeight="1">
      <c r="A312" t="s">
        <v>4057</v>
      </c>
      <c r="B312">
        <v>2003</v>
      </c>
      <c r="C312" t="s">
        <v>4711</v>
      </c>
      <c r="D312">
        <v>5</v>
      </c>
      <c r="E312">
        <v>2</v>
      </c>
      <c r="F312" s="16">
        <v>2913.57</v>
      </c>
      <c r="G312" t="s">
        <v>4699</v>
      </c>
      <c r="H312" t="s">
        <v>4699</v>
      </c>
      <c r="I312" t="s">
        <v>4718</v>
      </c>
      <c r="J312" s="17">
        <f t="shared" si="8"/>
        <v>37777</v>
      </c>
      <c r="K312">
        <f t="shared" ca="1" si="9"/>
        <v>22</v>
      </c>
    </row>
    <row r="313" spans="1:11" ht="15.75" customHeight="1">
      <c r="A313" t="s">
        <v>4055</v>
      </c>
      <c r="B313">
        <v>1996</v>
      </c>
      <c r="C313" t="s">
        <v>4711</v>
      </c>
      <c r="D313">
        <v>30</v>
      </c>
      <c r="E313">
        <v>1</v>
      </c>
      <c r="F313" s="16">
        <v>2927.06</v>
      </c>
      <c r="G313" t="s">
        <v>4699</v>
      </c>
      <c r="H313" t="s">
        <v>4699</v>
      </c>
      <c r="I313" t="s">
        <v>4709</v>
      </c>
      <c r="J313" s="17">
        <f t="shared" si="8"/>
        <v>35246</v>
      </c>
      <c r="K313">
        <f t="shared" ca="1" si="9"/>
        <v>29</v>
      </c>
    </row>
    <row r="314" spans="1:11" ht="15.75" customHeight="1">
      <c r="A314" t="s">
        <v>4053</v>
      </c>
      <c r="B314">
        <v>2002</v>
      </c>
      <c r="C314" t="s">
        <v>4712</v>
      </c>
      <c r="D314">
        <v>30</v>
      </c>
      <c r="E314">
        <v>0</v>
      </c>
      <c r="F314" s="16">
        <v>2943.41</v>
      </c>
      <c r="G314" t="s">
        <v>4699</v>
      </c>
      <c r="H314" t="s">
        <v>4700</v>
      </c>
      <c r="I314" t="s">
        <v>4713</v>
      </c>
      <c r="J314" s="17">
        <f t="shared" si="8"/>
        <v>37529</v>
      </c>
      <c r="K314">
        <f t="shared" ca="1" si="9"/>
        <v>23</v>
      </c>
    </row>
    <row r="315" spans="1:11" ht="15.75" customHeight="1">
      <c r="A315" t="s">
        <v>4051</v>
      </c>
      <c r="B315">
        <v>1995</v>
      </c>
      <c r="C315" t="s">
        <v>4712</v>
      </c>
      <c r="D315">
        <v>24</v>
      </c>
      <c r="E315">
        <v>0</v>
      </c>
      <c r="F315" s="16">
        <v>2974.13</v>
      </c>
      <c r="G315" t="s">
        <v>4699</v>
      </c>
      <c r="H315" t="s">
        <v>4698</v>
      </c>
      <c r="I315" t="s">
        <v>4718</v>
      </c>
      <c r="J315" s="17">
        <f t="shared" si="8"/>
        <v>34966</v>
      </c>
      <c r="K315">
        <f t="shared" ca="1" si="9"/>
        <v>30</v>
      </c>
    </row>
    <row r="316" spans="1:11" ht="15.75" customHeight="1">
      <c r="A316" t="s">
        <v>4049</v>
      </c>
      <c r="B316">
        <v>1987</v>
      </c>
      <c r="C316" t="s">
        <v>4711</v>
      </c>
      <c r="D316">
        <v>18</v>
      </c>
      <c r="E316">
        <v>3</v>
      </c>
      <c r="F316" s="16">
        <v>2979.52</v>
      </c>
      <c r="G316" t="s">
        <v>4699</v>
      </c>
      <c r="H316" t="s">
        <v>4700</v>
      </c>
      <c r="I316" t="s">
        <v>4709</v>
      </c>
      <c r="J316" s="17">
        <f t="shared" si="8"/>
        <v>31946</v>
      </c>
      <c r="K316">
        <f t="shared" ca="1" si="9"/>
        <v>38</v>
      </c>
    </row>
    <row r="317" spans="1:11" ht="15.75" customHeight="1">
      <c r="A317" t="s">
        <v>4047</v>
      </c>
      <c r="B317">
        <v>1991</v>
      </c>
      <c r="C317" t="s">
        <v>4710</v>
      </c>
      <c r="D317">
        <v>20</v>
      </c>
      <c r="E317">
        <v>3</v>
      </c>
      <c r="F317" s="16">
        <v>2985.67</v>
      </c>
      <c r="G317" t="s">
        <v>4699</v>
      </c>
      <c r="H317" t="s">
        <v>4699</v>
      </c>
      <c r="I317" t="s">
        <v>4709</v>
      </c>
      <c r="J317" s="17">
        <f t="shared" si="8"/>
        <v>33562</v>
      </c>
      <c r="K317">
        <f t="shared" ca="1" si="9"/>
        <v>34</v>
      </c>
    </row>
    <row r="318" spans="1:11" ht="15.75" customHeight="1">
      <c r="A318" t="s">
        <v>4045</v>
      </c>
      <c r="B318">
        <v>2002</v>
      </c>
      <c r="C318" t="s">
        <v>4714</v>
      </c>
      <c r="D318">
        <v>15</v>
      </c>
      <c r="E318">
        <v>0</v>
      </c>
      <c r="F318" s="16">
        <v>3012.22</v>
      </c>
      <c r="G318" t="s">
        <v>4699</v>
      </c>
      <c r="H318" t="s">
        <v>4700</v>
      </c>
      <c r="I318" t="s">
        <v>4713</v>
      </c>
      <c r="J318" s="17">
        <f t="shared" si="8"/>
        <v>37605</v>
      </c>
      <c r="K318">
        <f t="shared" ca="1" si="9"/>
        <v>22</v>
      </c>
    </row>
    <row r="319" spans="1:11" ht="15.75" customHeight="1">
      <c r="A319" t="s">
        <v>4043</v>
      </c>
      <c r="B319">
        <v>1988</v>
      </c>
      <c r="C319" t="s">
        <v>4712</v>
      </c>
      <c r="D319">
        <v>28</v>
      </c>
      <c r="E319">
        <v>3</v>
      </c>
      <c r="F319" s="16">
        <v>3018.04</v>
      </c>
      <c r="G319" t="s">
        <v>4699</v>
      </c>
      <c r="H319" t="s">
        <v>4699</v>
      </c>
      <c r="I319" t="s">
        <v>4713</v>
      </c>
      <c r="J319" s="17">
        <f t="shared" si="8"/>
        <v>32414</v>
      </c>
      <c r="K319">
        <f t="shared" ca="1" si="9"/>
        <v>37</v>
      </c>
    </row>
    <row r="320" spans="1:11" ht="15.75" customHeight="1">
      <c r="A320" t="s">
        <v>4041</v>
      </c>
      <c r="B320">
        <v>1997</v>
      </c>
      <c r="C320" t="s">
        <v>4714</v>
      </c>
      <c r="D320">
        <v>19</v>
      </c>
      <c r="E320">
        <v>0</v>
      </c>
      <c r="F320" s="16">
        <v>3021.81</v>
      </c>
      <c r="G320" t="s">
        <v>4699</v>
      </c>
      <c r="H320" t="s">
        <v>4700</v>
      </c>
      <c r="I320" t="s">
        <v>4713</v>
      </c>
      <c r="J320" s="17">
        <f t="shared" si="8"/>
        <v>35783</v>
      </c>
      <c r="K320">
        <f t="shared" ca="1" si="9"/>
        <v>27</v>
      </c>
    </row>
    <row r="321" spans="1:11" ht="15.75" customHeight="1">
      <c r="A321" t="s">
        <v>4039</v>
      </c>
      <c r="B321">
        <v>1998</v>
      </c>
      <c r="C321" t="s">
        <v>4712</v>
      </c>
      <c r="D321">
        <v>15</v>
      </c>
      <c r="E321">
        <v>0</v>
      </c>
      <c r="F321" s="16">
        <v>3044.21</v>
      </c>
      <c r="G321" t="s">
        <v>4699</v>
      </c>
      <c r="H321" t="s">
        <v>4700</v>
      </c>
      <c r="I321" t="s">
        <v>4724</v>
      </c>
      <c r="J321" s="17">
        <f t="shared" si="8"/>
        <v>36053</v>
      </c>
      <c r="K321">
        <f t="shared" ca="1" si="9"/>
        <v>27</v>
      </c>
    </row>
    <row r="322" spans="1:11" ht="15.75" customHeight="1">
      <c r="A322" t="s">
        <v>4037</v>
      </c>
      <c r="B322">
        <v>1998</v>
      </c>
      <c r="C322" t="s">
        <v>4716</v>
      </c>
      <c r="D322">
        <v>9</v>
      </c>
      <c r="E322">
        <v>0</v>
      </c>
      <c r="F322" s="16">
        <v>3046.06</v>
      </c>
      <c r="G322" t="s">
        <v>4699</v>
      </c>
      <c r="H322" t="s">
        <v>4698</v>
      </c>
      <c r="I322" t="s">
        <v>4725</v>
      </c>
      <c r="J322" s="17">
        <f t="shared" si="8"/>
        <v>36016</v>
      </c>
      <c r="K322">
        <f t="shared" ca="1" si="9"/>
        <v>27</v>
      </c>
    </row>
    <row r="323" spans="1:11" ht="15.75" customHeight="1">
      <c r="A323" t="s">
        <v>4035</v>
      </c>
      <c r="B323">
        <v>1997</v>
      </c>
      <c r="C323" t="s">
        <v>4714</v>
      </c>
      <c r="D323">
        <v>22</v>
      </c>
      <c r="E323">
        <v>0</v>
      </c>
      <c r="F323" s="16">
        <v>3051.73</v>
      </c>
      <c r="G323" t="s">
        <v>4699</v>
      </c>
      <c r="H323" t="s">
        <v>4699</v>
      </c>
      <c r="I323" t="s">
        <v>4718</v>
      </c>
      <c r="J323" s="17">
        <f t="shared" ref="J323:J386" si="10">DATEVALUE(D323&amp;"-"&amp;C323&amp;" -"&amp;B323)</f>
        <v>35786</v>
      </c>
      <c r="K323">
        <f t="shared" ref="K323:K386" ca="1" si="11">DATEDIF(J323,TODAY(),"Y")</f>
        <v>27</v>
      </c>
    </row>
    <row r="324" spans="1:11" ht="15.75" customHeight="1">
      <c r="A324" t="s">
        <v>4033</v>
      </c>
      <c r="B324">
        <v>2002</v>
      </c>
      <c r="C324" t="s">
        <v>4711</v>
      </c>
      <c r="D324">
        <v>21</v>
      </c>
      <c r="E324">
        <v>2</v>
      </c>
      <c r="F324" s="16">
        <v>3056.39</v>
      </c>
      <c r="G324" t="s">
        <v>4699</v>
      </c>
      <c r="H324" t="s">
        <v>4700</v>
      </c>
      <c r="I324" t="s">
        <v>4709</v>
      </c>
      <c r="J324" s="17">
        <f t="shared" si="10"/>
        <v>37428</v>
      </c>
      <c r="K324">
        <f t="shared" ca="1" si="11"/>
        <v>23</v>
      </c>
    </row>
    <row r="325" spans="1:11" ht="15.75" customHeight="1">
      <c r="A325" t="s">
        <v>4031</v>
      </c>
      <c r="B325">
        <v>1994</v>
      </c>
      <c r="C325" t="s">
        <v>4712</v>
      </c>
      <c r="D325">
        <v>26</v>
      </c>
      <c r="E325">
        <v>0</v>
      </c>
      <c r="F325" s="16">
        <v>3062.51</v>
      </c>
      <c r="G325" t="s">
        <v>4700</v>
      </c>
      <c r="H325" t="s">
        <v>4698</v>
      </c>
      <c r="I325" t="s">
        <v>4713</v>
      </c>
      <c r="J325" s="17">
        <f t="shared" si="10"/>
        <v>34603</v>
      </c>
      <c r="K325">
        <f t="shared" ca="1" si="11"/>
        <v>31</v>
      </c>
    </row>
    <row r="326" spans="1:11" ht="15.75" customHeight="1">
      <c r="A326" t="s">
        <v>4029</v>
      </c>
      <c r="B326">
        <v>1989</v>
      </c>
      <c r="C326" t="s">
        <v>4717</v>
      </c>
      <c r="D326">
        <v>1</v>
      </c>
      <c r="E326">
        <v>3</v>
      </c>
      <c r="F326" s="16">
        <v>3065.49</v>
      </c>
      <c r="G326" t="s">
        <v>4699</v>
      </c>
      <c r="H326" t="s">
        <v>4698</v>
      </c>
      <c r="I326" t="s">
        <v>4713</v>
      </c>
      <c r="J326" s="17">
        <f t="shared" si="10"/>
        <v>32782</v>
      </c>
      <c r="K326">
        <f t="shared" ca="1" si="11"/>
        <v>36</v>
      </c>
    </row>
    <row r="327" spans="1:11" ht="15.75" customHeight="1">
      <c r="A327" t="s">
        <v>4027</v>
      </c>
      <c r="B327">
        <v>1995</v>
      </c>
      <c r="C327" t="s">
        <v>4712</v>
      </c>
      <c r="D327">
        <v>10</v>
      </c>
      <c r="E327">
        <v>0</v>
      </c>
      <c r="F327" s="16">
        <v>3070.81</v>
      </c>
      <c r="G327" t="s">
        <v>4700</v>
      </c>
      <c r="H327" t="s">
        <v>4698</v>
      </c>
      <c r="I327" t="s">
        <v>4728</v>
      </c>
      <c r="J327" s="17">
        <f t="shared" si="10"/>
        <v>34952</v>
      </c>
      <c r="K327">
        <f t="shared" ca="1" si="11"/>
        <v>30</v>
      </c>
    </row>
    <row r="328" spans="1:11" ht="15.75" customHeight="1">
      <c r="A328" t="s">
        <v>4025</v>
      </c>
      <c r="B328">
        <v>2001</v>
      </c>
      <c r="C328" t="s">
        <v>4717</v>
      </c>
      <c r="D328">
        <v>13</v>
      </c>
      <c r="E328">
        <v>2</v>
      </c>
      <c r="F328" s="16">
        <v>3077.1</v>
      </c>
      <c r="G328" t="s">
        <v>4699</v>
      </c>
      <c r="H328" t="s">
        <v>4698</v>
      </c>
      <c r="I328" t="s">
        <v>4713</v>
      </c>
      <c r="J328" s="17">
        <f t="shared" si="10"/>
        <v>37177</v>
      </c>
      <c r="K328">
        <f t="shared" ca="1" si="11"/>
        <v>24</v>
      </c>
    </row>
    <row r="329" spans="1:11" ht="15.75" customHeight="1">
      <c r="A329" t="s">
        <v>4023</v>
      </c>
      <c r="B329">
        <v>1987</v>
      </c>
      <c r="C329" t="s">
        <v>4716</v>
      </c>
      <c r="D329">
        <v>1</v>
      </c>
      <c r="E329">
        <v>3</v>
      </c>
      <c r="F329" s="16">
        <v>3088.06</v>
      </c>
      <c r="G329" t="s">
        <v>4699</v>
      </c>
      <c r="H329" t="s">
        <v>4699</v>
      </c>
      <c r="I329" t="s">
        <v>4709</v>
      </c>
      <c r="J329" s="17">
        <f t="shared" si="10"/>
        <v>31990</v>
      </c>
      <c r="K329">
        <f t="shared" ca="1" si="11"/>
        <v>38</v>
      </c>
    </row>
    <row r="330" spans="1:11" ht="15.75" customHeight="1">
      <c r="A330" t="s">
        <v>4021</v>
      </c>
      <c r="B330">
        <v>1999</v>
      </c>
      <c r="C330" t="s">
        <v>4711</v>
      </c>
      <c r="D330">
        <v>25</v>
      </c>
      <c r="E330">
        <v>0</v>
      </c>
      <c r="F330" s="16">
        <v>3128.35</v>
      </c>
      <c r="G330" t="s">
        <v>4699</v>
      </c>
      <c r="H330" t="s">
        <v>4700</v>
      </c>
      <c r="I330" t="s">
        <v>4727</v>
      </c>
      <c r="J330" s="17">
        <f t="shared" si="10"/>
        <v>36336</v>
      </c>
      <c r="K330">
        <f t="shared" ca="1" si="11"/>
        <v>26</v>
      </c>
    </row>
    <row r="331" spans="1:11" ht="15.75" customHeight="1">
      <c r="A331" t="s">
        <v>4019</v>
      </c>
      <c r="B331">
        <v>1994</v>
      </c>
      <c r="C331" t="s">
        <v>4708</v>
      </c>
      <c r="D331">
        <v>10</v>
      </c>
      <c r="E331">
        <v>0</v>
      </c>
      <c r="F331" s="16">
        <v>3161.45</v>
      </c>
      <c r="G331" t="s">
        <v>4699</v>
      </c>
      <c r="H331" t="s">
        <v>4698</v>
      </c>
      <c r="I331" t="s">
        <v>4718</v>
      </c>
      <c r="J331" s="17">
        <f t="shared" si="10"/>
        <v>34525</v>
      </c>
      <c r="K331">
        <f t="shared" ca="1" si="11"/>
        <v>31</v>
      </c>
    </row>
    <row r="332" spans="1:11" ht="15.75" customHeight="1">
      <c r="A332" t="s">
        <v>4017</v>
      </c>
      <c r="B332">
        <v>1993</v>
      </c>
      <c r="C332" t="s">
        <v>4712</v>
      </c>
      <c r="D332">
        <v>25</v>
      </c>
      <c r="E332">
        <v>0</v>
      </c>
      <c r="F332" s="16">
        <v>3162.02</v>
      </c>
      <c r="G332" t="s">
        <v>4699</v>
      </c>
      <c r="H332" t="s">
        <v>4700</v>
      </c>
      <c r="I332" t="s">
        <v>4709</v>
      </c>
      <c r="J332" s="17">
        <f t="shared" si="10"/>
        <v>34237</v>
      </c>
      <c r="K332">
        <f t="shared" ca="1" si="11"/>
        <v>32</v>
      </c>
    </row>
    <row r="333" spans="1:11" ht="15.75" customHeight="1">
      <c r="A333" t="s">
        <v>4015</v>
      </c>
      <c r="B333">
        <v>2001</v>
      </c>
      <c r="C333" t="s">
        <v>4716</v>
      </c>
      <c r="D333">
        <v>29</v>
      </c>
      <c r="E333">
        <v>1</v>
      </c>
      <c r="F333" s="16">
        <v>3167.46</v>
      </c>
      <c r="G333" t="s">
        <v>4699</v>
      </c>
      <c r="H333" t="s">
        <v>4700</v>
      </c>
      <c r="I333" t="s">
        <v>4724</v>
      </c>
      <c r="J333" s="17">
        <f t="shared" si="10"/>
        <v>37132</v>
      </c>
      <c r="K333">
        <f t="shared" ca="1" si="11"/>
        <v>24</v>
      </c>
    </row>
    <row r="334" spans="1:11" ht="15.75" customHeight="1">
      <c r="A334" t="s">
        <v>4013</v>
      </c>
      <c r="B334">
        <v>1994</v>
      </c>
      <c r="C334" t="s">
        <v>4717</v>
      </c>
      <c r="D334">
        <v>25</v>
      </c>
      <c r="E334">
        <v>0</v>
      </c>
      <c r="F334" s="16">
        <v>3171.61</v>
      </c>
      <c r="G334" t="s">
        <v>4699</v>
      </c>
      <c r="H334" t="s">
        <v>4700</v>
      </c>
      <c r="I334" t="s">
        <v>4709</v>
      </c>
      <c r="J334" s="17">
        <f t="shared" si="10"/>
        <v>34632</v>
      </c>
      <c r="K334">
        <f t="shared" ca="1" si="11"/>
        <v>31</v>
      </c>
    </row>
    <row r="335" spans="1:11" ht="15.75" customHeight="1">
      <c r="A335" t="s">
        <v>4011</v>
      </c>
      <c r="B335">
        <v>1994</v>
      </c>
      <c r="C335" t="s">
        <v>4708</v>
      </c>
      <c r="D335">
        <v>6</v>
      </c>
      <c r="E335">
        <v>0</v>
      </c>
      <c r="F335" s="16">
        <v>3172.02</v>
      </c>
      <c r="G335" t="s">
        <v>4699</v>
      </c>
      <c r="H335" t="s">
        <v>4698</v>
      </c>
      <c r="I335" t="s">
        <v>4718</v>
      </c>
      <c r="J335" s="17">
        <f t="shared" si="10"/>
        <v>34521</v>
      </c>
      <c r="K335">
        <f t="shared" ca="1" si="11"/>
        <v>31</v>
      </c>
    </row>
    <row r="336" spans="1:11" ht="15.75" customHeight="1">
      <c r="A336" t="s">
        <v>4009</v>
      </c>
      <c r="B336">
        <v>1996</v>
      </c>
      <c r="C336" t="s">
        <v>4716</v>
      </c>
      <c r="D336">
        <v>14</v>
      </c>
      <c r="E336">
        <v>0</v>
      </c>
      <c r="F336" s="16">
        <v>3176.29</v>
      </c>
      <c r="G336" t="s">
        <v>4699</v>
      </c>
      <c r="H336" t="s">
        <v>4699</v>
      </c>
      <c r="I336" t="s">
        <v>4713</v>
      </c>
      <c r="J336" s="17">
        <f t="shared" si="10"/>
        <v>35291</v>
      </c>
      <c r="K336">
        <f t="shared" ca="1" si="11"/>
        <v>29</v>
      </c>
    </row>
    <row r="337" spans="1:11" ht="15.75" customHeight="1">
      <c r="A337" t="s">
        <v>4007</v>
      </c>
      <c r="B337">
        <v>1996</v>
      </c>
      <c r="C337" t="s">
        <v>4708</v>
      </c>
      <c r="D337">
        <v>3</v>
      </c>
      <c r="E337">
        <v>0</v>
      </c>
      <c r="F337" s="16">
        <v>3176.82</v>
      </c>
      <c r="G337" t="s">
        <v>4699</v>
      </c>
      <c r="H337" t="s">
        <v>4698</v>
      </c>
      <c r="I337" t="s">
        <v>4713</v>
      </c>
      <c r="J337" s="17">
        <f t="shared" si="10"/>
        <v>35249</v>
      </c>
      <c r="K337">
        <f t="shared" ca="1" si="11"/>
        <v>29</v>
      </c>
    </row>
    <row r="338" spans="1:11" ht="15.75" customHeight="1">
      <c r="A338" t="s">
        <v>4005</v>
      </c>
      <c r="B338">
        <v>2000</v>
      </c>
      <c r="C338" t="s">
        <v>4712</v>
      </c>
      <c r="D338">
        <v>23</v>
      </c>
      <c r="E338">
        <v>0</v>
      </c>
      <c r="F338" s="16">
        <v>3179.96</v>
      </c>
      <c r="G338" t="s">
        <v>4699</v>
      </c>
      <c r="H338" t="s">
        <v>4699</v>
      </c>
      <c r="I338" t="s">
        <v>4713</v>
      </c>
      <c r="J338" s="17">
        <f t="shared" si="10"/>
        <v>36792</v>
      </c>
      <c r="K338">
        <f t="shared" ca="1" si="11"/>
        <v>25</v>
      </c>
    </row>
    <row r="339" spans="1:11" ht="15.75" customHeight="1">
      <c r="A339" t="s">
        <v>4003</v>
      </c>
      <c r="B339">
        <v>2001</v>
      </c>
      <c r="C339" t="s">
        <v>4712</v>
      </c>
      <c r="D339">
        <v>2</v>
      </c>
      <c r="E339">
        <v>2</v>
      </c>
      <c r="F339" s="16">
        <v>3180.51</v>
      </c>
      <c r="G339" t="s">
        <v>4699</v>
      </c>
      <c r="H339" t="s">
        <v>4699</v>
      </c>
      <c r="I339" t="s">
        <v>4709</v>
      </c>
      <c r="J339" s="17">
        <f t="shared" si="10"/>
        <v>37136</v>
      </c>
      <c r="K339">
        <f t="shared" ca="1" si="11"/>
        <v>24</v>
      </c>
    </row>
    <row r="340" spans="1:11" ht="15.75" customHeight="1">
      <c r="A340" t="s">
        <v>4001</v>
      </c>
      <c r="B340">
        <v>1996</v>
      </c>
      <c r="C340" t="s">
        <v>4717</v>
      </c>
      <c r="D340">
        <v>11</v>
      </c>
      <c r="E340">
        <v>0</v>
      </c>
      <c r="F340" s="16">
        <v>3201.25</v>
      </c>
      <c r="G340" t="s">
        <v>4699</v>
      </c>
      <c r="H340" t="s">
        <v>4700</v>
      </c>
      <c r="I340" t="s">
        <v>4713</v>
      </c>
      <c r="J340" s="17">
        <f t="shared" si="10"/>
        <v>35349</v>
      </c>
      <c r="K340">
        <f t="shared" ca="1" si="11"/>
        <v>29</v>
      </c>
    </row>
    <row r="341" spans="1:11" ht="15.75" customHeight="1">
      <c r="A341" t="s">
        <v>3999</v>
      </c>
      <c r="B341">
        <v>1997</v>
      </c>
      <c r="C341" t="s">
        <v>4708</v>
      </c>
      <c r="D341">
        <v>5</v>
      </c>
      <c r="E341">
        <v>0</v>
      </c>
      <c r="F341" s="16">
        <v>3206.49</v>
      </c>
      <c r="G341" t="s">
        <v>4699</v>
      </c>
      <c r="H341" t="s">
        <v>4700</v>
      </c>
      <c r="I341" t="s">
        <v>4724</v>
      </c>
      <c r="J341" s="17">
        <f t="shared" si="10"/>
        <v>35616</v>
      </c>
      <c r="K341">
        <f t="shared" ca="1" si="11"/>
        <v>28</v>
      </c>
    </row>
    <row r="342" spans="1:11" ht="15.75" customHeight="1">
      <c r="A342" t="s">
        <v>3997</v>
      </c>
      <c r="B342">
        <v>1997</v>
      </c>
      <c r="C342" t="s">
        <v>4714</v>
      </c>
      <c r="D342">
        <v>22</v>
      </c>
      <c r="E342">
        <v>1</v>
      </c>
      <c r="F342" s="16">
        <v>3208.79</v>
      </c>
      <c r="G342" t="s">
        <v>4699</v>
      </c>
      <c r="H342" t="s">
        <v>4700</v>
      </c>
      <c r="I342" t="s">
        <v>4718</v>
      </c>
      <c r="J342" s="17">
        <f t="shared" si="10"/>
        <v>35786</v>
      </c>
      <c r="K342">
        <f t="shared" ca="1" si="11"/>
        <v>27</v>
      </c>
    </row>
    <row r="343" spans="1:11" ht="15.75" customHeight="1">
      <c r="A343" t="s">
        <v>3995</v>
      </c>
      <c r="B343">
        <v>1997</v>
      </c>
      <c r="C343" t="s">
        <v>4708</v>
      </c>
      <c r="D343">
        <v>6</v>
      </c>
      <c r="E343">
        <v>0</v>
      </c>
      <c r="F343" s="16">
        <v>3213.62</v>
      </c>
      <c r="G343" t="s">
        <v>4699</v>
      </c>
      <c r="H343" t="s">
        <v>4699</v>
      </c>
      <c r="I343" t="s">
        <v>4724</v>
      </c>
      <c r="J343" s="17">
        <f t="shared" si="10"/>
        <v>35617</v>
      </c>
      <c r="K343">
        <f t="shared" ca="1" si="11"/>
        <v>28</v>
      </c>
    </row>
    <row r="344" spans="1:11" ht="15.75" customHeight="1">
      <c r="A344" t="s">
        <v>3993</v>
      </c>
      <c r="B344">
        <v>1997</v>
      </c>
      <c r="C344" t="s">
        <v>4716</v>
      </c>
      <c r="D344">
        <v>2</v>
      </c>
      <c r="E344">
        <v>1</v>
      </c>
      <c r="F344" s="16">
        <v>3227.12</v>
      </c>
      <c r="G344" t="s">
        <v>4699</v>
      </c>
      <c r="H344" t="s">
        <v>4700</v>
      </c>
      <c r="I344" t="s">
        <v>4709</v>
      </c>
      <c r="J344" s="17">
        <f t="shared" si="10"/>
        <v>35644</v>
      </c>
      <c r="K344">
        <f t="shared" ca="1" si="11"/>
        <v>28</v>
      </c>
    </row>
    <row r="345" spans="1:11" ht="15.75" customHeight="1">
      <c r="A345" t="s">
        <v>3991</v>
      </c>
      <c r="B345">
        <v>1997</v>
      </c>
      <c r="C345" t="s">
        <v>4712</v>
      </c>
      <c r="D345">
        <v>2</v>
      </c>
      <c r="E345">
        <v>1</v>
      </c>
      <c r="F345" s="16">
        <v>3238.44</v>
      </c>
      <c r="G345" t="s">
        <v>4699</v>
      </c>
      <c r="H345" t="s">
        <v>4700</v>
      </c>
      <c r="I345" t="s">
        <v>4709</v>
      </c>
      <c r="J345" s="17">
        <f t="shared" si="10"/>
        <v>35675</v>
      </c>
      <c r="K345">
        <f t="shared" ca="1" si="11"/>
        <v>28</v>
      </c>
    </row>
    <row r="346" spans="1:11" ht="15.75" customHeight="1">
      <c r="A346" t="s">
        <v>3989</v>
      </c>
      <c r="B346">
        <v>1991</v>
      </c>
      <c r="C346" t="s">
        <v>4710</v>
      </c>
      <c r="D346">
        <v>13</v>
      </c>
      <c r="E346">
        <v>0</v>
      </c>
      <c r="F346" s="16">
        <v>3260.2</v>
      </c>
      <c r="G346" t="s">
        <v>4700</v>
      </c>
      <c r="H346" t="s">
        <v>4699</v>
      </c>
      <c r="I346" t="s">
        <v>4718</v>
      </c>
      <c r="J346" s="17">
        <f t="shared" si="10"/>
        <v>33555</v>
      </c>
      <c r="K346">
        <f t="shared" ca="1" si="11"/>
        <v>34</v>
      </c>
    </row>
    <row r="347" spans="1:11" ht="15.75" customHeight="1">
      <c r="A347" t="s">
        <v>3987</v>
      </c>
      <c r="B347">
        <v>1994</v>
      </c>
      <c r="C347" t="s">
        <v>4714</v>
      </c>
      <c r="D347">
        <v>2</v>
      </c>
      <c r="E347">
        <v>0</v>
      </c>
      <c r="F347" s="16">
        <v>3268.85</v>
      </c>
      <c r="G347" t="s">
        <v>4700</v>
      </c>
      <c r="H347" t="s">
        <v>4698</v>
      </c>
      <c r="I347" t="s">
        <v>4721</v>
      </c>
      <c r="J347" s="17">
        <f t="shared" si="10"/>
        <v>34670</v>
      </c>
      <c r="K347">
        <f t="shared" ca="1" si="11"/>
        <v>30</v>
      </c>
    </row>
    <row r="348" spans="1:11" ht="15.75" customHeight="1">
      <c r="A348" t="s">
        <v>3985</v>
      </c>
      <c r="B348">
        <v>1994</v>
      </c>
      <c r="C348" t="s">
        <v>4708</v>
      </c>
      <c r="D348">
        <v>1</v>
      </c>
      <c r="E348">
        <v>1</v>
      </c>
      <c r="F348" s="16">
        <v>3277.16</v>
      </c>
      <c r="G348" t="s">
        <v>4699</v>
      </c>
      <c r="H348" t="s">
        <v>4700</v>
      </c>
      <c r="I348" t="s">
        <v>4718</v>
      </c>
      <c r="J348" s="17">
        <f t="shared" si="10"/>
        <v>34516</v>
      </c>
      <c r="K348">
        <f t="shared" ca="1" si="11"/>
        <v>31</v>
      </c>
    </row>
    <row r="349" spans="1:11" ht="15.75" customHeight="1">
      <c r="A349" t="s">
        <v>3983</v>
      </c>
      <c r="B349">
        <v>2001</v>
      </c>
      <c r="C349" t="s">
        <v>4717</v>
      </c>
      <c r="D349">
        <v>6</v>
      </c>
      <c r="E349">
        <v>2</v>
      </c>
      <c r="F349" s="16">
        <v>3279.87</v>
      </c>
      <c r="G349" t="s">
        <v>4699</v>
      </c>
      <c r="H349" t="s">
        <v>4698</v>
      </c>
      <c r="I349" t="s">
        <v>4728</v>
      </c>
      <c r="J349" s="17">
        <f t="shared" si="10"/>
        <v>37170</v>
      </c>
      <c r="K349">
        <f t="shared" ca="1" si="11"/>
        <v>24</v>
      </c>
    </row>
    <row r="350" spans="1:11" ht="15.75" customHeight="1">
      <c r="A350" t="s">
        <v>3981</v>
      </c>
      <c r="B350">
        <v>2003</v>
      </c>
      <c r="C350" t="s">
        <v>4708</v>
      </c>
      <c r="D350">
        <v>3</v>
      </c>
      <c r="E350">
        <v>0</v>
      </c>
      <c r="F350" s="16">
        <v>3280.22</v>
      </c>
      <c r="G350" t="s">
        <v>4699</v>
      </c>
      <c r="H350" t="s">
        <v>4700</v>
      </c>
      <c r="I350" t="s">
        <v>4718</v>
      </c>
      <c r="J350" s="17">
        <f t="shared" si="10"/>
        <v>37805</v>
      </c>
      <c r="K350">
        <f t="shared" ca="1" si="11"/>
        <v>22</v>
      </c>
    </row>
    <row r="351" spans="1:11" ht="15.75" customHeight="1">
      <c r="A351" t="s">
        <v>3979</v>
      </c>
      <c r="B351">
        <v>1996</v>
      </c>
      <c r="C351" t="s">
        <v>4710</v>
      </c>
      <c r="D351">
        <v>17</v>
      </c>
      <c r="E351">
        <v>1</v>
      </c>
      <c r="F351" s="16">
        <v>3292.53</v>
      </c>
      <c r="G351" t="s">
        <v>4699</v>
      </c>
      <c r="H351" t="s">
        <v>4699</v>
      </c>
      <c r="I351" t="s">
        <v>4713</v>
      </c>
      <c r="J351" s="17">
        <f t="shared" si="10"/>
        <v>35386</v>
      </c>
      <c r="K351">
        <f t="shared" ca="1" si="11"/>
        <v>29</v>
      </c>
    </row>
    <row r="352" spans="1:11" ht="15.75" customHeight="1">
      <c r="A352" t="s">
        <v>3977</v>
      </c>
      <c r="B352">
        <v>2003</v>
      </c>
      <c r="C352" t="s">
        <v>4714</v>
      </c>
      <c r="D352">
        <v>5</v>
      </c>
      <c r="E352">
        <v>0</v>
      </c>
      <c r="F352" s="16">
        <v>3300.7</v>
      </c>
      <c r="G352" t="s">
        <v>4699</v>
      </c>
      <c r="H352" t="s">
        <v>4699</v>
      </c>
      <c r="I352" t="s">
        <v>4723</v>
      </c>
      <c r="J352" s="17">
        <f t="shared" si="10"/>
        <v>37960</v>
      </c>
      <c r="K352">
        <f t="shared" ca="1" si="11"/>
        <v>21</v>
      </c>
    </row>
    <row r="353" spans="1:11" ht="15.75" customHeight="1">
      <c r="A353" t="s">
        <v>3975</v>
      </c>
      <c r="B353">
        <v>2003</v>
      </c>
      <c r="C353" t="s">
        <v>4710</v>
      </c>
      <c r="D353">
        <v>18</v>
      </c>
      <c r="E353">
        <v>0</v>
      </c>
      <c r="F353" s="16">
        <v>3308.46</v>
      </c>
      <c r="G353" t="s">
        <v>4699</v>
      </c>
      <c r="H353" t="s">
        <v>4698</v>
      </c>
      <c r="I353" t="s">
        <v>4727</v>
      </c>
      <c r="J353" s="17">
        <f t="shared" si="10"/>
        <v>37943</v>
      </c>
      <c r="K353">
        <f t="shared" ca="1" si="11"/>
        <v>22</v>
      </c>
    </row>
    <row r="354" spans="1:11" ht="15.75" customHeight="1">
      <c r="A354" t="s">
        <v>3973</v>
      </c>
      <c r="B354">
        <v>1997</v>
      </c>
      <c r="C354" t="s">
        <v>4711</v>
      </c>
      <c r="D354">
        <v>20</v>
      </c>
      <c r="E354">
        <v>1</v>
      </c>
      <c r="F354" s="16">
        <v>3309.79</v>
      </c>
      <c r="G354" t="s">
        <v>4700</v>
      </c>
      <c r="H354" t="s">
        <v>4700</v>
      </c>
      <c r="I354" t="s">
        <v>4728</v>
      </c>
      <c r="J354" s="17">
        <f t="shared" si="10"/>
        <v>35601</v>
      </c>
      <c r="K354">
        <f t="shared" ca="1" si="11"/>
        <v>28</v>
      </c>
    </row>
    <row r="355" spans="1:11" ht="15.75" customHeight="1">
      <c r="A355" t="s">
        <v>3971</v>
      </c>
      <c r="B355">
        <v>1991</v>
      </c>
      <c r="C355" t="s">
        <v>4712</v>
      </c>
      <c r="D355">
        <v>1</v>
      </c>
      <c r="E355">
        <v>3</v>
      </c>
      <c r="F355" s="16">
        <v>3342.79</v>
      </c>
      <c r="G355" t="s">
        <v>4699</v>
      </c>
      <c r="H355" t="s">
        <v>4698</v>
      </c>
      <c r="I355" t="s">
        <v>4709</v>
      </c>
      <c r="J355" s="17">
        <f t="shared" si="10"/>
        <v>33482</v>
      </c>
      <c r="K355">
        <f t="shared" ca="1" si="11"/>
        <v>34</v>
      </c>
    </row>
    <row r="356" spans="1:11" ht="15.75" customHeight="1">
      <c r="A356" t="s">
        <v>3969</v>
      </c>
      <c r="B356">
        <v>1993</v>
      </c>
      <c r="C356" t="s">
        <v>4717</v>
      </c>
      <c r="D356">
        <v>28</v>
      </c>
      <c r="E356">
        <v>0</v>
      </c>
      <c r="F356" s="16">
        <v>3353.28</v>
      </c>
      <c r="G356" t="s">
        <v>4699</v>
      </c>
      <c r="H356" t="s">
        <v>4698</v>
      </c>
      <c r="I356" t="s">
        <v>4718</v>
      </c>
      <c r="J356" s="17">
        <f t="shared" si="10"/>
        <v>34270</v>
      </c>
      <c r="K356">
        <f t="shared" ca="1" si="11"/>
        <v>32</v>
      </c>
    </row>
    <row r="357" spans="1:11" ht="15.75" customHeight="1">
      <c r="A357" t="s">
        <v>3967</v>
      </c>
      <c r="B357">
        <v>1995</v>
      </c>
      <c r="C357" t="s">
        <v>4711</v>
      </c>
      <c r="D357">
        <v>23</v>
      </c>
      <c r="E357">
        <v>0</v>
      </c>
      <c r="F357" s="16">
        <v>3353.47</v>
      </c>
      <c r="G357" t="s">
        <v>4699</v>
      </c>
      <c r="H357" t="s">
        <v>4700</v>
      </c>
      <c r="I357" t="s">
        <v>4713</v>
      </c>
      <c r="J357" s="17">
        <f t="shared" si="10"/>
        <v>34873</v>
      </c>
      <c r="K357">
        <f t="shared" ca="1" si="11"/>
        <v>30</v>
      </c>
    </row>
    <row r="358" spans="1:11" ht="15.75" customHeight="1">
      <c r="A358" t="s">
        <v>3965</v>
      </c>
      <c r="B358">
        <v>1993</v>
      </c>
      <c r="C358" t="s">
        <v>4717</v>
      </c>
      <c r="D358">
        <v>7</v>
      </c>
      <c r="E358">
        <v>0</v>
      </c>
      <c r="F358" s="16">
        <v>3366.67</v>
      </c>
      <c r="G358" t="s">
        <v>4699</v>
      </c>
      <c r="H358" t="s">
        <v>4699</v>
      </c>
      <c r="I358" t="s">
        <v>4709</v>
      </c>
      <c r="J358" s="17">
        <f t="shared" si="10"/>
        <v>34249</v>
      </c>
      <c r="K358">
        <f t="shared" ca="1" si="11"/>
        <v>32</v>
      </c>
    </row>
    <row r="359" spans="1:11" ht="15.75" customHeight="1">
      <c r="A359" t="s">
        <v>3963</v>
      </c>
      <c r="B359">
        <v>1996</v>
      </c>
      <c r="C359" t="s">
        <v>4714</v>
      </c>
      <c r="D359">
        <v>14</v>
      </c>
      <c r="E359">
        <v>1</v>
      </c>
      <c r="F359" s="16">
        <v>3378.91</v>
      </c>
      <c r="G359" t="s">
        <v>4699</v>
      </c>
      <c r="H359" t="s">
        <v>4698</v>
      </c>
      <c r="I359" t="s">
        <v>4718</v>
      </c>
      <c r="J359" s="17">
        <f t="shared" si="10"/>
        <v>35413</v>
      </c>
      <c r="K359">
        <f t="shared" ca="1" si="11"/>
        <v>28</v>
      </c>
    </row>
    <row r="360" spans="1:11" ht="15.75" customHeight="1">
      <c r="A360" t="s">
        <v>3961</v>
      </c>
      <c r="B360">
        <v>1996</v>
      </c>
      <c r="C360" t="s">
        <v>4710</v>
      </c>
      <c r="D360">
        <v>13</v>
      </c>
      <c r="E360">
        <v>0</v>
      </c>
      <c r="F360" s="16">
        <v>3385.4</v>
      </c>
      <c r="G360" t="s">
        <v>4699</v>
      </c>
      <c r="H360" t="s">
        <v>4699</v>
      </c>
      <c r="I360" t="s">
        <v>4724</v>
      </c>
      <c r="J360" s="17">
        <f t="shared" si="10"/>
        <v>35382</v>
      </c>
      <c r="K360">
        <f t="shared" ca="1" si="11"/>
        <v>29</v>
      </c>
    </row>
    <row r="361" spans="1:11" ht="15.75" customHeight="1">
      <c r="A361" t="s">
        <v>3959</v>
      </c>
      <c r="B361">
        <v>1996</v>
      </c>
      <c r="C361" t="s">
        <v>4716</v>
      </c>
      <c r="D361">
        <v>10</v>
      </c>
      <c r="E361">
        <v>1</v>
      </c>
      <c r="F361" s="16">
        <v>3392.37</v>
      </c>
      <c r="G361" t="s">
        <v>4699</v>
      </c>
      <c r="H361" t="s">
        <v>4700</v>
      </c>
      <c r="I361" t="s">
        <v>4709</v>
      </c>
      <c r="J361" s="17">
        <f t="shared" si="10"/>
        <v>35287</v>
      </c>
      <c r="K361">
        <f t="shared" ca="1" si="11"/>
        <v>29</v>
      </c>
    </row>
    <row r="362" spans="1:11" ht="15.75" customHeight="1">
      <c r="A362" t="s">
        <v>3957</v>
      </c>
      <c r="B362">
        <v>1996</v>
      </c>
      <c r="C362" t="s">
        <v>4717</v>
      </c>
      <c r="D362">
        <v>27</v>
      </c>
      <c r="E362">
        <v>1</v>
      </c>
      <c r="F362" s="16">
        <v>3392.98</v>
      </c>
      <c r="G362" t="s">
        <v>4699</v>
      </c>
      <c r="H362" t="s">
        <v>4700</v>
      </c>
      <c r="I362" t="s">
        <v>4709</v>
      </c>
      <c r="J362" s="17">
        <f t="shared" si="10"/>
        <v>35365</v>
      </c>
      <c r="K362">
        <f t="shared" ca="1" si="11"/>
        <v>29</v>
      </c>
    </row>
    <row r="363" spans="1:11" ht="15.75" customHeight="1">
      <c r="A363" t="s">
        <v>3955</v>
      </c>
      <c r="B363">
        <v>2004</v>
      </c>
      <c r="C363" t="s">
        <v>4708</v>
      </c>
      <c r="D363">
        <v>16</v>
      </c>
      <c r="E363">
        <v>2</v>
      </c>
      <c r="F363" s="16">
        <v>3393.36</v>
      </c>
      <c r="G363" t="s">
        <v>4699</v>
      </c>
      <c r="H363" t="s">
        <v>4699</v>
      </c>
      <c r="I363" t="s">
        <v>4725</v>
      </c>
      <c r="J363" s="17">
        <f t="shared" si="10"/>
        <v>38184</v>
      </c>
      <c r="K363">
        <f t="shared" ca="1" si="11"/>
        <v>21</v>
      </c>
    </row>
    <row r="364" spans="1:11" ht="15.75" customHeight="1">
      <c r="A364" t="s">
        <v>3953</v>
      </c>
      <c r="B364">
        <v>1996</v>
      </c>
      <c r="C364" t="s">
        <v>4714</v>
      </c>
      <c r="D364">
        <v>19</v>
      </c>
      <c r="E364">
        <v>1</v>
      </c>
      <c r="F364" s="16">
        <v>3410.32</v>
      </c>
      <c r="G364" t="s">
        <v>4699</v>
      </c>
      <c r="H364" t="s">
        <v>4699</v>
      </c>
      <c r="I364" t="s">
        <v>4718</v>
      </c>
      <c r="J364" s="17">
        <f t="shared" si="10"/>
        <v>35418</v>
      </c>
      <c r="K364">
        <f t="shared" ca="1" si="11"/>
        <v>28</v>
      </c>
    </row>
    <row r="365" spans="1:11" ht="15.75" customHeight="1">
      <c r="A365" t="s">
        <v>3951</v>
      </c>
      <c r="B365">
        <v>2001</v>
      </c>
      <c r="C365" t="s">
        <v>4714</v>
      </c>
      <c r="D365">
        <v>26</v>
      </c>
      <c r="E365">
        <v>0</v>
      </c>
      <c r="F365" s="16">
        <v>3434.38</v>
      </c>
      <c r="G365" t="s">
        <v>4699</v>
      </c>
      <c r="H365" t="s">
        <v>4699</v>
      </c>
      <c r="I365" t="s">
        <v>4718</v>
      </c>
      <c r="J365" s="17">
        <f t="shared" si="10"/>
        <v>37251</v>
      </c>
      <c r="K365">
        <f t="shared" ca="1" si="11"/>
        <v>23</v>
      </c>
    </row>
    <row r="366" spans="1:11" ht="15.75" customHeight="1">
      <c r="A366" t="s">
        <v>3949</v>
      </c>
      <c r="B366">
        <v>1986</v>
      </c>
      <c r="C366" t="s">
        <v>4716</v>
      </c>
      <c r="D366">
        <v>27</v>
      </c>
      <c r="E366">
        <v>3</v>
      </c>
      <c r="F366" s="16">
        <v>3436.5</v>
      </c>
      <c r="G366" t="s">
        <v>4699</v>
      </c>
      <c r="H366" t="s">
        <v>4698</v>
      </c>
      <c r="I366" t="s">
        <v>4709</v>
      </c>
      <c r="J366" s="17">
        <f t="shared" si="10"/>
        <v>31651</v>
      </c>
      <c r="K366">
        <f t="shared" ca="1" si="11"/>
        <v>39</v>
      </c>
    </row>
    <row r="367" spans="1:11" ht="15.75" customHeight="1">
      <c r="A367" t="s">
        <v>3947</v>
      </c>
      <c r="B367">
        <v>2000</v>
      </c>
      <c r="C367" t="s">
        <v>4711</v>
      </c>
      <c r="D367">
        <v>20</v>
      </c>
      <c r="E367">
        <v>3</v>
      </c>
      <c r="F367" s="16">
        <v>3443.06</v>
      </c>
      <c r="G367" t="s">
        <v>4699</v>
      </c>
      <c r="H367" t="s">
        <v>4698</v>
      </c>
      <c r="I367" t="s">
        <v>4718</v>
      </c>
      <c r="J367" s="17">
        <f t="shared" si="10"/>
        <v>36697</v>
      </c>
      <c r="K367">
        <f t="shared" ca="1" si="11"/>
        <v>25</v>
      </c>
    </row>
    <row r="368" spans="1:11" ht="15.75" customHeight="1">
      <c r="A368" t="s">
        <v>3945</v>
      </c>
      <c r="B368">
        <v>1987</v>
      </c>
      <c r="C368" t="s">
        <v>4712</v>
      </c>
      <c r="D368">
        <v>14</v>
      </c>
      <c r="E368">
        <v>3</v>
      </c>
      <c r="F368" s="16">
        <v>3453.77</v>
      </c>
      <c r="G368" t="s">
        <v>4699</v>
      </c>
      <c r="H368" t="s">
        <v>4698</v>
      </c>
      <c r="I368" t="s">
        <v>4718</v>
      </c>
      <c r="J368" s="17">
        <f t="shared" si="10"/>
        <v>32034</v>
      </c>
      <c r="K368">
        <f t="shared" ca="1" si="11"/>
        <v>38</v>
      </c>
    </row>
    <row r="369" spans="1:11" ht="15.75" customHeight="1">
      <c r="A369" t="s">
        <v>3943</v>
      </c>
      <c r="B369">
        <v>2003</v>
      </c>
      <c r="C369" t="s">
        <v>4708</v>
      </c>
      <c r="D369">
        <v>29</v>
      </c>
      <c r="E369">
        <v>0</v>
      </c>
      <c r="F369" s="16">
        <v>3463.51</v>
      </c>
      <c r="G369" t="s">
        <v>4699</v>
      </c>
      <c r="H369" t="s">
        <v>4698</v>
      </c>
      <c r="I369" t="s">
        <v>4723</v>
      </c>
      <c r="J369" s="17">
        <f t="shared" si="10"/>
        <v>37831</v>
      </c>
      <c r="K369">
        <f t="shared" ca="1" si="11"/>
        <v>22</v>
      </c>
    </row>
    <row r="370" spans="1:11" ht="15.75" customHeight="1">
      <c r="A370" t="s">
        <v>3941</v>
      </c>
      <c r="B370">
        <v>1993</v>
      </c>
      <c r="C370" t="s">
        <v>4717</v>
      </c>
      <c r="D370">
        <v>12</v>
      </c>
      <c r="E370">
        <v>1</v>
      </c>
      <c r="F370" s="16">
        <v>3471.41</v>
      </c>
      <c r="G370" t="s">
        <v>4699</v>
      </c>
      <c r="H370" t="s">
        <v>4699</v>
      </c>
      <c r="I370" t="s">
        <v>4709</v>
      </c>
      <c r="J370" s="17">
        <f t="shared" si="10"/>
        <v>34254</v>
      </c>
      <c r="K370">
        <f t="shared" ca="1" si="11"/>
        <v>32</v>
      </c>
    </row>
    <row r="371" spans="1:11" ht="15.75" customHeight="1">
      <c r="A371" t="s">
        <v>3939</v>
      </c>
      <c r="B371">
        <v>2004</v>
      </c>
      <c r="C371" t="s">
        <v>4711</v>
      </c>
      <c r="D371">
        <v>26</v>
      </c>
      <c r="E371">
        <v>3</v>
      </c>
      <c r="F371" s="16">
        <v>3481.87</v>
      </c>
      <c r="G371" t="s">
        <v>4699</v>
      </c>
      <c r="H371" t="s">
        <v>4700</v>
      </c>
      <c r="I371" t="s">
        <v>4721</v>
      </c>
      <c r="J371" s="17">
        <f t="shared" si="10"/>
        <v>38164</v>
      </c>
      <c r="K371">
        <f t="shared" ca="1" si="11"/>
        <v>21</v>
      </c>
    </row>
    <row r="372" spans="1:11" ht="15.75" customHeight="1">
      <c r="A372" t="s">
        <v>3937</v>
      </c>
      <c r="B372">
        <v>1996</v>
      </c>
      <c r="C372" t="s">
        <v>4712</v>
      </c>
      <c r="D372">
        <v>19</v>
      </c>
      <c r="E372">
        <v>2</v>
      </c>
      <c r="F372" s="16">
        <v>3484.33</v>
      </c>
      <c r="G372" t="s">
        <v>4700</v>
      </c>
      <c r="H372" t="s">
        <v>4700</v>
      </c>
      <c r="I372" t="s">
        <v>4718</v>
      </c>
      <c r="J372" s="17">
        <f t="shared" si="10"/>
        <v>35327</v>
      </c>
      <c r="K372">
        <f t="shared" ca="1" si="11"/>
        <v>29</v>
      </c>
    </row>
    <row r="373" spans="1:11" ht="15.75" customHeight="1">
      <c r="A373" t="s">
        <v>3935</v>
      </c>
      <c r="B373">
        <v>1996</v>
      </c>
      <c r="C373" t="s">
        <v>4712</v>
      </c>
      <c r="D373">
        <v>18</v>
      </c>
      <c r="E373">
        <v>1</v>
      </c>
      <c r="F373" s="16">
        <v>3490.55</v>
      </c>
      <c r="G373" t="s">
        <v>4698</v>
      </c>
      <c r="H373" t="s">
        <v>4699</v>
      </c>
      <c r="I373" t="s">
        <v>4719</v>
      </c>
      <c r="J373" s="17">
        <f t="shared" si="10"/>
        <v>35326</v>
      </c>
      <c r="K373">
        <f t="shared" ca="1" si="11"/>
        <v>29</v>
      </c>
    </row>
    <row r="374" spans="1:11" ht="15.75" customHeight="1">
      <c r="A374" t="s">
        <v>3933</v>
      </c>
      <c r="B374">
        <v>1999</v>
      </c>
      <c r="C374" t="s">
        <v>4712</v>
      </c>
      <c r="D374">
        <v>22</v>
      </c>
      <c r="E374">
        <v>2</v>
      </c>
      <c r="F374" s="16">
        <v>3500.61</v>
      </c>
      <c r="G374" t="s">
        <v>4699</v>
      </c>
      <c r="H374" t="s">
        <v>4699</v>
      </c>
      <c r="I374" t="s">
        <v>4709</v>
      </c>
      <c r="J374" s="17">
        <f t="shared" si="10"/>
        <v>36425</v>
      </c>
      <c r="K374">
        <f t="shared" ca="1" si="11"/>
        <v>26</v>
      </c>
    </row>
    <row r="375" spans="1:11" ht="15.75" customHeight="1">
      <c r="A375" t="s">
        <v>3931</v>
      </c>
      <c r="B375">
        <v>1998</v>
      </c>
      <c r="C375" t="s">
        <v>4712</v>
      </c>
      <c r="D375">
        <v>16</v>
      </c>
      <c r="E375">
        <v>2</v>
      </c>
      <c r="F375" s="16">
        <v>3537.7</v>
      </c>
      <c r="G375" t="s">
        <v>4700</v>
      </c>
      <c r="H375" t="s">
        <v>4700</v>
      </c>
      <c r="I375" t="s">
        <v>4713</v>
      </c>
      <c r="J375" s="17">
        <f t="shared" si="10"/>
        <v>36054</v>
      </c>
      <c r="K375">
        <f t="shared" ca="1" si="11"/>
        <v>27</v>
      </c>
    </row>
    <row r="376" spans="1:11" ht="15.75" customHeight="1">
      <c r="A376" t="s">
        <v>3929</v>
      </c>
      <c r="B376">
        <v>2003</v>
      </c>
      <c r="C376" t="s">
        <v>4716</v>
      </c>
      <c r="D376">
        <v>24</v>
      </c>
      <c r="E376">
        <v>0</v>
      </c>
      <c r="F376" s="16">
        <v>3538.9</v>
      </c>
      <c r="G376" t="s">
        <v>4699</v>
      </c>
      <c r="H376" t="s">
        <v>4699</v>
      </c>
      <c r="I376" t="s">
        <v>4713</v>
      </c>
      <c r="J376" s="17">
        <f t="shared" si="10"/>
        <v>37857</v>
      </c>
      <c r="K376">
        <f t="shared" ca="1" si="11"/>
        <v>22</v>
      </c>
    </row>
    <row r="377" spans="1:11" ht="15.75" customHeight="1">
      <c r="A377" t="s">
        <v>3927</v>
      </c>
      <c r="B377">
        <v>1988</v>
      </c>
      <c r="C377" t="s">
        <v>4717</v>
      </c>
      <c r="D377">
        <v>15</v>
      </c>
      <c r="E377">
        <v>3</v>
      </c>
      <c r="F377" s="16">
        <v>3540.12</v>
      </c>
      <c r="G377" t="s">
        <v>4699</v>
      </c>
      <c r="H377" t="s">
        <v>4698</v>
      </c>
      <c r="I377" t="s">
        <v>4709</v>
      </c>
      <c r="J377" s="17">
        <f t="shared" si="10"/>
        <v>32431</v>
      </c>
      <c r="K377">
        <f t="shared" ca="1" si="11"/>
        <v>37</v>
      </c>
    </row>
    <row r="378" spans="1:11" ht="15.75" customHeight="1">
      <c r="A378" t="s">
        <v>3925</v>
      </c>
      <c r="B378">
        <v>1992</v>
      </c>
      <c r="C378" t="s">
        <v>4714</v>
      </c>
      <c r="D378">
        <v>22</v>
      </c>
      <c r="E378">
        <v>0</v>
      </c>
      <c r="F378" s="16">
        <v>3554.2</v>
      </c>
      <c r="G378" t="s">
        <v>4699</v>
      </c>
      <c r="H378" t="s">
        <v>4700</v>
      </c>
      <c r="I378" t="s">
        <v>4718</v>
      </c>
      <c r="J378" s="17">
        <f t="shared" si="10"/>
        <v>33960</v>
      </c>
      <c r="K378">
        <f t="shared" ca="1" si="11"/>
        <v>32</v>
      </c>
    </row>
    <row r="379" spans="1:11" ht="15.75" customHeight="1">
      <c r="A379" t="s">
        <v>3923</v>
      </c>
      <c r="B379">
        <v>1994</v>
      </c>
      <c r="C379" t="s">
        <v>4712</v>
      </c>
      <c r="D379">
        <v>24</v>
      </c>
      <c r="E379">
        <v>0</v>
      </c>
      <c r="F379" s="16">
        <v>3556.92</v>
      </c>
      <c r="G379" t="s">
        <v>4699</v>
      </c>
      <c r="H379" t="s">
        <v>4700</v>
      </c>
      <c r="I379" t="s">
        <v>4713</v>
      </c>
      <c r="J379" s="17">
        <f t="shared" si="10"/>
        <v>34601</v>
      </c>
      <c r="K379">
        <f t="shared" ca="1" si="11"/>
        <v>31</v>
      </c>
    </row>
    <row r="380" spans="1:11" ht="15.75" customHeight="1">
      <c r="A380" t="s">
        <v>3921</v>
      </c>
      <c r="B380">
        <v>1995</v>
      </c>
      <c r="C380" t="s">
        <v>4717</v>
      </c>
      <c r="D380">
        <v>9</v>
      </c>
      <c r="E380">
        <v>0</v>
      </c>
      <c r="F380" s="16">
        <v>3558.62</v>
      </c>
      <c r="G380" t="s">
        <v>4699</v>
      </c>
      <c r="H380" t="s">
        <v>4700</v>
      </c>
      <c r="I380" t="s">
        <v>4724</v>
      </c>
      <c r="J380" s="17">
        <f t="shared" si="10"/>
        <v>34981</v>
      </c>
      <c r="K380">
        <f t="shared" ca="1" si="11"/>
        <v>30</v>
      </c>
    </row>
    <row r="381" spans="1:11" ht="15.75" customHeight="1">
      <c r="A381" t="s">
        <v>3919</v>
      </c>
      <c r="B381">
        <v>1995</v>
      </c>
      <c r="C381" t="s">
        <v>4711</v>
      </c>
      <c r="D381">
        <v>16</v>
      </c>
      <c r="E381">
        <v>1</v>
      </c>
      <c r="F381" s="16">
        <v>3561.89</v>
      </c>
      <c r="G381" t="s">
        <v>4699</v>
      </c>
      <c r="H381" t="s">
        <v>4698</v>
      </c>
      <c r="I381" t="s">
        <v>4709</v>
      </c>
      <c r="J381" s="17">
        <f t="shared" si="10"/>
        <v>34866</v>
      </c>
      <c r="K381">
        <f t="shared" ca="1" si="11"/>
        <v>30</v>
      </c>
    </row>
    <row r="382" spans="1:11" ht="15.75" customHeight="1">
      <c r="A382" t="s">
        <v>3917</v>
      </c>
      <c r="B382">
        <v>1981</v>
      </c>
      <c r="C382" t="s">
        <v>4717</v>
      </c>
      <c r="D382">
        <v>10</v>
      </c>
      <c r="E382">
        <v>1</v>
      </c>
      <c r="F382" s="16">
        <v>3562.87</v>
      </c>
      <c r="G382" t="s">
        <v>4699</v>
      </c>
      <c r="H382" t="s">
        <v>4698</v>
      </c>
      <c r="I382" t="s">
        <v>4709</v>
      </c>
      <c r="J382" s="17">
        <f t="shared" si="10"/>
        <v>29869</v>
      </c>
      <c r="K382">
        <f t="shared" ca="1" si="11"/>
        <v>44</v>
      </c>
    </row>
    <row r="383" spans="1:11" ht="15.75" customHeight="1">
      <c r="A383" t="s">
        <v>3915</v>
      </c>
      <c r="B383">
        <v>1988</v>
      </c>
      <c r="C383" t="s">
        <v>4716</v>
      </c>
      <c r="D383">
        <v>18</v>
      </c>
      <c r="E383">
        <v>3</v>
      </c>
      <c r="F383" s="16">
        <v>3569.96</v>
      </c>
      <c r="G383" t="s">
        <v>4699</v>
      </c>
      <c r="H383" t="s">
        <v>4698</v>
      </c>
      <c r="I383" t="s">
        <v>4713</v>
      </c>
      <c r="J383" s="17">
        <f t="shared" si="10"/>
        <v>32373</v>
      </c>
      <c r="K383">
        <f t="shared" ca="1" si="11"/>
        <v>37</v>
      </c>
    </row>
    <row r="384" spans="1:11" ht="15.75" customHeight="1">
      <c r="A384" t="s">
        <v>3913</v>
      </c>
      <c r="B384">
        <v>1995</v>
      </c>
      <c r="C384" t="s">
        <v>4716</v>
      </c>
      <c r="D384">
        <v>23</v>
      </c>
      <c r="E384">
        <v>1</v>
      </c>
      <c r="F384" s="16">
        <v>3578</v>
      </c>
      <c r="G384" t="s">
        <v>4699</v>
      </c>
      <c r="H384" t="s">
        <v>4700</v>
      </c>
      <c r="I384" t="s">
        <v>4718</v>
      </c>
      <c r="J384" s="17">
        <f t="shared" si="10"/>
        <v>34934</v>
      </c>
      <c r="K384">
        <f t="shared" ca="1" si="11"/>
        <v>30</v>
      </c>
    </row>
    <row r="385" spans="1:11" ht="15.75" customHeight="1">
      <c r="A385" t="s">
        <v>3911</v>
      </c>
      <c r="B385">
        <v>2001</v>
      </c>
      <c r="C385" t="s">
        <v>4710</v>
      </c>
      <c r="D385">
        <v>11</v>
      </c>
      <c r="E385">
        <v>2</v>
      </c>
      <c r="F385" s="16">
        <v>3579.83</v>
      </c>
      <c r="G385" t="s">
        <v>4699</v>
      </c>
      <c r="H385" t="s">
        <v>4699</v>
      </c>
      <c r="I385" t="s">
        <v>4713</v>
      </c>
      <c r="J385" s="17">
        <f t="shared" si="10"/>
        <v>37206</v>
      </c>
      <c r="K385">
        <f t="shared" ca="1" si="11"/>
        <v>24</v>
      </c>
    </row>
    <row r="386" spans="1:11" ht="15.75" customHeight="1">
      <c r="A386" t="s">
        <v>3909</v>
      </c>
      <c r="B386">
        <v>1986</v>
      </c>
      <c r="C386" t="s">
        <v>4714</v>
      </c>
      <c r="D386">
        <v>27</v>
      </c>
      <c r="E386">
        <v>3</v>
      </c>
      <c r="F386" s="16">
        <v>3589.14</v>
      </c>
      <c r="G386" t="s">
        <v>4699</v>
      </c>
      <c r="H386" t="s">
        <v>4699</v>
      </c>
      <c r="I386" t="s">
        <v>4709</v>
      </c>
      <c r="J386" s="17">
        <f t="shared" si="10"/>
        <v>31773</v>
      </c>
      <c r="K386">
        <f t="shared" ca="1" si="11"/>
        <v>38</v>
      </c>
    </row>
    <row r="387" spans="1:11" ht="15.75" customHeight="1">
      <c r="A387" t="s">
        <v>3907</v>
      </c>
      <c r="B387">
        <v>1999</v>
      </c>
      <c r="C387" t="s">
        <v>4711</v>
      </c>
      <c r="D387">
        <v>6</v>
      </c>
      <c r="E387">
        <v>3</v>
      </c>
      <c r="F387" s="16">
        <v>3591.48</v>
      </c>
      <c r="G387" t="s">
        <v>4699</v>
      </c>
      <c r="H387" t="s">
        <v>4700</v>
      </c>
      <c r="I387" t="s">
        <v>4718</v>
      </c>
      <c r="J387" s="17">
        <f t="shared" ref="J387:J450" si="12">DATEVALUE(D387&amp;"-"&amp;C387&amp;" -"&amp;B387)</f>
        <v>36317</v>
      </c>
      <c r="K387">
        <f t="shared" ref="K387:K450" ca="1" si="13">DATEDIF(J387,TODAY(),"Y")</f>
        <v>26</v>
      </c>
    </row>
    <row r="388" spans="1:11" ht="15.75" customHeight="1">
      <c r="A388" t="s">
        <v>3905</v>
      </c>
      <c r="B388">
        <v>1997</v>
      </c>
      <c r="C388" t="s">
        <v>4710</v>
      </c>
      <c r="D388">
        <v>4</v>
      </c>
      <c r="E388">
        <v>1</v>
      </c>
      <c r="F388" s="16">
        <v>3594.17</v>
      </c>
      <c r="G388" t="s">
        <v>4699</v>
      </c>
      <c r="H388" t="s">
        <v>4699</v>
      </c>
      <c r="I388" t="s">
        <v>4713</v>
      </c>
      <c r="J388" s="17">
        <f t="shared" si="12"/>
        <v>35738</v>
      </c>
      <c r="K388">
        <f t="shared" ca="1" si="13"/>
        <v>28</v>
      </c>
    </row>
    <row r="389" spans="1:11" ht="15.75" customHeight="1">
      <c r="A389" t="s">
        <v>3903</v>
      </c>
      <c r="B389">
        <v>1999</v>
      </c>
      <c r="C389" t="s">
        <v>4716</v>
      </c>
      <c r="D389">
        <v>12</v>
      </c>
      <c r="E389">
        <v>3</v>
      </c>
      <c r="F389" s="16">
        <v>3597.6</v>
      </c>
      <c r="G389" t="s">
        <v>4699</v>
      </c>
      <c r="H389" t="s">
        <v>4699</v>
      </c>
      <c r="I389" t="s">
        <v>4718</v>
      </c>
      <c r="J389" s="17">
        <f t="shared" si="12"/>
        <v>36384</v>
      </c>
      <c r="K389">
        <f t="shared" ca="1" si="13"/>
        <v>26</v>
      </c>
    </row>
    <row r="390" spans="1:11" ht="15.75" customHeight="1">
      <c r="A390" t="s">
        <v>3901</v>
      </c>
      <c r="B390">
        <v>1988</v>
      </c>
      <c r="C390" t="s">
        <v>4710</v>
      </c>
      <c r="D390">
        <v>4</v>
      </c>
      <c r="E390">
        <v>3</v>
      </c>
      <c r="F390" s="16">
        <v>3603.6</v>
      </c>
      <c r="G390" t="s">
        <v>4699</v>
      </c>
      <c r="H390" t="s">
        <v>4698</v>
      </c>
      <c r="I390" t="s">
        <v>4709</v>
      </c>
      <c r="J390" s="17">
        <f t="shared" si="12"/>
        <v>32451</v>
      </c>
      <c r="K390">
        <f t="shared" ca="1" si="13"/>
        <v>37</v>
      </c>
    </row>
    <row r="391" spans="1:11" ht="15.75" customHeight="1">
      <c r="A391" t="s">
        <v>3899</v>
      </c>
      <c r="B391">
        <v>1990</v>
      </c>
      <c r="C391" t="s">
        <v>4717</v>
      </c>
      <c r="D391">
        <v>11</v>
      </c>
      <c r="E391">
        <v>3</v>
      </c>
      <c r="F391" s="16">
        <v>3606.43</v>
      </c>
      <c r="G391" t="s">
        <v>4699</v>
      </c>
      <c r="H391" t="s">
        <v>4698</v>
      </c>
      <c r="I391" t="s">
        <v>4709</v>
      </c>
      <c r="J391" s="17">
        <f t="shared" si="12"/>
        <v>33157</v>
      </c>
      <c r="K391">
        <f t="shared" ca="1" si="13"/>
        <v>35</v>
      </c>
    </row>
    <row r="392" spans="1:11" ht="15.75" customHeight="1">
      <c r="A392" t="s">
        <v>3897</v>
      </c>
      <c r="B392">
        <v>1985</v>
      </c>
      <c r="C392" t="s">
        <v>4711</v>
      </c>
      <c r="D392">
        <v>14</v>
      </c>
      <c r="E392">
        <v>3</v>
      </c>
      <c r="F392" s="16">
        <v>3622.13</v>
      </c>
      <c r="G392" t="s">
        <v>4699</v>
      </c>
      <c r="H392" t="s">
        <v>4698</v>
      </c>
      <c r="I392" t="s">
        <v>4709</v>
      </c>
      <c r="J392" s="17">
        <f t="shared" si="12"/>
        <v>31212</v>
      </c>
      <c r="K392">
        <f t="shared" ca="1" si="13"/>
        <v>40</v>
      </c>
    </row>
    <row r="393" spans="1:11" ht="15.75" customHeight="1">
      <c r="A393" t="s">
        <v>3895</v>
      </c>
      <c r="B393">
        <v>1992</v>
      </c>
      <c r="C393" t="s">
        <v>4710</v>
      </c>
      <c r="D393">
        <v>17</v>
      </c>
      <c r="E393">
        <v>0</v>
      </c>
      <c r="F393" s="16">
        <v>3645.09</v>
      </c>
      <c r="G393" t="s">
        <v>4698</v>
      </c>
      <c r="H393" t="s">
        <v>4699</v>
      </c>
      <c r="I393" t="s">
        <v>4726</v>
      </c>
      <c r="J393" s="17">
        <f t="shared" si="12"/>
        <v>33925</v>
      </c>
      <c r="K393">
        <f t="shared" ca="1" si="13"/>
        <v>33</v>
      </c>
    </row>
    <row r="394" spans="1:11" ht="15.75" customHeight="1">
      <c r="A394" t="s">
        <v>3893</v>
      </c>
      <c r="B394">
        <v>1990</v>
      </c>
      <c r="C394" t="s">
        <v>4710</v>
      </c>
      <c r="D394">
        <v>8</v>
      </c>
      <c r="E394">
        <v>3</v>
      </c>
      <c r="F394" s="16">
        <v>3653.29</v>
      </c>
      <c r="G394" t="s">
        <v>4699</v>
      </c>
      <c r="H394" t="s">
        <v>4700</v>
      </c>
      <c r="I394" t="s">
        <v>4718</v>
      </c>
      <c r="J394" s="17">
        <f t="shared" si="12"/>
        <v>33185</v>
      </c>
      <c r="K394">
        <f t="shared" ca="1" si="13"/>
        <v>35</v>
      </c>
    </row>
    <row r="395" spans="1:11" ht="15.75" customHeight="1">
      <c r="A395" t="s">
        <v>3891</v>
      </c>
      <c r="B395">
        <v>1992</v>
      </c>
      <c r="C395" t="s">
        <v>4712</v>
      </c>
      <c r="D395">
        <v>14</v>
      </c>
      <c r="E395">
        <v>1</v>
      </c>
      <c r="F395" s="16">
        <v>3659.35</v>
      </c>
      <c r="G395" t="s">
        <v>4700</v>
      </c>
      <c r="H395" t="s">
        <v>4698</v>
      </c>
      <c r="I395" t="s">
        <v>4718</v>
      </c>
      <c r="J395" s="17">
        <f t="shared" si="12"/>
        <v>33861</v>
      </c>
      <c r="K395">
        <f t="shared" ca="1" si="13"/>
        <v>33</v>
      </c>
    </row>
    <row r="396" spans="1:11" ht="15.75" customHeight="1">
      <c r="A396" t="s">
        <v>3889</v>
      </c>
      <c r="B396">
        <v>1984</v>
      </c>
      <c r="C396" t="s">
        <v>4708</v>
      </c>
      <c r="D396">
        <v>6</v>
      </c>
      <c r="E396">
        <v>3</v>
      </c>
      <c r="F396" s="16">
        <v>3678.86</v>
      </c>
      <c r="G396" t="s">
        <v>4699</v>
      </c>
      <c r="H396" t="s">
        <v>4700</v>
      </c>
      <c r="I396" t="s">
        <v>4709</v>
      </c>
      <c r="J396" s="17">
        <f t="shared" si="12"/>
        <v>30869</v>
      </c>
      <c r="K396">
        <f t="shared" ca="1" si="13"/>
        <v>41</v>
      </c>
    </row>
    <row r="397" spans="1:11" ht="15.75" customHeight="1">
      <c r="A397" t="s">
        <v>3887</v>
      </c>
      <c r="B397">
        <v>2003</v>
      </c>
      <c r="C397" t="s">
        <v>4708</v>
      </c>
      <c r="D397">
        <v>10</v>
      </c>
      <c r="E397">
        <v>0</v>
      </c>
      <c r="F397" s="16">
        <v>3688.35</v>
      </c>
      <c r="G397" t="s">
        <v>4699</v>
      </c>
      <c r="H397" t="s">
        <v>4699</v>
      </c>
      <c r="I397" t="s">
        <v>4727</v>
      </c>
      <c r="J397" s="17">
        <f t="shared" si="12"/>
        <v>37812</v>
      </c>
      <c r="K397">
        <f t="shared" ca="1" si="13"/>
        <v>22</v>
      </c>
    </row>
    <row r="398" spans="1:11" ht="15.75" customHeight="1">
      <c r="A398" t="s">
        <v>3885</v>
      </c>
      <c r="B398">
        <v>1981</v>
      </c>
      <c r="C398" t="s">
        <v>4714</v>
      </c>
      <c r="D398">
        <v>14</v>
      </c>
      <c r="E398">
        <v>1</v>
      </c>
      <c r="F398" s="16">
        <v>3688.38</v>
      </c>
      <c r="G398" t="s">
        <v>4699</v>
      </c>
      <c r="H398" t="s">
        <v>4699</v>
      </c>
      <c r="I398" t="s">
        <v>4709</v>
      </c>
      <c r="J398" s="17">
        <f t="shared" si="12"/>
        <v>29934</v>
      </c>
      <c r="K398">
        <f t="shared" ca="1" si="13"/>
        <v>43</v>
      </c>
    </row>
    <row r="399" spans="1:11" ht="15.75" customHeight="1">
      <c r="A399" t="s">
        <v>3883</v>
      </c>
      <c r="B399">
        <v>1995</v>
      </c>
      <c r="C399" t="s">
        <v>4717</v>
      </c>
      <c r="D399">
        <v>21</v>
      </c>
      <c r="E399">
        <v>2</v>
      </c>
      <c r="F399" s="16">
        <v>3693.43</v>
      </c>
      <c r="G399" t="s">
        <v>4699</v>
      </c>
      <c r="H399" t="s">
        <v>4700</v>
      </c>
      <c r="I399" t="s">
        <v>4718</v>
      </c>
      <c r="J399" s="17">
        <f t="shared" si="12"/>
        <v>34993</v>
      </c>
      <c r="K399">
        <f t="shared" ca="1" si="13"/>
        <v>30</v>
      </c>
    </row>
    <row r="400" spans="1:11" ht="15.75" customHeight="1">
      <c r="A400" t="s">
        <v>3881</v>
      </c>
      <c r="B400">
        <v>1988</v>
      </c>
      <c r="C400" t="s">
        <v>4716</v>
      </c>
      <c r="D400">
        <v>18</v>
      </c>
      <c r="E400">
        <v>3</v>
      </c>
      <c r="F400" s="16">
        <v>3699.54</v>
      </c>
      <c r="G400" t="s">
        <v>4699</v>
      </c>
      <c r="H400" t="s">
        <v>4700</v>
      </c>
      <c r="I400" t="s">
        <v>4709</v>
      </c>
      <c r="J400" s="17">
        <f t="shared" si="12"/>
        <v>32373</v>
      </c>
      <c r="K400">
        <f t="shared" ca="1" si="13"/>
        <v>37</v>
      </c>
    </row>
    <row r="401" spans="1:11" ht="15.75" customHeight="1">
      <c r="A401" t="s">
        <v>3879</v>
      </c>
      <c r="B401">
        <v>1989</v>
      </c>
      <c r="C401" t="s">
        <v>4714</v>
      </c>
      <c r="D401">
        <v>2</v>
      </c>
      <c r="E401">
        <v>0</v>
      </c>
      <c r="F401" s="16">
        <v>3704.35</v>
      </c>
      <c r="G401" t="s">
        <v>4699</v>
      </c>
      <c r="H401" t="s">
        <v>4699</v>
      </c>
      <c r="I401" t="s">
        <v>4709</v>
      </c>
      <c r="J401" s="17">
        <f t="shared" si="12"/>
        <v>32844</v>
      </c>
      <c r="K401">
        <f t="shared" ca="1" si="13"/>
        <v>35</v>
      </c>
    </row>
    <row r="402" spans="1:11" ht="15.75" customHeight="1">
      <c r="A402" t="s">
        <v>3877</v>
      </c>
      <c r="B402">
        <v>2004</v>
      </c>
      <c r="C402" t="s">
        <v>4710</v>
      </c>
      <c r="D402">
        <v>5</v>
      </c>
      <c r="E402">
        <v>0</v>
      </c>
      <c r="F402" s="16">
        <v>3722.23</v>
      </c>
      <c r="G402" t="s">
        <v>4699</v>
      </c>
      <c r="H402" t="s">
        <v>4699</v>
      </c>
      <c r="I402" t="s">
        <v>4723</v>
      </c>
      <c r="J402" s="17">
        <f t="shared" si="12"/>
        <v>38296</v>
      </c>
      <c r="K402">
        <f t="shared" ca="1" si="13"/>
        <v>21</v>
      </c>
    </row>
    <row r="403" spans="1:11" ht="15.75" customHeight="1">
      <c r="A403" t="s">
        <v>3875</v>
      </c>
      <c r="B403">
        <v>1986</v>
      </c>
      <c r="C403" t="s">
        <v>4714</v>
      </c>
      <c r="D403">
        <v>1</v>
      </c>
      <c r="E403">
        <v>3</v>
      </c>
      <c r="F403" s="16">
        <v>3731.6</v>
      </c>
      <c r="G403" t="s">
        <v>4699</v>
      </c>
      <c r="H403" t="s">
        <v>4699</v>
      </c>
      <c r="I403" t="s">
        <v>4709</v>
      </c>
      <c r="J403" s="17">
        <f t="shared" si="12"/>
        <v>31747</v>
      </c>
      <c r="K403">
        <f t="shared" ca="1" si="13"/>
        <v>38</v>
      </c>
    </row>
    <row r="404" spans="1:11" ht="15.75" customHeight="1">
      <c r="A404" t="s">
        <v>3873</v>
      </c>
      <c r="B404">
        <v>1994</v>
      </c>
      <c r="C404" t="s">
        <v>4716</v>
      </c>
      <c r="D404">
        <v>22</v>
      </c>
      <c r="E404">
        <v>0</v>
      </c>
      <c r="F404" s="16">
        <v>3732.63</v>
      </c>
      <c r="G404" t="s">
        <v>4699</v>
      </c>
      <c r="H404" t="s">
        <v>4700</v>
      </c>
      <c r="I404" t="s">
        <v>4724</v>
      </c>
      <c r="J404" s="17">
        <f t="shared" si="12"/>
        <v>34568</v>
      </c>
      <c r="K404">
        <f t="shared" ca="1" si="13"/>
        <v>31</v>
      </c>
    </row>
    <row r="405" spans="1:11" ht="15.75" customHeight="1">
      <c r="A405" t="s">
        <v>3871</v>
      </c>
      <c r="B405">
        <v>1993</v>
      </c>
      <c r="C405" t="s">
        <v>4711</v>
      </c>
      <c r="D405">
        <v>22</v>
      </c>
      <c r="E405">
        <v>0</v>
      </c>
      <c r="F405" s="16">
        <v>3736.46</v>
      </c>
      <c r="G405" t="s">
        <v>4699</v>
      </c>
      <c r="H405" t="s">
        <v>4699</v>
      </c>
      <c r="I405" t="s">
        <v>4713</v>
      </c>
      <c r="J405" s="17">
        <f t="shared" si="12"/>
        <v>34142</v>
      </c>
      <c r="K405">
        <f t="shared" ca="1" si="13"/>
        <v>32</v>
      </c>
    </row>
    <row r="406" spans="1:11" ht="15.75" customHeight="1">
      <c r="A406" t="s">
        <v>3869</v>
      </c>
      <c r="B406">
        <v>1986</v>
      </c>
      <c r="C406" t="s">
        <v>4712</v>
      </c>
      <c r="D406">
        <v>9</v>
      </c>
      <c r="E406">
        <v>3</v>
      </c>
      <c r="F406" s="16">
        <v>3748.56</v>
      </c>
      <c r="G406" t="s">
        <v>4699</v>
      </c>
      <c r="H406" t="s">
        <v>4699</v>
      </c>
      <c r="I406" t="s">
        <v>4709</v>
      </c>
      <c r="J406" s="17">
        <f t="shared" si="12"/>
        <v>31664</v>
      </c>
      <c r="K406">
        <f t="shared" ca="1" si="13"/>
        <v>39</v>
      </c>
    </row>
    <row r="407" spans="1:11" ht="15.75" customHeight="1">
      <c r="A407" t="s">
        <v>3867</v>
      </c>
      <c r="B407">
        <v>1991</v>
      </c>
      <c r="C407" t="s">
        <v>4717</v>
      </c>
      <c r="D407">
        <v>28</v>
      </c>
      <c r="E407">
        <v>0</v>
      </c>
      <c r="F407" s="16">
        <v>3756.62</v>
      </c>
      <c r="G407" t="s">
        <v>4699</v>
      </c>
      <c r="H407" t="s">
        <v>4699</v>
      </c>
      <c r="I407" t="s">
        <v>4709</v>
      </c>
      <c r="J407" s="17">
        <f t="shared" si="12"/>
        <v>33539</v>
      </c>
      <c r="K407">
        <f t="shared" ca="1" si="13"/>
        <v>34</v>
      </c>
    </row>
    <row r="408" spans="1:11" ht="15.75" customHeight="1">
      <c r="A408" t="s">
        <v>3865</v>
      </c>
      <c r="B408">
        <v>1991</v>
      </c>
      <c r="C408" t="s">
        <v>4716</v>
      </c>
      <c r="D408">
        <v>25</v>
      </c>
      <c r="E408">
        <v>0</v>
      </c>
      <c r="F408" s="16">
        <v>3757.84</v>
      </c>
      <c r="G408" t="s">
        <v>4699</v>
      </c>
      <c r="H408" t="s">
        <v>4698</v>
      </c>
      <c r="I408" t="s">
        <v>4709</v>
      </c>
      <c r="J408" s="17">
        <f t="shared" si="12"/>
        <v>33475</v>
      </c>
      <c r="K408">
        <f t="shared" ca="1" si="13"/>
        <v>34</v>
      </c>
    </row>
    <row r="409" spans="1:11" ht="15.75" customHeight="1">
      <c r="A409" t="s">
        <v>3863</v>
      </c>
      <c r="B409">
        <v>1991</v>
      </c>
      <c r="C409" t="s">
        <v>4717</v>
      </c>
      <c r="D409">
        <v>24</v>
      </c>
      <c r="E409">
        <v>0</v>
      </c>
      <c r="F409" s="16">
        <v>3761.29</v>
      </c>
      <c r="G409" t="s">
        <v>4699</v>
      </c>
      <c r="H409" t="s">
        <v>4700</v>
      </c>
      <c r="I409" t="s">
        <v>4718</v>
      </c>
      <c r="J409" s="17">
        <f t="shared" si="12"/>
        <v>33535</v>
      </c>
      <c r="K409">
        <f t="shared" ca="1" si="13"/>
        <v>34</v>
      </c>
    </row>
    <row r="410" spans="1:11" ht="15.75" customHeight="1">
      <c r="A410" t="s">
        <v>3861</v>
      </c>
      <c r="B410">
        <v>1994</v>
      </c>
      <c r="C410" t="s">
        <v>4710</v>
      </c>
      <c r="D410">
        <v>21</v>
      </c>
      <c r="E410">
        <v>1</v>
      </c>
      <c r="F410" s="16">
        <v>3766.88</v>
      </c>
      <c r="G410" t="s">
        <v>4699</v>
      </c>
      <c r="H410" t="s">
        <v>4698</v>
      </c>
      <c r="I410" t="s">
        <v>4709</v>
      </c>
      <c r="J410" s="17">
        <f t="shared" si="12"/>
        <v>34659</v>
      </c>
      <c r="K410">
        <f t="shared" ca="1" si="13"/>
        <v>31</v>
      </c>
    </row>
    <row r="411" spans="1:11" ht="15.75" customHeight="1">
      <c r="A411" t="s">
        <v>3859</v>
      </c>
      <c r="B411">
        <v>1987</v>
      </c>
      <c r="C411" t="s">
        <v>4717</v>
      </c>
      <c r="D411">
        <v>24</v>
      </c>
      <c r="E411">
        <v>3</v>
      </c>
      <c r="F411" s="16">
        <v>3773.23</v>
      </c>
      <c r="G411" t="s">
        <v>4699</v>
      </c>
      <c r="H411" t="s">
        <v>4700</v>
      </c>
      <c r="I411" t="s">
        <v>4709</v>
      </c>
      <c r="J411" s="17">
        <f t="shared" si="12"/>
        <v>32074</v>
      </c>
      <c r="K411">
        <f t="shared" ca="1" si="13"/>
        <v>38</v>
      </c>
    </row>
    <row r="412" spans="1:11" ht="15.75" customHeight="1">
      <c r="A412" t="s">
        <v>3857</v>
      </c>
      <c r="B412">
        <v>1981</v>
      </c>
      <c r="C412" t="s">
        <v>4714</v>
      </c>
      <c r="D412">
        <v>13</v>
      </c>
      <c r="E412">
        <v>1</v>
      </c>
      <c r="F412" s="16">
        <v>3785.77</v>
      </c>
      <c r="G412" t="s">
        <v>4699</v>
      </c>
      <c r="H412" t="s">
        <v>4698</v>
      </c>
      <c r="I412" t="s">
        <v>4709</v>
      </c>
      <c r="J412" s="17">
        <f t="shared" si="12"/>
        <v>29933</v>
      </c>
      <c r="K412">
        <f t="shared" ca="1" si="13"/>
        <v>43</v>
      </c>
    </row>
    <row r="413" spans="1:11" ht="15.75" customHeight="1">
      <c r="A413" t="s">
        <v>3855</v>
      </c>
      <c r="B413">
        <v>1988</v>
      </c>
      <c r="C413" t="s">
        <v>4716</v>
      </c>
      <c r="D413">
        <v>28</v>
      </c>
      <c r="E413">
        <v>3</v>
      </c>
      <c r="F413" s="16">
        <v>3793.55</v>
      </c>
      <c r="G413" t="s">
        <v>4699</v>
      </c>
      <c r="H413" t="s">
        <v>4700</v>
      </c>
      <c r="I413" t="s">
        <v>4709</v>
      </c>
      <c r="J413" s="17">
        <f t="shared" si="12"/>
        <v>32383</v>
      </c>
      <c r="K413">
        <f t="shared" ca="1" si="13"/>
        <v>37</v>
      </c>
    </row>
    <row r="414" spans="1:11" ht="15.75" customHeight="1">
      <c r="A414" t="s">
        <v>3853</v>
      </c>
      <c r="B414">
        <v>1999</v>
      </c>
      <c r="C414" t="s">
        <v>4711</v>
      </c>
      <c r="D414">
        <v>24</v>
      </c>
      <c r="E414">
        <v>0</v>
      </c>
      <c r="F414" s="16">
        <v>3796.36</v>
      </c>
      <c r="G414" t="s">
        <v>4699</v>
      </c>
      <c r="H414" t="s">
        <v>4700</v>
      </c>
      <c r="I414" t="s">
        <v>4713</v>
      </c>
      <c r="J414" s="17">
        <f t="shared" si="12"/>
        <v>36335</v>
      </c>
      <c r="K414">
        <f t="shared" ca="1" si="13"/>
        <v>26</v>
      </c>
    </row>
    <row r="415" spans="1:11" ht="15.75" customHeight="1">
      <c r="A415" t="s">
        <v>3851</v>
      </c>
      <c r="B415">
        <v>1981</v>
      </c>
      <c r="C415" t="s">
        <v>4712</v>
      </c>
      <c r="D415">
        <v>29</v>
      </c>
      <c r="E415">
        <v>1</v>
      </c>
      <c r="F415" s="16">
        <v>3797.2</v>
      </c>
      <c r="G415" t="s">
        <v>4699</v>
      </c>
      <c r="H415" t="s">
        <v>4700</v>
      </c>
      <c r="I415" t="s">
        <v>4713</v>
      </c>
      <c r="J415" s="17">
        <f t="shared" si="12"/>
        <v>29858</v>
      </c>
      <c r="K415">
        <f t="shared" ca="1" si="13"/>
        <v>44</v>
      </c>
    </row>
    <row r="416" spans="1:11" ht="15.75" customHeight="1">
      <c r="A416" t="s">
        <v>3849</v>
      </c>
      <c r="B416">
        <v>1994</v>
      </c>
      <c r="C416" t="s">
        <v>4716</v>
      </c>
      <c r="D416">
        <v>12</v>
      </c>
      <c r="E416">
        <v>2</v>
      </c>
      <c r="F416" s="16">
        <v>3847.67</v>
      </c>
      <c r="G416" t="s">
        <v>4700</v>
      </c>
      <c r="H416" t="s">
        <v>4699</v>
      </c>
      <c r="I416" t="s">
        <v>4718</v>
      </c>
      <c r="J416" s="17">
        <f t="shared" si="12"/>
        <v>34558</v>
      </c>
      <c r="K416">
        <f t="shared" ca="1" si="13"/>
        <v>31</v>
      </c>
    </row>
    <row r="417" spans="1:11" ht="15.75" customHeight="1">
      <c r="A417" t="s">
        <v>3847</v>
      </c>
      <c r="B417">
        <v>1991</v>
      </c>
      <c r="C417" t="s">
        <v>4716</v>
      </c>
      <c r="D417">
        <v>19</v>
      </c>
      <c r="E417">
        <v>0</v>
      </c>
      <c r="F417" s="16">
        <v>3857.76</v>
      </c>
      <c r="G417" t="s">
        <v>4700</v>
      </c>
      <c r="H417" t="s">
        <v>4698</v>
      </c>
      <c r="I417" t="s">
        <v>4721</v>
      </c>
      <c r="J417" s="17">
        <f t="shared" si="12"/>
        <v>33469</v>
      </c>
      <c r="K417">
        <f t="shared" ca="1" si="13"/>
        <v>34</v>
      </c>
    </row>
    <row r="418" spans="1:11" ht="15.75" customHeight="1">
      <c r="A418" t="s">
        <v>3845</v>
      </c>
      <c r="B418">
        <v>2001</v>
      </c>
      <c r="C418" t="s">
        <v>4711</v>
      </c>
      <c r="D418">
        <v>6</v>
      </c>
      <c r="E418">
        <v>0</v>
      </c>
      <c r="F418" s="16">
        <v>3858.51</v>
      </c>
      <c r="G418" t="s">
        <v>4699</v>
      </c>
      <c r="H418" t="s">
        <v>4700</v>
      </c>
      <c r="I418" t="s">
        <v>4723</v>
      </c>
      <c r="J418" s="17">
        <f t="shared" si="12"/>
        <v>37048</v>
      </c>
      <c r="K418">
        <f t="shared" ca="1" si="13"/>
        <v>24</v>
      </c>
    </row>
    <row r="419" spans="1:11" ht="15.75" customHeight="1">
      <c r="A419" t="s">
        <v>3843</v>
      </c>
      <c r="B419">
        <v>2001</v>
      </c>
      <c r="C419" t="s">
        <v>4717</v>
      </c>
      <c r="D419">
        <v>18</v>
      </c>
      <c r="E419">
        <v>3</v>
      </c>
      <c r="F419" s="16">
        <v>3861.21</v>
      </c>
      <c r="G419" t="s">
        <v>4699</v>
      </c>
      <c r="H419" t="s">
        <v>4699</v>
      </c>
      <c r="I419" t="s">
        <v>4721</v>
      </c>
      <c r="J419" s="17">
        <f t="shared" si="12"/>
        <v>37182</v>
      </c>
      <c r="K419">
        <f t="shared" ca="1" si="13"/>
        <v>24</v>
      </c>
    </row>
    <row r="420" spans="1:11" ht="15.75" customHeight="1">
      <c r="A420" t="s">
        <v>3841</v>
      </c>
      <c r="B420">
        <v>1990</v>
      </c>
      <c r="C420" t="s">
        <v>4711</v>
      </c>
      <c r="D420">
        <v>24</v>
      </c>
      <c r="E420">
        <v>0</v>
      </c>
      <c r="F420" s="16">
        <v>3866.86</v>
      </c>
      <c r="G420" t="s">
        <v>4698</v>
      </c>
      <c r="H420" t="s">
        <v>4698</v>
      </c>
      <c r="I420" t="s">
        <v>4713</v>
      </c>
      <c r="J420" s="17">
        <f t="shared" si="12"/>
        <v>33048</v>
      </c>
      <c r="K420">
        <f t="shared" ca="1" si="13"/>
        <v>35</v>
      </c>
    </row>
    <row r="421" spans="1:11" ht="15.75" customHeight="1">
      <c r="A421" t="s">
        <v>3839</v>
      </c>
      <c r="B421">
        <v>1991</v>
      </c>
      <c r="C421" t="s">
        <v>4708</v>
      </c>
      <c r="D421">
        <v>25</v>
      </c>
      <c r="E421">
        <v>1</v>
      </c>
      <c r="F421" s="16">
        <v>3875.73</v>
      </c>
      <c r="G421" t="s">
        <v>4699</v>
      </c>
      <c r="H421" t="s">
        <v>4700</v>
      </c>
      <c r="I421" t="s">
        <v>4709</v>
      </c>
      <c r="J421" s="17">
        <f t="shared" si="12"/>
        <v>33444</v>
      </c>
      <c r="K421">
        <f t="shared" ca="1" si="13"/>
        <v>34</v>
      </c>
    </row>
    <row r="422" spans="1:11" ht="15.75" customHeight="1">
      <c r="A422" t="s">
        <v>3837</v>
      </c>
      <c r="B422">
        <v>1996</v>
      </c>
      <c r="C422" t="s">
        <v>4717</v>
      </c>
      <c r="D422">
        <v>23</v>
      </c>
      <c r="E422">
        <v>2</v>
      </c>
      <c r="F422" s="16">
        <v>3877.3</v>
      </c>
      <c r="G422" t="s">
        <v>4698</v>
      </c>
      <c r="H422" t="s">
        <v>4700</v>
      </c>
      <c r="I422" t="s">
        <v>4713</v>
      </c>
      <c r="J422" s="17">
        <f t="shared" si="12"/>
        <v>35361</v>
      </c>
      <c r="K422">
        <f t="shared" ca="1" si="13"/>
        <v>29</v>
      </c>
    </row>
    <row r="423" spans="1:11" ht="15.75" customHeight="1">
      <c r="A423" t="s">
        <v>3835</v>
      </c>
      <c r="B423">
        <v>2004</v>
      </c>
      <c r="C423" t="s">
        <v>4708</v>
      </c>
      <c r="D423">
        <v>13</v>
      </c>
      <c r="E423">
        <v>0</v>
      </c>
      <c r="F423" s="16">
        <v>3889.2</v>
      </c>
      <c r="G423" t="s">
        <v>4699</v>
      </c>
      <c r="H423" t="s">
        <v>4699</v>
      </c>
      <c r="I423" t="s">
        <v>4713</v>
      </c>
      <c r="J423" s="17">
        <f t="shared" si="12"/>
        <v>38181</v>
      </c>
      <c r="K423">
        <f t="shared" ca="1" si="13"/>
        <v>21</v>
      </c>
    </row>
    <row r="424" spans="1:11" ht="15.75" customHeight="1">
      <c r="A424" t="s">
        <v>3833</v>
      </c>
      <c r="B424">
        <v>1993</v>
      </c>
      <c r="C424" t="s">
        <v>4712</v>
      </c>
      <c r="D424">
        <v>14</v>
      </c>
      <c r="E424">
        <v>0</v>
      </c>
      <c r="F424" s="16">
        <v>3898.35</v>
      </c>
      <c r="G424" t="s">
        <v>4699</v>
      </c>
      <c r="H424" t="s">
        <v>4699</v>
      </c>
      <c r="I424" t="s">
        <v>4713</v>
      </c>
      <c r="J424" s="17">
        <f t="shared" si="12"/>
        <v>34226</v>
      </c>
      <c r="K424">
        <f t="shared" ca="1" si="13"/>
        <v>32</v>
      </c>
    </row>
    <row r="425" spans="1:11" ht="15.75" customHeight="1">
      <c r="A425" t="s">
        <v>3831</v>
      </c>
      <c r="B425">
        <v>1981</v>
      </c>
      <c r="C425" t="s">
        <v>4716</v>
      </c>
      <c r="D425">
        <v>27</v>
      </c>
      <c r="E425">
        <v>1</v>
      </c>
      <c r="F425" s="16">
        <v>3902.07</v>
      </c>
      <c r="G425" t="s">
        <v>4699</v>
      </c>
      <c r="H425" t="s">
        <v>4699</v>
      </c>
      <c r="I425" t="s">
        <v>4709</v>
      </c>
      <c r="J425" s="17">
        <f t="shared" si="12"/>
        <v>29825</v>
      </c>
      <c r="K425">
        <f t="shared" ca="1" si="13"/>
        <v>44</v>
      </c>
    </row>
    <row r="426" spans="1:11" ht="15.75" customHeight="1">
      <c r="A426" t="s">
        <v>3829</v>
      </c>
      <c r="B426">
        <v>1997</v>
      </c>
      <c r="C426" t="s">
        <v>4710</v>
      </c>
      <c r="D426">
        <v>24</v>
      </c>
      <c r="E426">
        <v>3</v>
      </c>
      <c r="F426" s="16">
        <v>3906.13</v>
      </c>
      <c r="G426" t="s">
        <v>4700</v>
      </c>
      <c r="H426" t="s">
        <v>4700</v>
      </c>
      <c r="I426" t="s">
        <v>4718</v>
      </c>
      <c r="J426" s="17">
        <f t="shared" si="12"/>
        <v>35758</v>
      </c>
      <c r="K426">
        <f t="shared" ca="1" si="13"/>
        <v>28</v>
      </c>
    </row>
    <row r="427" spans="1:11" ht="15.75" customHeight="1">
      <c r="A427" t="s">
        <v>3827</v>
      </c>
      <c r="B427">
        <v>1985</v>
      </c>
      <c r="C427" t="s">
        <v>4708</v>
      </c>
      <c r="D427">
        <v>5</v>
      </c>
      <c r="E427">
        <v>3</v>
      </c>
      <c r="F427" s="16">
        <v>3910.44</v>
      </c>
      <c r="G427" t="s">
        <v>4699</v>
      </c>
      <c r="H427" t="s">
        <v>4699</v>
      </c>
      <c r="I427" t="s">
        <v>4709</v>
      </c>
      <c r="J427" s="17">
        <f t="shared" si="12"/>
        <v>31233</v>
      </c>
      <c r="K427">
        <f t="shared" ca="1" si="13"/>
        <v>40</v>
      </c>
    </row>
    <row r="428" spans="1:11" ht="15.75" customHeight="1">
      <c r="A428" t="s">
        <v>3825</v>
      </c>
      <c r="B428">
        <v>2000</v>
      </c>
      <c r="C428" t="s">
        <v>4708</v>
      </c>
      <c r="D428">
        <v>10</v>
      </c>
      <c r="E428">
        <v>2</v>
      </c>
      <c r="F428" s="16">
        <v>3925.76</v>
      </c>
      <c r="G428" t="s">
        <v>4699</v>
      </c>
      <c r="H428" t="s">
        <v>4699</v>
      </c>
      <c r="I428" t="s">
        <v>4724</v>
      </c>
      <c r="J428" s="17">
        <f t="shared" si="12"/>
        <v>36717</v>
      </c>
      <c r="K428">
        <f t="shared" ca="1" si="13"/>
        <v>25</v>
      </c>
    </row>
    <row r="429" spans="1:11" ht="15.75" customHeight="1">
      <c r="A429" t="s">
        <v>3823</v>
      </c>
      <c r="B429">
        <v>2002</v>
      </c>
      <c r="C429" t="s">
        <v>4711</v>
      </c>
      <c r="D429">
        <v>15</v>
      </c>
      <c r="E429">
        <v>0</v>
      </c>
      <c r="F429" s="16">
        <v>3931.51</v>
      </c>
      <c r="G429" t="s">
        <v>4699</v>
      </c>
      <c r="H429" t="s">
        <v>4700</v>
      </c>
      <c r="I429" t="s">
        <v>4718</v>
      </c>
      <c r="J429" s="17">
        <f t="shared" si="12"/>
        <v>37422</v>
      </c>
      <c r="K429">
        <f t="shared" ca="1" si="13"/>
        <v>23</v>
      </c>
    </row>
    <row r="430" spans="1:11" ht="15.75" customHeight="1">
      <c r="A430" t="s">
        <v>3821</v>
      </c>
      <c r="B430">
        <v>1988</v>
      </c>
      <c r="C430" t="s">
        <v>4717</v>
      </c>
      <c r="D430">
        <v>24</v>
      </c>
      <c r="E430">
        <v>0</v>
      </c>
      <c r="F430" s="16">
        <v>3935.18</v>
      </c>
      <c r="G430" t="s">
        <v>4700</v>
      </c>
      <c r="H430" t="s">
        <v>4698</v>
      </c>
      <c r="I430" t="s">
        <v>4709</v>
      </c>
      <c r="J430" s="17">
        <f t="shared" si="12"/>
        <v>32440</v>
      </c>
      <c r="K430">
        <f t="shared" ca="1" si="13"/>
        <v>37</v>
      </c>
    </row>
    <row r="431" spans="1:11" ht="15.75" customHeight="1">
      <c r="A431" t="s">
        <v>3819</v>
      </c>
      <c r="B431">
        <v>1993</v>
      </c>
      <c r="C431" t="s">
        <v>4712</v>
      </c>
      <c r="D431">
        <v>29</v>
      </c>
      <c r="E431">
        <v>0</v>
      </c>
      <c r="F431" s="16">
        <v>3943.6</v>
      </c>
      <c r="G431" t="s">
        <v>4699</v>
      </c>
      <c r="H431" t="s">
        <v>4700</v>
      </c>
      <c r="I431" t="s">
        <v>4724</v>
      </c>
      <c r="J431" s="17">
        <f t="shared" si="12"/>
        <v>34241</v>
      </c>
      <c r="K431">
        <f t="shared" ca="1" si="13"/>
        <v>32</v>
      </c>
    </row>
    <row r="432" spans="1:11" ht="15.75" customHeight="1">
      <c r="A432" t="s">
        <v>3817</v>
      </c>
      <c r="B432">
        <v>1993</v>
      </c>
      <c r="C432" t="s">
        <v>4710</v>
      </c>
      <c r="D432">
        <v>11</v>
      </c>
      <c r="E432">
        <v>1</v>
      </c>
      <c r="F432" s="16">
        <v>3947.41</v>
      </c>
      <c r="G432" t="s">
        <v>4699</v>
      </c>
      <c r="H432" t="s">
        <v>4699</v>
      </c>
      <c r="I432" t="s">
        <v>4709</v>
      </c>
      <c r="J432" s="17">
        <f t="shared" si="12"/>
        <v>34284</v>
      </c>
      <c r="K432">
        <f t="shared" ca="1" si="13"/>
        <v>32</v>
      </c>
    </row>
    <row r="433" spans="1:11" ht="15.75" customHeight="1">
      <c r="A433" t="s">
        <v>3815</v>
      </c>
      <c r="B433">
        <v>1999</v>
      </c>
      <c r="C433" t="s">
        <v>4708</v>
      </c>
      <c r="D433">
        <v>10</v>
      </c>
      <c r="E433">
        <v>0</v>
      </c>
      <c r="F433" s="16">
        <v>3955.98</v>
      </c>
      <c r="G433" t="s">
        <v>4699</v>
      </c>
      <c r="H433" t="s">
        <v>4700</v>
      </c>
      <c r="I433" t="s">
        <v>4727</v>
      </c>
      <c r="J433" s="17">
        <f t="shared" si="12"/>
        <v>36351</v>
      </c>
      <c r="K433">
        <f t="shared" ca="1" si="13"/>
        <v>26</v>
      </c>
    </row>
    <row r="434" spans="1:11" ht="15.75" customHeight="1">
      <c r="A434" t="s">
        <v>3813</v>
      </c>
      <c r="B434">
        <v>1995</v>
      </c>
      <c r="C434" t="s">
        <v>4708</v>
      </c>
      <c r="D434">
        <v>11</v>
      </c>
      <c r="E434">
        <v>1</v>
      </c>
      <c r="F434" s="16">
        <v>3956.07</v>
      </c>
      <c r="G434" t="s">
        <v>4699</v>
      </c>
      <c r="H434" t="s">
        <v>4699</v>
      </c>
      <c r="I434" t="s">
        <v>4713</v>
      </c>
      <c r="J434" s="17">
        <f t="shared" si="12"/>
        <v>34891</v>
      </c>
      <c r="K434">
        <f t="shared" ca="1" si="13"/>
        <v>30</v>
      </c>
    </row>
    <row r="435" spans="1:11" ht="15.75" customHeight="1">
      <c r="A435" t="s">
        <v>3811</v>
      </c>
      <c r="B435">
        <v>1990</v>
      </c>
      <c r="C435" t="s">
        <v>4708</v>
      </c>
      <c r="D435">
        <v>29</v>
      </c>
      <c r="E435">
        <v>0</v>
      </c>
      <c r="F435" s="16">
        <v>3972.92</v>
      </c>
      <c r="G435" t="s">
        <v>4699</v>
      </c>
      <c r="H435" t="s">
        <v>4700</v>
      </c>
      <c r="I435" t="s">
        <v>4709</v>
      </c>
      <c r="J435" s="17">
        <f t="shared" si="12"/>
        <v>33083</v>
      </c>
      <c r="K435">
        <f t="shared" ca="1" si="13"/>
        <v>35</v>
      </c>
    </row>
    <row r="436" spans="1:11" ht="15.75" customHeight="1">
      <c r="A436" t="s">
        <v>3809</v>
      </c>
      <c r="B436">
        <v>1996</v>
      </c>
      <c r="C436" t="s">
        <v>4716</v>
      </c>
      <c r="D436">
        <v>17</v>
      </c>
      <c r="E436">
        <v>2</v>
      </c>
      <c r="F436" s="16">
        <v>3981.98</v>
      </c>
      <c r="G436" t="s">
        <v>4699</v>
      </c>
      <c r="H436" t="s">
        <v>4699</v>
      </c>
      <c r="I436" t="s">
        <v>4709</v>
      </c>
      <c r="J436" s="17">
        <f t="shared" si="12"/>
        <v>35294</v>
      </c>
      <c r="K436">
        <f t="shared" ca="1" si="13"/>
        <v>29</v>
      </c>
    </row>
    <row r="437" spans="1:11" ht="15.75" customHeight="1">
      <c r="A437" t="s">
        <v>3807</v>
      </c>
      <c r="B437">
        <v>1996</v>
      </c>
      <c r="C437" t="s">
        <v>4712</v>
      </c>
      <c r="D437">
        <v>8</v>
      </c>
      <c r="E437">
        <v>2</v>
      </c>
      <c r="F437" s="16">
        <v>3987.93</v>
      </c>
      <c r="G437" t="s">
        <v>4699</v>
      </c>
      <c r="H437" t="s">
        <v>4699</v>
      </c>
      <c r="I437" t="s">
        <v>4718</v>
      </c>
      <c r="J437" s="17">
        <f t="shared" si="12"/>
        <v>35316</v>
      </c>
      <c r="K437">
        <f t="shared" ca="1" si="13"/>
        <v>29</v>
      </c>
    </row>
    <row r="438" spans="1:11" ht="15.75" customHeight="1">
      <c r="A438" t="s">
        <v>3805</v>
      </c>
      <c r="B438">
        <v>1990</v>
      </c>
      <c r="C438" t="s">
        <v>4710</v>
      </c>
      <c r="D438">
        <v>22</v>
      </c>
      <c r="E438">
        <v>0</v>
      </c>
      <c r="F438" s="16">
        <v>3989.84</v>
      </c>
      <c r="G438" t="s">
        <v>4699</v>
      </c>
      <c r="H438" t="s">
        <v>4699</v>
      </c>
      <c r="I438" t="s">
        <v>4718</v>
      </c>
      <c r="J438" s="17">
        <f t="shared" si="12"/>
        <v>33199</v>
      </c>
      <c r="K438">
        <f t="shared" ca="1" si="13"/>
        <v>35</v>
      </c>
    </row>
    <row r="439" spans="1:11" ht="15.75" customHeight="1">
      <c r="A439" t="s">
        <v>3803</v>
      </c>
      <c r="B439">
        <v>1990</v>
      </c>
      <c r="C439" t="s">
        <v>4710</v>
      </c>
      <c r="D439">
        <v>1</v>
      </c>
      <c r="E439">
        <v>0</v>
      </c>
      <c r="F439" s="16">
        <v>3994.18</v>
      </c>
      <c r="G439" t="s">
        <v>4699</v>
      </c>
      <c r="H439" t="s">
        <v>4699</v>
      </c>
      <c r="I439" t="s">
        <v>4709</v>
      </c>
      <c r="J439" s="17">
        <f t="shared" si="12"/>
        <v>33178</v>
      </c>
      <c r="K439">
        <f t="shared" ca="1" si="13"/>
        <v>35</v>
      </c>
    </row>
    <row r="440" spans="1:11" ht="15.75" customHeight="1">
      <c r="A440" t="s">
        <v>3801</v>
      </c>
      <c r="B440">
        <v>1989</v>
      </c>
      <c r="C440" t="s">
        <v>4708</v>
      </c>
      <c r="D440">
        <v>10</v>
      </c>
      <c r="E440">
        <v>3</v>
      </c>
      <c r="F440" s="16">
        <v>4002.36</v>
      </c>
      <c r="G440" t="s">
        <v>4699</v>
      </c>
      <c r="H440" t="s">
        <v>4698</v>
      </c>
      <c r="I440" t="s">
        <v>4709</v>
      </c>
      <c r="J440" s="17">
        <f t="shared" si="12"/>
        <v>32699</v>
      </c>
      <c r="K440">
        <f t="shared" ca="1" si="13"/>
        <v>36</v>
      </c>
    </row>
    <row r="441" spans="1:11" ht="15.75" customHeight="1">
      <c r="A441" t="s">
        <v>3799</v>
      </c>
      <c r="B441">
        <v>2000</v>
      </c>
      <c r="C441" t="s">
        <v>4712</v>
      </c>
      <c r="D441">
        <v>13</v>
      </c>
      <c r="E441">
        <v>3</v>
      </c>
      <c r="F441" s="16">
        <v>4005.42</v>
      </c>
      <c r="G441" t="s">
        <v>4699</v>
      </c>
      <c r="H441" t="s">
        <v>4698</v>
      </c>
      <c r="I441" t="s">
        <v>4719</v>
      </c>
      <c r="J441" s="17">
        <f t="shared" si="12"/>
        <v>36782</v>
      </c>
      <c r="K441">
        <f t="shared" ca="1" si="13"/>
        <v>25</v>
      </c>
    </row>
    <row r="442" spans="1:11" ht="15.75" customHeight="1">
      <c r="A442" t="s">
        <v>3797</v>
      </c>
      <c r="B442">
        <v>1992</v>
      </c>
      <c r="C442" t="s">
        <v>4717</v>
      </c>
      <c r="D442">
        <v>11</v>
      </c>
      <c r="E442">
        <v>1</v>
      </c>
      <c r="F442" s="16">
        <v>4032.24</v>
      </c>
      <c r="G442" t="s">
        <v>4700</v>
      </c>
      <c r="H442" t="s">
        <v>4700</v>
      </c>
      <c r="I442" t="s">
        <v>4713</v>
      </c>
      <c r="J442" s="17">
        <f t="shared" si="12"/>
        <v>33888</v>
      </c>
      <c r="K442">
        <f t="shared" ca="1" si="13"/>
        <v>33</v>
      </c>
    </row>
    <row r="443" spans="1:11" ht="15.75" customHeight="1">
      <c r="A443" t="s">
        <v>3795</v>
      </c>
      <c r="B443">
        <v>1984</v>
      </c>
      <c r="C443" t="s">
        <v>4708</v>
      </c>
      <c r="D443">
        <v>7</v>
      </c>
      <c r="E443">
        <v>3</v>
      </c>
      <c r="F443" s="16">
        <v>4038.41</v>
      </c>
      <c r="G443" t="s">
        <v>4699</v>
      </c>
      <c r="H443" t="s">
        <v>4698</v>
      </c>
      <c r="I443" t="s">
        <v>4709</v>
      </c>
      <c r="J443" s="17">
        <f t="shared" si="12"/>
        <v>30870</v>
      </c>
      <c r="K443">
        <f t="shared" ca="1" si="13"/>
        <v>41</v>
      </c>
    </row>
    <row r="444" spans="1:11" ht="15.75" customHeight="1">
      <c r="A444" t="s">
        <v>3793</v>
      </c>
      <c r="B444">
        <v>1983</v>
      </c>
      <c r="C444" t="s">
        <v>4710</v>
      </c>
      <c r="D444">
        <v>10</v>
      </c>
      <c r="E444">
        <v>3</v>
      </c>
      <c r="F444" s="16">
        <v>4039.9</v>
      </c>
      <c r="G444" t="s">
        <v>4699</v>
      </c>
      <c r="H444" t="s">
        <v>4698</v>
      </c>
      <c r="I444" t="s">
        <v>4709</v>
      </c>
      <c r="J444" s="17">
        <f t="shared" si="12"/>
        <v>30630</v>
      </c>
      <c r="K444">
        <f t="shared" ca="1" si="13"/>
        <v>42</v>
      </c>
    </row>
    <row r="445" spans="1:11" ht="15.75" customHeight="1">
      <c r="A445" t="s">
        <v>3791</v>
      </c>
      <c r="B445">
        <v>1993</v>
      </c>
      <c r="C445" t="s">
        <v>4714</v>
      </c>
      <c r="D445">
        <v>26</v>
      </c>
      <c r="E445">
        <v>1</v>
      </c>
      <c r="F445" s="16">
        <v>4040.56</v>
      </c>
      <c r="G445" t="s">
        <v>4700</v>
      </c>
      <c r="H445" t="s">
        <v>4700</v>
      </c>
      <c r="I445" t="s">
        <v>4719</v>
      </c>
      <c r="J445" s="17">
        <f t="shared" si="12"/>
        <v>34329</v>
      </c>
      <c r="K445">
        <f t="shared" ca="1" si="13"/>
        <v>31</v>
      </c>
    </row>
    <row r="446" spans="1:11" ht="15.75" customHeight="1">
      <c r="A446" t="s">
        <v>3789</v>
      </c>
      <c r="B446">
        <v>1988</v>
      </c>
      <c r="C446" t="s">
        <v>4710</v>
      </c>
      <c r="D446">
        <v>30</v>
      </c>
      <c r="E446">
        <v>3</v>
      </c>
      <c r="F446" s="16">
        <v>4047.94</v>
      </c>
      <c r="G446" t="s">
        <v>4699</v>
      </c>
      <c r="H446" t="s">
        <v>4698</v>
      </c>
      <c r="I446" t="s">
        <v>4709</v>
      </c>
      <c r="J446" s="17">
        <f t="shared" si="12"/>
        <v>32477</v>
      </c>
      <c r="K446">
        <f t="shared" ca="1" si="13"/>
        <v>36</v>
      </c>
    </row>
    <row r="447" spans="1:11" ht="15.75" customHeight="1">
      <c r="A447" t="s">
        <v>3787</v>
      </c>
      <c r="B447">
        <v>1993</v>
      </c>
      <c r="C447" t="s">
        <v>4716</v>
      </c>
      <c r="D447">
        <v>13</v>
      </c>
      <c r="E447">
        <v>2</v>
      </c>
      <c r="F447" s="16">
        <v>4058.12</v>
      </c>
      <c r="G447" t="s">
        <v>4699</v>
      </c>
      <c r="H447" t="s">
        <v>4698</v>
      </c>
      <c r="I447" t="s">
        <v>4709</v>
      </c>
      <c r="J447" s="17">
        <f t="shared" si="12"/>
        <v>34194</v>
      </c>
      <c r="K447">
        <f t="shared" ca="1" si="13"/>
        <v>32</v>
      </c>
    </row>
    <row r="448" spans="1:11" ht="15.75" customHeight="1">
      <c r="A448" t="s">
        <v>3785</v>
      </c>
      <c r="B448">
        <v>1995</v>
      </c>
      <c r="C448" t="s">
        <v>4712</v>
      </c>
      <c r="D448">
        <v>14</v>
      </c>
      <c r="E448">
        <v>2</v>
      </c>
      <c r="F448" s="16">
        <v>4058.71</v>
      </c>
      <c r="G448" t="s">
        <v>4700</v>
      </c>
      <c r="H448" t="s">
        <v>4700</v>
      </c>
      <c r="I448" t="s">
        <v>4713</v>
      </c>
      <c r="J448" s="17">
        <f t="shared" si="12"/>
        <v>34956</v>
      </c>
      <c r="K448">
        <f t="shared" ca="1" si="13"/>
        <v>30</v>
      </c>
    </row>
    <row r="449" spans="1:11" ht="15.75" customHeight="1">
      <c r="A449" t="s">
        <v>3783</v>
      </c>
      <c r="B449">
        <v>1983</v>
      </c>
      <c r="C449" t="s">
        <v>4712</v>
      </c>
      <c r="D449">
        <v>16</v>
      </c>
      <c r="E449">
        <v>3</v>
      </c>
      <c r="F449" s="16">
        <v>4070.42</v>
      </c>
      <c r="G449" t="s">
        <v>4699</v>
      </c>
      <c r="H449" t="s">
        <v>4698</v>
      </c>
      <c r="I449" t="s">
        <v>4709</v>
      </c>
      <c r="J449" s="17">
        <f t="shared" si="12"/>
        <v>30575</v>
      </c>
      <c r="K449">
        <f t="shared" ca="1" si="13"/>
        <v>42</v>
      </c>
    </row>
    <row r="450" spans="1:11" ht="15.75" customHeight="1">
      <c r="A450" t="s">
        <v>3781</v>
      </c>
      <c r="B450">
        <v>2002</v>
      </c>
      <c r="C450" t="s">
        <v>4717</v>
      </c>
      <c r="D450">
        <v>18</v>
      </c>
      <c r="E450">
        <v>0</v>
      </c>
      <c r="F450" s="16">
        <v>4070.51</v>
      </c>
      <c r="G450" t="s">
        <v>4699</v>
      </c>
      <c r="H450" t="s">
        <v>4698</v>
      </c>
      <c r="I450" t="s">
        <v>4713</v>
      </c>
      <c r="J450" s="17">
        <f t="shared" si="12"/>
        <v>37547</v>
      </c>
      <c r="K450">
        <f t="shared" ca="1" si="13"/>
        <v>23</v>
      </c>
    </row>
    <row r="451" spans="1:11" ht="15.75" customHeight="1">
      <c r="A451" t="s">
        <v>3779</v>
      </c>
      <c r="B451">
        <v>1990</v>
      </c>
      <c r="C451" t="s">
        <v>4714</v>
      </c>
      <c r="D451">
        <v>1</v>
      </c>
      <c r="E451">
        <v>1</v>
      </c>
      <c r="F451" s="16">
        <v>4074.45</v>
      </c>
      <c r="G451" t="s">
        <v>4700</v>
      </c>
      <c r="H451" t="s">
        <v>4699</v>
      </c>
      <c r="I451" t="s">
        <v>4709</v>
      </c>
      <c r="J451" s="17">
        <f t="shared" ref="J451:J514" si="14">DATEVALUE(D451&amp;"-"&amp;C451&amp;" -"&amp;B451)</f>
        <v>33208</v>
      </c>
      <c r="K451">
        <f t="shared" ref="K451:K514" ca="1" si="15">DATEDIF(J451,TODAY(),"Y")</f>
        <v>34</v>
      </c>
    </row>
    <row r="452" spans="1:11" ht="15.75" customHeight="1">
      <c r="A452" t="s">
        <v>3777</v>
      </c>
      <c r="B452">
        <v>1990</v>
      </c>
      <c r="C452" t="s">
        <v>4714</v>
      </c>
      <c r="D452">
        <v>14</v>
      </c>
      <c r="E452">
        <v>1</v>
      </c>
      <c r="F452" s="16">
        <v>4076.5</v>
      </c>
      <c r="G452" t="s">
        <v>4699</v>
      </c>
      <c r="H452" t="s">
        <v>4700</v>
      </c>
      <c r="I452" t="s">
        <v>4718</v>
      </c>
      <c r="J452" s="17">
        <f t="shared" si="14"/>
        <v>33221</v>
      </c>
      <c r="K452">
        <f t="shared" ca="1" si="15"/>
        <v>34</v>
      </c>
    </row>
    <row r="453" spans="1:11" ht="15.75" customHeight="1">
      <c r="A453" t="s">
        <v>3775</v>
      </c>
      <c r="B453">
        <v>1994</v>
      </c>
      <c r="C453" t="s">
        <v>4716</v>
      </c>
      <c r="D453">
        <v>21</v>
      </c>
      <c r="E453">
        <v>1</v>
      </c>
      <c r="F453" s="16">
        <v>4133.6400000000003</v>
      </c>
      <c r="G453" t="s">
        <v>4699</v>
      </c>
      <c r="H453" t="s">
        <v>4700</v>
      </c>
      <c r="I453" t="s">
        <v>4713</v>
      </c>
      <c r="J453" s="17">
        <f t="shared" si="14"/>
        <v>34567</v>
      </c>
      <c r="K453">
        <f t="shared" ca="1" si="15"/>
        <v>31</v>
      </c>
    </row>
    <row r="454" spans="1:11" ht="15.75" customHeight="1">
      <c r="A454" t="s">
        <v>3773</v>
      </c>
      <c r="B454">
        <v>1991</v>
      </c>
      <c r="C454" t="s">
        <v>4716</v>
      </c>
      <c r="D454">
        <v>6</v>
      </c>
      <c r="E454">
        <v>0</v>
      </c>
      <c r="F454" s="16">
        <v>4134.08</v>
      </c>
      <c r="G454" t="s">
        <v>4699</v>
      </c>
      <c r="H454" t="s">
        <v>4698</v>
      </c>
      <c r="I454" t="s">
        <v>4713</v>
      </c>
      <c r="J454" s="17">
        <f t="shared" si="14"/>
        <v>33456</v>
      </c>
      <c r="K454">
        <f t="shared" ca="1" si="15"/>
        <v>34</v>
      </c>
    </row>
    <row r="455" spans="1:11" ht="15.75" customHeight="1">
      <c r="A455" t="s">
        <v>3771</v>
      </c>
      <c r="B455">
        <v>1992</v>
      </c>
      <c r="C455" t="s">
        <v>4711</v>
      </c>
      <c r="D455">
        <v>18</v>
      </c>
      <c r="E455">
        <v>0</v>
      </c>
      <c r="F455" s="16">
        <v>4137.5200000000004</v>
      </c>
      <c r="G455" t="s">
        <v>4699</v>
      </c>
      <c r="H455" t="s">
        <v>4700</v>
      </c>
      <c r="I455" t="s">
        <v>4724</v>
      </c>
      <c r="J455" s="17">
        <f t="shared" si="14"/>
        <v>33773</v>
      </c>
      <c r="K455">
        <f t="shared" ca="1" si="15"/>
        <v>33</v>
      </c>
    </row>
    <row r="456" spans="1:11" ht="15.75" customHeight="1">
      <c r="A456" t="s">
        <v>3769</v>
      </c>
      <c r="B456">
        <v>1992</v>
      </c>
      <c r="C456" t="s">
        <v>4711</v>
      </c>
      <c r="D456">
        <v>28</v>
      </c>
      <c r="E456">
        <v>1</v>
      </c>
      <c r="F456" s="16">
        <v>4149.74</v>
      </c>
      <c r="G456" t="s">
        <v>4699</v>
      </c>
      <c r="H456" t="s">
        <v>4698</v>
      </c>
      <c r="I456" t="s">
        <v>4718</v>
      </c>
      <c r="J456" s="17">
        <f t="shared" si="14"/>
        <v>33783</v>
      </c>
      <c r="K456">
        <f t="shared" ca="1" si="15"/>
        <v>33</v>
      </c>
    </row>
    <row r="457" spans="1:11" ht="15.75" customHeight="1">
      <c r="A457" t="s">
        <v>3767</v>
      </c>
      <c r="B457">
        <v>1992</v>
      </c>
      <c r="C457" t="s">
        <v>4716</v>
      </c>
      <c r="D457">
        <v>4</v>
      </c>
      <c r="E457">
        <v>1</v>
      </c>
      <c r="F457" s="16">
        <v>4151.03</v>
      </c>
      <c r="G457" t="s">
        <v>4699</v>
      </c>
      <c r="H457" t="s">
        <v>4699</v>
      </c>
      <c r="I457" t="s">
        <v>4709</v>
      </c>
      <c r="J457" s="17">
        <f t="shared" si="14"/>
        <v>33820</v>
      </c>
      <c r="K457">
        <f t="shared" ca="1" si="15"/>
        <v>33</v>
      </c>
    </row>
    <row r="458" spans="1:11" ht="15.75" customHeight="1">
      <c r="A458" t="s">
        <v>3765</v>
      </c>
      <c r="B458">
        <v>1998</v>
      </c>
      <c r="C458" t="s">
        <v>4710</v>
      </c>
      <c r="D458">
        <v>26</v>
      </c>
      <c r="E458">
        <v>0</v>
      </c>
      <c r="F458" s="16">
        <v>4154.97</v>
      </c>
      <c r="G458" t="s">
        <v>4699</v>
      </c>
      <c r="H458" t="s">
        <v>4698</v>
      </c>
      <c r="I458" t="s">
        <v>4713</v>
      </c>
      <c r="J458" s="17">
        <f t="shared" si="14"/>
        <v>36125</v>
      </c>
      <c r="K458">
        <f t="shared" ca="1" si="15"/>
        <v>27</v>
      </c>
    </row>
    <row r="459" spans="1:11" ht="15.75" customHeight="1">
      <c r="A459" t="s">
        <v>3763</v>
      </c>
      <c r="B459">
        <v>1984</v>
      </c>
      <c r="C459" t="s">
        <v>4712</v>
      </c>
      <c r="D459">
        <v>16</v>
      </c>
      <c r="E459">
        <v>3</v>
      </c>
      <c r="F459" s="16">
        <v>4163.21</v>
      </c>
      <c r="G459" t="s">
        <v>4699</v>
      </c>
      <c r="H459" t="s">
        <v>4699</v>
      </c>
      <c r="I459" t="s">
        <v>4713</v>
      </c>
      <c r="J459" s="17">
        <f t="shared" si="14"/>
        <v>30941</v>
      </c>
      <c r="K459">
        <f t="shared" ca="1" si="15"/>
        <v>41</v>
      </c>
    </row>
    <row r="460" spans="1:11" ht="15.75" customHeight="1">
      <c r="A460" t="s">
        <v>3761</v>
      </c>
      <c r="B460">
        <v>1989</v>
      </c>
      <c r="C460" t="s">
        <v>4711</v>
      </c>
      <c r="D460">
        <v>25</v>
      </c>
      <c r="E460">
        <v>0</v>
      </c>
      <c r="F460" s="16">
        <v>4185.1000000000004</v>
      </c>
      <c r="G460" t="s">
        <v>4699</v>
      </c>
      <c r="H460" t="s">
        <v>4700</v>
      </c>
      <c r="I460" t="s">
        <v>4709</v>
      </c>
      <c r="J460" s="17">
        <f t="shared" si="14"/>
        <v>32684</v>
      </c>
      <c r="K460">
        <f t="shared" ca="1" si="15"/>
        <v>36</v>
      </c>
    </row>
    <row r="461" spans="1:11" ht="15.75" customHeight="1">
      <c r="A461" t="s">
        <v>3759</v>
      </c>
      <c r="B461">
        <v>1995</v>
      </c>
      <c r="C461" t="s">
        <v>4717</v>
      </c>
      <c r="D461">
        <v>3</v>
      </c>
      <c r="E461">
        <v>0</v>
      </c>
      <c r="F461" s="16">
        <v>4188.7299999999996</v>
      </c>
      <c r="G461" t="s">
        <v>4699</v>
      </c>
      <c r="H461" t="s">
        <v>4699</v>
      </c>
      <c r="I461" t="s">
        <v>4723</v>
      </c>
      <c r="J461" s="17">
        <f t="shared" si="14"/>
        <v>34975</v>
      </c>
      <c r="K461">
        <f t="shared" ca="1" si="15"/>
        <v>30</v>
      </c>
    </row>
    <row r="462" spans="1:11" ht="15.75" customHeight="1">
      <c r="A462" t="s">
        <v>3757</v>
      </c>
      <c r="B462">
        <v>1997</v>
      </c>
      <c r="C462" t="s">
        <v>4712</v>
      </c>
      <c r="D462">
        <v>6</v>
      </c>
      <c r="E462">
        <v>2</v>
      </c>
      <c r="F462" s="16">
        <v>4189.1099999999997</v>
      </c>
      <c r="G462" t="s">
        <v>4699</v>
      </c>
      <c r="H462" t="s">
        <v>4699</v>
      </c>
      <c r="I462" t="s">
        <v>4713</v>
      </c>
      <c r="J462" s="17">
        <f t="shared" si="14"/>
        <v>35679</v>
      </c>
      <c r="K462">
        <f t="shared" ca="1" si="15"/>
        <v>28</v>
      </c>
    </row>
    <row r="463" spans="1:11" ht="15.75" customHeight="1">
      <c r="A463" t="s">
        <v>3755</v>
      </c>
      <c r="B463">
        <v>1998</v>
      </c>
      <c r="C463" t="s">
        <v>4714</v>
      </c>
      <c r="D463">
        <v>14</v>
      </c>
      <c r="E463">
        <v>3</v>
      </c>
      <c r="F463" s="16">
        <v>4234.93</v>
      </c>
      <c r="G463" t="s">
        <v>4699</v>
      </c>
      <c r="H463" t="s">
        <v>4698</v>
      </c>
      <c r="I463" t="s">
        <v>4718</v>
      </c>
      <c r="J463" s="17">
        <f t="shared" si="14"/>
        <v>36143</v>
      </c>
      <c r="K463">
        <f t="shared" ca="1" si="15"/>
        <v>26</v>
      </c>
    </row>
    <row r="464" spans="1:11" ht="15.75" customHeight="1">
      <c r="A464" t="s">
        <v>3753</v>
      </c>
      <c r="B464">
        <v>1992</v>
      </c>
      <c r="C464" t="s">
        <v>4711</v>
      </c>
      <c r="D464">
        <v>27</v>
      </c>
      <c r="E464">
        <v>1</v>
      </c>
      <c r="F464" s="16">
        <v>4237.13</v>
      </c>
      <c r="G464" t="s">
        <v>4700</v>
      </c>
      <c r="H464" t="s">
        <v>4698</v>
      </c>
      <c r="I464" t="s">
        <v>4721</v>
      </c>
      <c r="J464" s="17">
        <f t="shared" si="14"/>
        <v>33782</v>
      </c>
      <c r="K464">
        <f t="shared" ca="1" si="15"/>
        <v>33</v>
      </c>
    </row>
    <row r="465" spans="1:11" ht="15.75" customHeight="1">
      <c r="A465" t="s">
        <v>3751</v>
      </c>
      <c r="B465">
        <v>1991</v>
      </c>
      <c r="C465" t="s">
        <v>4710</v>
      </c>
      <c r="D465">
        <v>3</v>
      </c>
      <c r="E465">
        <v>1</v>
      </c>
      <c r="F465" s="16">
        <v>4239.8900000000003</v>
      </c>
      <c r="G465" t="s">
        <v>4699</v>
      </c>
      <c r="H465" t="s">
        <v>4699</v>
      </c>
      <c r="I465" t="s">
        <v>4713</v>
      </c>
      <c r="J465" s="17">
        <f t="shared" si="14"/>
        <v>33545</v>
      </c>
      <c r="K465">
        <f t="shared" ca="1" si="15"/>
        <v>34</v>
      </c>
    </row>
    <row r="466" spans="1:11" ht="15.75" customHeight="1">
      <c r="A466" t="s">
        <v>3749</v>
      </c>
      <c r="B466">
        <v>1991</v>
      </c>
      <c r="C466" t="s">
        <v>4714</v>
      </c>
      <c r="D466">
        <v>1</v>
      </c>
      <c r="E466">
        <v>1</v>
      </c>
      <c r="F466" s="16">
        <v>4243.59</v>
      </c>
      <c r="G466" t="s">
        <v>4700</v>
      </c>
      <c r="H466" t="s">
        <v>4698</v>
      </c>
      <c r="I466" t="s">
        <v>4713</v>
      </c>
      <c r="J466" s="17">
        <f t="shared" si="14"/>
        <v>33573</v>
      </c>
      <c r="K466">
        <f t="shared" ca="1" si="15"/>
        <v>33</v>
      </c>
    </row>
    <row r="467" spans="1:11" ht="15.75" customHeight="1">
      <c r="A467" t="s">
        <v>3747</v>
      </c>
      <c r="B467">
        <v>1982</v>
      </c>
      <c r="C467" t="s">
        <v>4711</v>
      </c>
      <c r="D467">
        <v>16</v>
      </c>
      <c r="E467">
        <v>3</v>
      </c>
      <c r="F467" s="16">
        <v>4250.24</v>
      </c>
      <c r="G467" t="s">
        <v>4699</v>
      </c>
      <c r="H467" t="s">
        <v>4700</v>
      </c>
      <c r="I467" t="s">
        <v>4709</v>
      </c>
      <c r="J467" s="17">
        <f t="shared" si="14"/>
        <v>30118</v>
      </c>
      <c r="K467">
        <f t="shared" ca="1" si="15"/>
        <v>43</v>
      </c>
    </row>
    <row r="468" spans="1:11" ht="15.75" customHeight="1">
      <c r="A468" t="s">
        <v>3745</v>
      </c>
      <c r="B468">
        <v>1995</v>
      </c>
      <c r="C468" t="s">
        <v>4717</v>
      </c>
      <c r="D468">
        <v>14</v>
      </c>
      <c r="E468">
        <v>3</v>
      </c>
      <c r="F468" s="16">
        <v>4260.74</v>
      </c>
      <c r="G468" t="s">
        <v>4700</v>
      </c>
      <c r="H468" t="s">
        <v>4699</v>
      </c>
      <c r="I468" t="s">
        <v>4718</v>
      </c>
      <c r="J468" s="17">
        <f t="shared" si="14"/>
        <v>34986</v>
      </c>
      <c r="K468">
        <f t="shared" ca="1" si="15"/>
        <v>30</v>
      </c>
    </row>
    <row r="469" spans="1:11" ht="15.75" customHeight="1">
      <c r="A469" t="s">
        <v>3743</v>
      </c>
      <c r="B469">
        <v>1983</v>
      </c>
      <c r="C469" t="s">
        <v>4710</v>
      </c>
      <c r="D469">
        <v>20</v>
      </c>
      <c r="E469">
        <v>3</v>
      </c>
      <c r="F469" s="16">
        <v>4265.01</v>
      </c>
      <c r="G469" t="s">
        <v>4699</v>
      </c>
      <c r="H469" t="s">
        <v>4698</v>
      </c>
      <c r="I469" t="s">
        <v>4713</v>
      </c>
      <c r="J469" s="17">
        <f t="shared" si="14"/>
        <v>30640</v>
      </c>
      <c r="K469">
        <f t="shared" ca="1" si="15"/>
        <v>42</v>
      </c>
    </row>
    <row r="470" spans="1:11" ht="15.75" customHeight="1">
      <c r="A470" t="s">
        <v>3741</v>
      </c>
      <c r="B470">
        <v>1992</v>
      </c>
      <c r="C470" t="s">
        <v>4711</v>
      </c>
      <c r="D470">
        <v>18</v>
      </c>
      <c r="E470">
        <v>2</v>
      </c>
      <c r="F470" s="16">
        <v>4266.17</v>
      </c>
      <c r="G470" t="s">
        <v>4700</v>
      </c>
      <c r="H470" t="s">
        <v>4699</v>
      </c>
      <c r="I470" t="s">
        <v>4709</v>
      </c>
      <c r="J470" s="17">
        <f t="shared" si="14"/>
        <v>33773</v>
      </c>
      <c r="K470">
        <f t="shared" ca="1" si="15"/>
        <v>33</v>
      </c>
    </row>
    <row r="471" spans="1:11" ht="15.75" customHeight="1">
      <c r="A471" t="s">
        <v>3739</v>
      </c>
      <c r="B471">
        <v>2003</v>
      </c>
      <c r="C471" t="s">
        <v>4711</v>
      </c>
      <c r="D471">
        <v>8</v>
      </c>
      <c r="E471">
        <v>0</v>
      </c>
      <c r="F471" s="16">
        <v>4278.55</v>
      </c>
      <c r="G471" t="s">
        <v>4699</v>
      </c>
      <c r="H471" t="s">
        <v>4698</v>
      </c>
      <c r="I471" t="s">
        <v>4727</v>
      </c>
      <c r="J471" s="17">
        <f t="shared" si="14"/>
        <v>37780</v>
      </c>
      <c r="K471">
        <f t="shared" ca="1" si="15"/>
        <v>22</v>
      </c>
    </row>
    <row r="472" spans="1:11" ht="15.75" customHeight="1">
      <c r="A472" t="s">
        <v>3737</v>
      </c>
      <c r="B472">
        <v>2000</v>
      </c>
      <c r="C472" t="s">
        <v>4710</v>
      </c>
      <c r="D472">
        <v>25</v>
      </c>
      <c r="E472">
        <v>3</v>
      </c>
      <c r="F472" s="16">
        <v>4296.2700000000004</v>
      </c>
      <c r="G472" t="s">
        <v>4699</v>
      </c>
      <c r="H472" t="s">
        <v>4700</v>
      </c>
      <c r="I472" t="s">
        <v>4713</v>
      </c>
      <c r="J472" s="17">
        <f t="shared" si="14"/>
        <v>36855</v>
      </c>
      <c r="K472">
        <f t="shared" ca="1" si="15"/>
        <v>25</v>
      </c>
    </row>
    <row r="473" spans="1:11" ht="15.75" customHeight="1">
      <c r="A473" t="s">
        <v>3735</v>
      </c>
      <c r="B473">
        <v>1988</v>
      </c>
      <c r="C473" t="s">
        <v>4714</v>
      </c>
      <c r="D473">
        <v>19</v>
      </c>
      <c r="E473">
        <v>0</v>
      </c>
      <c r="F473" s="16">
        <v>4320.41</v>
      </c>
      <c r="G473" t="s">
        <v>4699</v>
      </c>
      <c r="H473" t="s">
        <v>4698</v>
      </c>
      <c r="I473" t="s">
        <v>4713</v>
      </c>
      <c r="J473" s="17">
        <f t="shared" si="14"/>
        <v>32496</v>
      </c>
      <c r="K473">
        <f t="shared" ca="1" si="15"/>
        <v>36</v>
      </c>
    </row>
    <row r="474" spans="1:11" ht="15.75" customHeight="1">
      <c r="A474" t="s">
        <v>3733</v>
      </c>
      <c r="B474">
        <v>1994</v>
      </c>
      <c r="C474" t="s">
        <v>4710</v>
      </c>
      <c r="D474">
        <v>2</v>
      </c>
      <c r="E474">
        <v>1</v>
      </c>
      <c r="F474" s="16">
        <v>4337.74</v>
      </c>
      <c r="G474" t="s">
        <v>4699</v>
      </c>
      <c r="H474" t="s">
        <v>4698</v>
      </c>
      <c r="I474" t="s">
        <v>4724</v>
      </c>
      <c r="J474" s="17">
        <f t="shared" si="14"/>
        <v>34640</v>
      </c>
      <c r="K474">
        <f t="shared" ca="1" si="15"/>
        <v>31</v>
      </c>
    </row>
    <row r="475" spans="1:11" ht="15.75" customHeight="1">
      <c r="A475" t="s">
        <v>3731</v>
      </c>
      <c r="B475">
        <v>1994</v>
      </c>
      <c r="C475" t="s">
        <v>4717</v>
      </c>
      <c r="D475">
        <v>26</v>
      </c>
      <c r="E475">
        <v>2</v>
      </c>
      <c r="F475" s="16">
        <v>4340.4399999999996</v>
      </c>
      <c r="G475" t="s">
        <v>4699</v>
      </c>
      <c r="H475" t="s">
        <v>4698</v>
      </c>
      <c r="I475" t="s">
        <v>4709</v>
      </c>
      <c r="J475" s="17">
        <f t="shared" si="14"/>
        <v>34633</v>
      </c>
      <c r="K475">
        <f t="shared" ca="1" si="15"/>
        <v>31</v>
      </c>
    </row>
    <row r="476" spans="1:11" ht="15.75" customHeight="1">
      <c r="A476" t="s">
        <v>3729</v>
      </c>
      <c r="B476">
        <v>1991</v>
      </c>
      <c r="C476" t="s">
        <v>4711</v>
      </c>
      <c r="D476">
        <v>1</v>
      </c>
      <c r="E476">
        <v>0</v>
      </c>
      <c r="F476" s="16">
        <v>4347.0200000000004</v>
      </c>
      <c r="G476" t="s">
        <v>4699</v>
      </c>
      <c r="H476" t="s">
        <v>4698</v>
      </c>
      <c r="I476" t="s">
        <v>4724</v>
      </c>
      <c r="J476" s="17">
        <f t="shared" si="14"/>
        <v>33390</v>
      </c>
      <c r="K476">
        <f t="shared" ca="1" si="15"/>
        <v>34</v>
      </c>
    </row>
    <row r="477" spans="1:11" ht="15.75" customHeight="1">
      <c r="A477" t="s">
        <v>3727</v>
      </c>
      <c r="B477">
        <v>1994</v>
      </c>
      <c r="C477" t="s">
        <v>4710</v>
      </c>
      <c r="D477">
        <v>1</v>
      </c>
      <c r="E477">
        <v>2</v>
      </c>
      <c r="F477" s="16">
        <v>4349.46</v>
      </c>
      <c r="G477" t="s">
        <v>4699</v>
      </c>
      <c r="H477" t="s">
        <v>4699</v>
      </c>
      <c r="I477" t="s">
        <v>4709</v>
      </c>
      <c r="J477" s="17">
        <f t="shared" si="14"/>
        <v>34639</v>
      </c>
      <c r="K477">
        <f t="shared" ca="1" si="15"/>
        <v>31</v>
      </c>
    </row>
    <row r="478" spans="1:11" ht="15.75" customHeight="1">
      <c r="A478" t="s">
        <v>3725</v>
      </c>
      <c r="B478">
        <v>1991</v>
      </c>
      <c r="C478" t="s">
        <v>4712</v>
      </c>
      <c r="D478">
        <v>13</v>
      </c>
      <c r="E478">
        <v>1</v>
      </c>
      <c r="F478" s="16">
        <v>4350.51</v>
      </c>
      <c r="G478" t="s">
        <v>4699</v>
      </c>
      <c r="H478" t="s">
        <v>4699</v>
      </c>
      <c r="I478" t="s">
        <v>4709</v>
      </c>
      <c r="J478" s="17">
        <f t="shared" si="14"/>
        <v>33494</v>
      </c>
      <c r="K478">
        <f t="shared" ca="1" si="15"/>
        <v>34</v>
      </c>
    </row>
    <row r="479" spans="1:11" ht="15.75" customHeight="1">
      <c r="A479" t="s">
        <v>3723</v>
      </c>
      <c r="B479">
        <v>1990</v>
      </c>
      <c r="C479" t="s">
        <v>4716</v>
      </c>
      <c r="D479">
        <v>28</v>
      </c>
      <c r="E479">
        <v>0</v>
      </c>
      <c r="F479" s="16">
        <v>4357.04</v>
      </c>
      <c r="G479" t="s">
        <v>4699</v>
      </c>
      <c r="H479" t="s">
        <v>4700</v>
      </c>
      <c r="I479" t="s">
        <v>4713</v>
      </c>
      <c r="J479" s="17">
        <f t="shared" si="14"/>
        <v>33113</v>
      </c>
      <c r="K479">
        <f t="shared" ca="1" si="15"/>
        <v>35</v>
      </c>
    </row>
    <row r="480" spans="1:11" ht="15.75" customHeight="1">
      <c r="A480" t="s">
        <v>3721</v>
      </c>
      <c r="B480">
        <v>1997</v>
      </c>
      <c r="C480" t="s">
        <v>4710</v>
      </c>
      <c r="D480">
        <v>29</v>
      </c>
      <c r="E480">
        <v>3</v>
      </c>
      <c r="F480" s="16">
        <v>4391.6499999999996</v>
      </c>
      <c r="G480" t="s">
        <v>4699</v>
      </c>
      <c r="H480" t="s">
        <v>4699</v>
      </c>
      <c r="I480" t="s">
        <v>4718</v>
      </c>
      <c r="J480" s="17">
        <f t="shared" si="14"/>
        <v>35763</v>
      </c>
      <c r="K480">
        <f t="shared" ca="1" si="15"/>
        <v>27</v>
      </c>
    </row>
    <row r="481" spans="1:11" ht="15.75" customHeight="1">
      <c r="A481" t="s">
        <v>3719</v>
      </c>
      <c r="B481">
        <v>1982</v>
      </c>
      <c r="C481" t="s">
        <v>4711</v>
      </c>
      <c r="D481">
        <v>29</v>
      </c>
      <c r="E481">
        <v>3</v>
      </c>
      <c r="F481" s="16">
        <v>4392.7</v>
      </c>
      <c r="G481" t="s">
        <v>4699</v>
      </c>
      <c r="H481" t="s">
        <v>4699</v>
      </c>
      <c r="I481" t="s">
        <v>4709</v>
      </c>
      <c r="J481" s="17">
        <f t="shared" si="14"/>
        <v>30131</v>
      </c>
      <c r="K481">
        <f t="shared" ca="1" si="15"/>
        <v>43</v>
      </c>
    </row>
    <row r="482" spans="1:11" ht="15.75" customHeight="1">
      <c r="A482" t="s">
        <v>3717</v>
      </c>
      <c r="B482">
        <v>1988</v>
      </c>
      <c r="C482" t="s">
        <v>4708</v>
      </c>
      <c r="D482">
        <v>18</v>
      </c>
      <c r="E482">
        <v>3</v>
      </c>
      <c r="F482" s="16">
        <v>4397.3100000000004</v>
      </c>
      <c r="G482" t="s">
        <v>4699</v>
      </c>
      <c r="H482" t="s">
        <v>4699</v>
      </c>
      <c r="I482" t="s">
        <v>4709</v>
      </c>
      <c r="J482" s="17">
        <f t="shared" si="14"/>
        <v>32342</v>
      </c>
      <c r="K482">
        <f t="shared" ca="1" si="15"/>
        <v>37</v>
      </c>
    </row>
    <row r="483" spans="1:11" ht="15.75" customHeight="1">
      <c r="A483" t="s">
        <v>3715</v>
      </c>
      <c r="B483">
        <v>1986</v>
      </c>
      <c r="C483" t="s">
        <v>4716</v>
      </c>
      <c r="D483">
        <v>11</v>
      </c>
      <c r="E483">
        <v>0</v>
      </c>
      <c r="F483" s="16">
        <v>4399.7299999999996</v>
      </c>
      <c r="G483" t="s">
        <v>4700</v>
      </c>
      <c r="H483" t="s">
        <v>4699</v>
      </c>
      <c r="I483" t="s">
        <v>4709</v>
      </c>
      <c r="J483" s="17">
        <f t="shared" si="14"/>
        <v>31635</v>
      </c>
      <c r="K483">
        <f t="shared" ca="1" si="15"/>
        <v>39</v>
      </c>
    </row>
    <row r="484" spans="1:11" ht="15.75" customHeight="1">
      <c r="A484" t="s">
        <v>3713</v>
      </c>
      <c r="B484">
        <v>1986</v>
      </c>
      <c r="C484" t="s">
        <v>4708</v>
      </c>
      <c r="D484">
        <v>13</v>
      </c>
      <c r="E484">
        <v>0</v>
      </c>
      <c r="F484" s="16">
        <v>4402.2299999999996</v>
      </c>
      <c r="G484" t="s">
        <v>4699</v>
      </c>
      <c r="H484" t="s">
        <v>4699</v>
      </c>
      <c r="I484" t="s">
        <v>4718</v>
      </c>
      <c r="J484" s="17">
        <f t="shared" si="14"/>
        <v>31606</v>
      </c>
      <c r="K484">
        <f t="shared" ca="1" si="15"/>
        <v>39</v>
      </c>
    </row>
    <row r="485" spans="1:11" ht="15.75" customHeight="1">
      <c r="A485" t="s">
        <v>3711</v>
      </c>
      <c r="B485">
        <v>1988</v>
      </c>
      <c r="C485" t="s">
        <v>4712</v>
      </c>
      <c r="D485">
        <v>16</v>
      </c>
      <c r="E485">
        <v>0</v>
      </c>
      <c r="F485" s="16">
        <v>4415.16</v>
      </c>
      <c r="G485" t="s">
        <v>4699</v>
      </c>
      <c r="H485" t="s">
        <v>4698</v>
      </c>
      <c r="I485" t="s">
        <v>4709</v>
      </c>
      <c r="J485" s="17">
        <f t="shared" si="14"/>
        <v>32402</v>
      </c>
      <c r="K485">
        <f t="shared" ca="1" si="15"/>
        <v>37</v>
      </c>
    </row>
    <row r="486" spans="1:11" ht="15.75" customHeight="1">
      <c r="A486" t="s">
        <v>3709</v>
      </c>
      <c r="B486">
        <v>1992</v>
      </c>
      <c r="C486" t="s">
        <v>4716</v>
      </c>
      <c r="D486">
        <v>15</v>
      </c>
      <c r="E486">
        <v>0</v>
      </c>
      <c r="F486" s="16">
        <v>4420.95</v>
      </c>
      <c r="G486" t="s">
        <v>4699</v>
      </c>
      <c r="H486" t="s">
        <v>4700</v>
      </c>
      <c r="I486" t="s">
        <v>4729</v>
      </c>
      <c r="J486" s="17">
        <f t="shared" si="14"/>
        <v>33831</v>
      </c>
      <c r="K486">
        <f t="shared" ca="1" si="15"/>
        <v>33</v>
      </c>
    </row>
    <row r="487" spans="1:11" ht="15.75" customHeight="1">
      <c r="A487" t="s">
        <v>3707</v>
      </c>
      <c r="B487">
        <v>1994</v>
      </c>
      <c r="C487" t="s">
        <v>4714</v>
      </c>
      <c r="D487">
        <v>29</v>
      </c>
      <c r="E487">
        <v>2</v>
      </c>
      <c r="F487" s="16">
        <v>4428.8900000000003</v>
      </c>
      <c r="G487" t="s">
        <v>4700</v>
      </c>
      <c r="H487" t="s">
        <v>4698</v>
      </c>
      <c r="I487" t="s">
        <v>4728</v>
      </c>
      <c r="J487" s="17">
        <f t="shared" si="14"/>
        <v>34697</v>
      </c>
      <c r="K487">
        <f t="shared" ca="1" si="15"/>
        <v>30</v>
      </c>
    </row>
    <row r="488" spans="1:11" ht="15.75" customHeight="1">
      <c r="A488" t="s">
        <v>3705</v>
      </c>
      <c r="B488">
        <v>1993</v>
      </c>
      <c r="C488" t="s">
        <v>4712</v>
      </c>
      <c r="D488">
        <v>4</v>
      </c>
      <c r="E488">
        <v>2</v>
      </c>
      <c r="F488" s="16">
        <v>4433.3900000000003</v>
      </c>
      <c r="G488" t="s">
        <v>4699</v>
      </c>
      <c r="H488" t="s">
        <v>4700</v>
      </c>
      <c r="I488" t="s">
        <v>4713</v>
      </c>
      <c r="J488" s="17">
        <f t="shared" si="14"/>
        <v>34216</v>
      </c>
      <c r="K488">
        <f t="shared" ca="1" si="15"/>
        <v>32</v>
      </c>
    </row>
    <row r="489" spans="1:11" ht="15.75" customHeight="1">
      <c r="A489" t="s">
        <v>3703</v>
      </c>
      <c r="B489">
        <v>1993</v>
      </c>
      <c r="C489" t="s">
        <v>4714</v>
      </c>
      <c r="D489">
        <v>23</v>
      </c>
      <c r="E489">
        <v>2</v>
      </c>
      <c r="F489" s="16">
        <v>4433.92</v>
      </c>
      <c r="G489" t="s">
        <v>4699</v>
      </c>
      <c r="H489" t="s">
        <v>4699</v>
      </c>
      <c r="I489" t="s">
        <v>4713</v>
      </c>
      <c r="J489" s="17">
        <f t="shared" si="14"/>
        <v>34326</v>
      </c>
      <c r="K489">
        <f t="shared" ca="1" si="15"/>
        <v>31</v>
      </c>
    </row>
    <row r="490" spans="1:11" ht="15.75" customHeight="1">
      <c r="A490" t="s">
        <v>3701</v>
      </c>
      <c r="B490">
        <v>1994</v>
      </c>
      <c r="C490" t="s">
        <v>4717</v>
      </c>
      <c r="D490">
        <v>8</v>
      </c>
      <c r="E490">
        <v>2</v>
      </c>
      <c r="F490" s="16">
        <v>4435.09</v>
      </c>
      <c r="G490" t="s">
        <v>4700</v>
      </c>
      <c r="H490" t="s">
        <v>4699</v>
      </c>
      <c r="I490" t="s">
        <v>4721</v>
      </c>
      <c r="J490" s="17">
        <f t="shared" si="14"/>
        <v>34615</v>
      </c>
      <c r="K490">
        <f t="shared" ca="1" si="15"/>
        <v>31</v>
      </c>
    </row>
    <row r="491" spans="1:11" ht="15.75" customHeight="1">
      <c r="A491" t="s">
        <v>3699</v>
      </c>
      <c r="B491">
        <v>1994</v>
      </c>
      <c r="C491" t="s">
        <v>4717</v>
      </c>
      <c r="D491">
        <v>24</v>
      </c>
      <c r="E491">
        <v>2</v>
      </c>
      <c r="F491" s="16">
        <v>4438.26</v>
      </c>
      <c r="G491" t="s">
        <v>4699</v>
      </c>
      <c r="H491" t="s">
        <v>4700</v>
      </c>
      <c r="I491" t="s">
        <v>4728</v>
      </c>
      <c r="J491" s="17">
        <f t="shared" si="14"/>
        <v>34631</v>
      </c>
      <c r="K491">
        <f t="shared" ca="1" si="15"/>
        <v>31</v>
      </c>
    </row>
    <row r="492" spans="1:11" ht="15.75" customHeight="1">
      <c r="A492" t="s">
        <v>3697</v>
      </c>
      <c r="B492">
        <v>1991</v>
      </c>
      <c r="C492" t="s">
        <v>4712</v>
      </c>
      <c r="D492">
        <v>3</v>
      </c>
      <c r="E492">
        <v>1</v>
      </c>
      <c r="F492" s="16">
        <v>4441.21</v>
      </c>
      <c r="G492" t="s">
        <v>4698</v>
      </c>
      <c r="H492" t="s">
        <v>4699</v>
      </c>
      <c r="I492" t="s">
        <v>4726</v>
      </c>
      <c r="J492" s="17">
        <f t="shared" si="14"/>
        <v>33484</v>
      </c>
      <c r="K492">
        <f t="shared" ca="1" si="15"/>
        <v>34</v>
      </c>
    </row>
    <row r="493" spans="1:11" ht="15.75" customHeight="1">
      <c r="A493" t="s">
        <v>3695</v>
      </c>
      <c r="B493">
        <v>1994</v>
      </c>
      <c r="C493" t="s">
        <v>4711</v>
      </c>
      <c r="D493">
        <v>28</v>
      </c>
      <c r="E493">
        <v>3</v>
      </c>
      <c r="F493" s="16">
        <v>4449.46</v>
      </c>
      <c r="G493" t="s">
        <v>4698</v>
      </c>
      <c r="H493" t="s">
        <v>4699</v>
      </c>
      <c r="I493" t="s">
        <v>4709</v>
      </c>
      <c r="J493" s="17">
        <f t="shared" si="14"/>
        <v>34513</v>
      </c>
      <c r="K493">
        <f t="shared" ca="1" si="15"/>
        <v>31</v>
      </c>
    </row>
    <row r="494" spans="1:11" ht="15.75" customHeight="1">
      <c r="A494" t="s">
        <v>3693</v>
      </c>
      <c r="B494">
        <v>1990</v>
      </c>
      <c r="C494" t="s">
        <v>4716</v>
      </c>
      <c r="D494">
        <v>8</v>
      </c>
      <c r="E494">
        <v>1</v>
      </c>
      <c r="F494" s="16">
        <v>4454.3999999999996</v>
      </c>
      <c r="G494" t="s">
        <v>4699</v>
      </c>
      <c r="H494" t="s">
        <v>4700</v>
      </c>
      <c r="I494" t="s">
        <v>4713</v>
      </c>
      <c r="J494" s="17">
        <f t="shared" si="14"/>
        <v>33093</v>
      </c>
      <c r="K494">
        <f t="shared" ca="1" si="15"/>
        <v>35</v>
      </c>
    </row>
    <row r="495" spans="1:11" ht="15.75" customHeight="1">
      <c r="A495" t="s">
        <v>3691</v>
      </c>
      <c r="B495">
        <v>1990</v>
      </c>
      <c r="C495" t="s">
        <v>4708</v>
      </c>
      <c r="D495">
        <v>15</v>
      </c>
      <c r="E495">
        <v>1</v>
      </c>
      <c r="F495" s="16">
        <v>4462.72</v>
      </c>
      <c r="G495" t="s">
        <v>4699</v>
      </c>
      <c r="H495" t="s">
        <v>4700</v>
      </c>
      <c r="I495" t="s">
        <v>4713</v>
      </c>
      <c r="J495" s="17">
        <f t="shared" si="14"/>
        <v>33069</v>
      </c>
      <c r="K495">
        <f t="shared" ca="1" si="15"/>
        <v>35</v>
      </c>
    </row>
    <row r="496" spans="1:11" ht="15.75" customHeight="1">
      <c r="A496" t="s">
        <v>3689</v>
      </c>
      <c r="B496">
        <v>1991</v>
      </c>
      <c r="C496" t="s">
        <v>4708</v>
      </c>
      <c r="D496">
        <v>4</v>
      </c>
      <c r="E496">
        <v>2</v>
      </c>
      <c r="F496" s="16">
        <v>4463.21</v>
      </c>
      <c r="G496" t="s">
        <v>4700</v>
      </c>
      <c r="H496" t="s">
        <v>4700</v>
      </c>
      <c r="I496" t="s">
        <v>4709</v>
      </c>
      <c r="J496" s="17">
        <f t="shared" si="14"/>
        <v>33423</v>
      </c>
      <c r="K496">
        <f t="shared" ca="1" si="15"/>
        <v>34</v>
      </c>
    </row>
    <row r="497" spans="1:11" ht="15.75" customHeight="1">
      <c r="A497" t="s">
        <v>3687</v>
      </c>
      <c r="B497">
        <v>1999</v>
      </c>
      <c r="C497" t="s">
        <v>4710</v>
      </c>
      <c r="D497">
        <v>20</v>
      </c>
      <c r="E497">
        <v>3</v>
      </c>
      <c r="F497" s="16">
        <v>4466.62</v>
      </c>
      <c r="G497" t="s">
        <v>4699</v>
      </c>
      <c r="H497" t="s">
        <v>4699</v>
      </c>
      <c r="I497" t="s">
        <v>4713</v>
      </c>
      <c r="J497" s="17">
        <f t="shared" si="14"/>
        <v>36484</v>
      </c>
      <c r="K497">
        <f t="shared" ca="1" si="15"/>
        <v>26</v>
      </c>
    </row>
    <row r="498" spans="1:11" ht="15.75" customHeight="1">
      <c r="A498" t="s">
        <v>3685</v>
      </c>
      <c r="B498">
        <v>2004</v>
      </c>
      <c r="C498" t="s">
        <v>4708</v>
      </c>
      <c r="D498">
        <v>18</v>
      </c>
      <c r="E498">
        <v>0</v>
      </c>
      <c r="F498" s="16">
        <v>4468.25</v>
      </c>
      <c r="G498" t="s">
        <v>4699</v>
      </c>
      <c r="H498" t="s">
        <v>4699</v>
      </c>
      <c r="I498" t="s">
        <v>4713</v>
      </c>
      <c r="J498" s="17">
        <f t="shared" si="14"/>
        <v>38186</v>
      </c>
      <c r="K498">
        <f t="shared" ca="1" si="15"/>
        <v>21</v>
      </c>
    </row>
    <row r="499" spans="1:11" ht="15.75" customHeight="1">
      <c r="A499" t="s">
        <v>3683</v>
      </c>
      <c r="B499">
        <v>1992</v>
      </c>
      <c r="C499" t="s">
        <v>4708</v>
      </c>
      <c r="D499">
        <v>12</v>
      </c>
      <c r="E499">
        <v>0</v>
      </c>
      <c r="F499" s="16">
        <v>4488.58</v>
      </c>
      <c r="G499" t="s">
        <v>4699</v>
      </c>
      <c r="H499" t="s">
        <v>4700</v>
      </c>
      <c r="I499" t="s">
        <v>4713</v>
      </c>
      <c r="J499" s="17">
        <f t="shared" si="14"/>
        <v>33797</v>
      </c>
      <c r="K499">
        <f t="shared" ca="1" si="15"/>
        <v>33</v>
      </c>
    </row>
    <row r="500" spans="1:11" ht="15.75" customHeight="1">
      <c r="A500" t="s">
        <v>3681</v>
      </c>
      <c r="B500">
        <v>1988</v>
      </c>
      <c r="C500" t="s">
        <v>4711</v>
      </c>
      <c r="D500">
        <v>26</v>
      </c>
      <c r="E500">
        <v>0</v>
      </c>
      <c r="F500" s="16">
        <v>4500.34</v>
      </c>
      <c r="G500" t="s">
        <v>4699</v>
      </c>
      <c r="H500" t="s">
        <v>4698</v>
      </c>
      <c r="I500" t="s">
        <v>4728</v>
      </c>
      <c r="J500" s="17">
        <f t="shared" si="14"/>
        <v>32320</v>
      </c>
      <c r="K500">
        <f t="shared" ca="1" si="15"/>
        <v>37</v>
      </c>
    </row>
    <row r="501" spans="1:11" ht="15.75" customHeight="1">
      <c r="A501" t="s">
        <v>3679</v>
      </c>
      <c r="B501">
        <v>1997</v>
      </c>
      <c r="C501" t="s">
        <v>4717</v>
      </c>
      <c r="D501">
        <v>13</v>
      </c>
      <c r="E501">
        <v>4</v>
      </c>
      <c r="F501" s="16">
        <v>4504.66</v>
      </c>
      <c r="G501" t="s">
        <v>4698</v>
      </c>
      <c r="H501" t="s">
        <v>4699</v>
      </c>
      <c r="I501" t="s">
        <v>4709</v>
      </c>
      <c r="J501" s="17">
        <f t="shared" si="14"/>
        <v>35716</v>
      </c>
      <c r="K501">
        <f t="shared" ca="1" si="15"/>
        <v>28</v>
      </c>
    </row>
    <row r="502" spans="1:11" ht="15.75" customHeight="1">
      <c r="A502" t="s">
        <v>3677</v>
      </c>
      <c r="B502">
        <v>1982</v>
      </c>
      <c r="C502" t="s">
        <v>4712</v>
      </c>
      <c r="D502">
        <v>27</v>
      </c>
      <c r="E502">
        <v>3</v>
      </c>
      <c r="F502" s="16">
        <v>4511.41</v>
      </c>
      <c r="G502" t="s">
        <v>4699</v>
      </c>
      <c r="H502" t="s">
        <v>4700</v>
      </c>
      <c r="I502" t="s">
        <v>4709</v>
      </c>
      <c r="J502" s="17">
        <f t="shared" si="14"/>
        <v>30221</v>
      </c>
      <c r="K502">
        <f t="shared" ca="1" si="15"/>
        <v>43</v>
      </c>
    </row>
    <row r="503" spans="1:11" ht="15.75" customHeight="1">
      <c r="A503" t="s">
        <v>3675</v>
      </c>
      <c r="B503">
        <v>1980</v>
      </c>
      <c r="C503" t="s">
        <v>4711</v>
      </c>
      <c r="D503">
        <v>16</v>
      </c>
      <c r="E503">
        <v>2</v>
      </c>
      <c r="F503" s="16">
        <v>4515.71</v>
      </c>
      <c r="G503" t="s">
        <v>4699</v>
      </c>
      <c r="H503" t="s">
        <v>4700</v>
      </c>
      <c r="I503" t="s">
        <v>4709</v>
      </c>
      <c r="J503" s="17">
        <f t="shared" si="14"/>
        <v>29388</v>
      </c>
      <c r="K503">
        <f t="shared" ca="1" si="15"/>
        <v>45</v>
      </c>
    </row>
    <row r="504" spans="1:11" ht="15.75" customHeight="1">
      <c r="A504" t="s">
        <v>3673</v>
      </c>
      <c r="B504">
        <v>2003</v>
      </c>
      <c r="C504" t="s">
        <v>4717</v>
      </c>
      <c r="D504">
        <v>2</v>
      </c>
      <c r="E504">
        <v>0</v>
      </c>
      <c r="F504" s="16">
        <v>4518.3999999999996</v>
      </c>
      <c r="G504" t="s">
        <v>4699</v>
      </c>
      <c r="H504" t="s">
        <v>4700</v>
      </c>
      <c r="I504" t="s">
        <v>4730</v>
      </c>
      <c r="J504" s="17">
        <f t="shared" si="14"/>
        <v>37896</v>
      </c>
      <c r="K504">
        <f t="shared" ca="1" si="15"/>
        <v>22</v>
      </c>
    </row>
    <row r="505" spans="1:11" ht="15.75" customHeight="1">
      <c r="A505" t="s">
        <v>3671</v>
      </c>
      <c r="B505">
        <v>1987</v>
      </c>
      <c r="C505" t="s">
        <v>4714</v>
      </c>
      <c r="D505">
        <v>5</v>
      </c>
      <c r="E505">
        <v>3</v>
      </c>
      <c r="F505" s="16">
        <v>4518.7700000000004</v>
      </c>
      <c r="G505" t="s">
        <v>4699</v>
      </c>
      <c r="H505" t="s">
        <v>4700</v>
      </c>
      <c r="I505" t="s">
        <v>4713</v>
      </c>
      <c r="J505" s="17">
        <f t="shared" si="14"/>
        <v>32116</v>
      </c>
      <c r="K505">
        <f t="shared" ca="1" si="15"/>
        <v>37</v>
      </c>
    </row>
    <row r="506" spans="1:11" ht="15.75" customHeight="1">
      <c r="A506" t="s">
        <v>3669</v>
      </c>
      <c r="B506">
        <v>1988</v>
      </c>
      <c r="C506" t="s">
        <v>4714</v>
      </c>
      <c r="D506">
        <v>21</v>
      </c>
      <c r="E506">
        <v>0</v>
      </c>
      <c r="F506" s="16">
        <v>4518.83</v>
      </c>
      <c r="G506" t="s">
        <v>4699</v>
      </c>
      <c r="H506" t="s">
        <v>4699</v>
      </c>
      <c r="I506" t="s">
        <v>4728</v>
      </c>
      <c r="J506" s="17">
        <f t="shared" si="14"/>
        <v>32498</v>
      </c>
      <c r="K506">
        <f t="shared" ca="1" si="15"/>
        <v>36</v>
      </c>
    </row>
    <row r="507" spans="1:11" ht="15.75" customHeight="1">
      <c r="A507" t="s">
        <v>3667</v>
      </c>
      <c r="B507">
        <v>1992</v>
      </c>
      <c r="C507" t="s">
        <v>4716</v>
      </c>
      <c r="D507">
        <v>13</v>
      </c>
      <c r="E507">
        <v>1</v>
      </c>
      <c r="F507" s="16">
        <v>4527.18</v>
      </c>
      <c r="G507" t="s">
        <v>4699</v>
      </c>
      <c r="H507" t="s">
        <v>4699</v>
      </c>
      <c r="I507" t="s">
        <v>4713</v>
      </c>
      <c r="J507" s="17">
        <f t="shared" si="14"/>
        <v>33829</v>
      </c>
      <c r="K507">
        <f t="shared" ca="1" si="15"/>
        <v>33</v>
      </c>
    </row>
    <row r="508" spans="1:11" ht="15.75" customHeight="1">
      <c r="A508" t="s">
        <v>3665</v>
      </c>
      <c r="B508">
        <v>1993</v>
      </c>
      <c r="C508" t="s">
        <v>4711</v>
      </c>
      <c r="D508">
        <v>29</v>
      </c>
      <c r="E508">
        <v>2</v>
      </c>
      <c r="F508" s="16">
        <v>4529.4799999999996</v>
      </c>
      <c r="G508" t="s">
        <v>4699</v>
      </c>
      <c r="H508" t="s">
        <v>4698</v>
      </c>
      <c r="I508" t="s">
        <v>4718</v>
      </c>
      <c r="J508" s="17">
        <f t="shared" si="14"/>
        <v>34149</v>
      </c>
      <c r="K508">
        <f t="shared" ca="1" si="15"/>
        <v>32</v>
      </c>
    </row>
    <row r="509" spans="1:11" ht="15.75" customHeight="1">
      <c r="A509" t="s">
        <v>3663</v>
      </c>
      <c r="B509">
        <v>1988</v>
      </c>
      <c r="C509" t="s">
        <v>4711</v>
      </c>
      <c r="D509">
        <v>13</v>
      </c>
      <c r="E509">
        <v>1</v>
      </c>
      <c r="F509" s="16">
        <v>4536.26</v>
      </c>
      <c r="G509" t="s">
        <v>4699</v>
      </c>
      <c r="H509" t="s">
        <v>4699</v>
      </c>
      <c r="I509" t="s">
        <v>4718</v>
      </c>
      <c r="J509" s="17">
        <f t="shared" si="14"/>
        <v>32307</v>
      </c>
      <c r="K509">
        <f t="shared" ca="1" si="15"/>
        <v>37</v>
      </c>
    </row>
    <row r="510" spans="1:11" ht="15.75" customHeight="1">
      <c r="A510" t="s">
        <v>3661</v>
      </c>
      <c r="B510">
        <v>1990</v>
      </c>
      <c r="C510" t="s">
        <v>4710</v>
      </c>
      <c r="D510">
        <v>17</v>
      </c>
      <c r="E510">
        <v>0</v>
      </c>
      <c r="F510" s="16">
        <v>4544.2299999999996</v>
      </c>
      <c r="G510" t="s">
        <v>4699</v>
      </c>
      <c r="H510" t="s">
        <v>4698</v>
      </c>
      <c r="I510" t="s">
        <v>4724</v>
      </c>
      <c r="J510" s="17">
        <f t="shared" si="14"/>
        <v>33194</v>
      </c>
      <c r="K510">
        <f t="shared" ca="1" si="15"/>
        <v>35</v>
      </c>
    </row>
    <row r="511" spans="1:11" ht="15.75" customHeight="1">
      <c r="A511" t="s">
        <v>3659</v>
      </c>
      <c r="B511">
        <v>2004</v>
      </c>
      <c r="C511" t="s">
        <v>4714</v>
      </c>
      <c r="D511">
        <v>22</v>
      </c>
      <c r="E511">
        <v>4</v>
      </c>
      <c r="F511" s="16">
        <v>4561.1899999999996</v>
      </c>
      <c r="G511" t="s">
        <v>4699</v>
      </c>
      <c r="H511" t="s">
        <v>4699</v>
      </c>
      <c r="I511" t="s">
        <v>4724</v>
      </c>
      <c r="J511" s="17">
        <f t="shared" si="14"/>
        <v>38343</v>
      </c>
      <c r="K511">
        <f t="shared" ca="1" si="15"/>
        <v>20</v>
      </c>
    </row>
    <row r="512" spans="1:11" ht="15.75" customHeight="1">
      <c r="A512" t="s">
        <v>3657</v>
      </c>
      <c r="B512">
        <v>1990</v>
      </c>
      <c r="C512" t="s">
        <v>4712</v>
      </c>
      <c r="D512">
        <v>20</v>
      </c>
      <c r="E512">
        <v>1</v>
      </c>
      <c r="F512" s="16">
        <v>4562.84</v>
      </c>
      <c r="G512" t="s">
        <v>4699</v>
      </c>
      <c r="H512" t="s">
        <v>4699</v>
      </c>
      <c r="I512" t="s">
        <v>4709</v>
      </c>
      <c r="J512" s="17">
        <f t="shared" si="14"/>
        <v>33136</v>
      </c>
      <c r="K512">
        <f t="shared" ca="1" si="15"/>
        <v>35</v>
      </c>
    </row>
    <row r="513" spans="1:11" ht="15.75" customHeight="1">
      <c r="A513" t="s">
        <v>3655</v>
      </c>
      <c r="B513">
        <v>1996</v>
      </c>
      <c r="C513" t="s">
        <v>4714</v>
      </c>
      <c r="D513">
        <v>25</v>
      </c>
      <c r="E513">
        <v>2</v>
      </c>
      <c r="F513" s="16">
        <v>4564.1899999999996</v>
      </c>
      <c r="G513" t="s">
        <v>4699</v>
      </c>
      <c r="H513" t="s">
        <v>4699</v>
      </c>
      <c r="I513" t="s">
        <v>4724</v>
      </c>
      <c r="J513" s="17">
        <f t="shared" si="14"/>
        <v>35424</v>
      </c>
      <c r="K513">
        <f t="shared" ca="1" si="15"/>
        <v>28</v>
      </c>
    </row>
    <row r="514" spans="1:11" ht="15.75" customHeight="1">
      <c r="A514" t="s">
        <v>3653</v>
      </c>
      <c r="B514">
        <v>1989</v>
      </c>
      <c r="C514" t="s">
        <v>4712</v>
      </c>
      <c r="D514">
        <v>18</v>
      </c>
      <c r="E514">
        <v>0</v>
      </c>
      <c r="F514" s="16">
        <v>4571.41</v>
      </c>
      <c r="G514" t="s">
        <v>4699</v>
      </c>
      <c r="H514" t="s">
        <v>4699</v>
      </c>
      <c r="I514" t="s">
        <v>4713</v>
      </c>
      <c r="J514" s="17">
        <f t="shared" si="14"/>
        <v>32769</v>
      </c>
      <c r="K514">
        <f t="shared" ca="1" si="15"/>
        <v>36</v>
      </c>
    </row>
    <row r="515" spans="1:11" ht="15.75" customHeight="1">
      <c r="A515" t="s">
        <v>3651</v>
      </c>
      <c r="B515">
        <v>2000</v>
      </c>
      <c r="C515" t="s">
        <v>4708</v>
      </c>
      <c r="D515">
        <v>2</v>
      </c>
      <c r="E515">
        <v>0</v>
      </c>
      <c r="F515" s="16">
        <v>4608.03</v>
      </c>
      <c r="G515" t="s">
        <v>4699</v>
      </c>
      <c r="H515" t="s">
        <v>4700</v>
      </c>
      <c r="I515" t="s">
        <v>4718</v>
      </c>
      <c r="J515" s="17">
        <f t="shared" ref="J515:J578" si="16">DATEVALUE(D515&amp;"-"&amp;C515&amp;" -"&amp;B515)</f>
        <v>36709</v>
      </c>
      <c r="K515">
        <f t="shared" ref="K515:K578" ca="1" si="17">DATEDIF(J515,TODAY(),"Y")</f>
        <v>25</v>
      </c>
    </row>
    <row r="516" spans="1:11" ht="15.75" customHeight="1">
      <c r="A516" t="s">
        <v>3649</v>
      </c>
      <c r="B516">
        <v>1998</v>
      </c>
      <c r="C516" t="s">
        <v>4711</v>
      </c>
      <c r="D516">
        <v>29</v>
      </c>
      <c r="E516">
        <v>3</v>
      </c>
      <c r="F516" s="16">
        <v>4618.08</v>
      </c>
      <c r="G516" t="s">
        <v>4699</v>
      </c>
      <c r="H516" t="s">
        <v>4698</v>
      </c>
      <c r="I516" t="s">
        <v>4713</v>
      </c>
      <c r="J516" s="17">
        <f t="shared" si="16"/>
        <v>35975</v>
      </c>
      <c r="K516">
        <f t="shared" ca="1" si="17"/>
        <v>27</v>
      </c>
    </row>
    <row r="517" spans="1:11" ht="15.75" customHeight="1">
      <c r="A517" t="s">
        <v>3647</v>
      </c>
      <c r="B517">
        <v>1985</v>
      </c>
      <c r="C517" t="s">
        <v>4711</v>
      </c>
      <c r="D517">
        <v>22</v>
      </c>
      <c r="E517">
        <v>0</v>
      </c>
      <c r="F517" s="16">
        <v>4646.76</v>
      </c>
      <c r="G517" t="s">
        <v>4698</v>
      </c>
      <c r="H517" t="s">
        <v>4698</v>
      </c>
      <c r="I517" t="s">
        <v>4718</v>
      </c>
      <c r="J517" s="17">
        <f t="shared" si="16"/>
        <v>31220</v>
      </c>
      <c r="K517">
        <f t="shared" ca="1" si="17"/>
        <v>40</v>
      </c>
    </row>
    <row r="518" spans="1:11" ht="15.75" customHeight="1">
      <c r="A518" t="s">
        <v>3645</v>
      </c>
      <c r="B518">
        <v>1996</v>
      </c>
      <c r="C518" t="s">
        <v>4717</v>
      </c>
      <c r="D518">
        <v>25</v>
      </c>
      <c r="E518">
        <v>3</v>
      </c>
      <c r="F518" s="16">
        <v>4661.29</v>
      </c>
      <c r="G518" t="s">
        <v>4699</v>
      </c>
      <c r="H518" t="s">
        <v>4698</v>
      </c>
      <c r="I518" t="s">
        <v>4728</v>
      </c>
      <c r="J518" s="17">
        <f t="shared" si="16"/>
        <v>35363</v>
      </c>
      <c r="K518">
        <f t="shared" ca="1" si="17"/>
        <v>29</v>
      </c>
    </row>
    <row r="519" spans="1:11" ht="15.75" customHeight="1">
      <c r="A519" t="s">
        <v>3643</v>
      </c>
      <c r="B519">
        <v>1990</v>
      </c>
      <c r="C519" t="s">
        <v>4716</v>
      </c>
      <c r="D519">
        <v>5</v>
      </c>
      <c r="E519">
        <v>1</v>
      </c>
      <c r="F519" s="16">
        <v>4667.6099999999997</v>
      </c>
      <c r="G519" t="s">
        <v>4700</v>
      </c>
      <c r="H519" t="s">
        <v>4700</v>
      </c>
      <c r="I519" t="s">
        <v>4721</v>
      </c>
      <c r="J519" s="17">
        <f t="shared" si="16"/>
        <v>33090</v>
      </c>
      <c r="K519">
        <f t="shared" ca="1" si="17"/>
        <v>35</v>
      </c>
    </row>
    <row r="520" spans="1:11" ht="15.75" customHeight="1">
      <c r="A520" t="s">
        <v>3641</v>
      </c>
      <c r="B520">
        <v>1990</v>
      </c>
      <c r="C520" t="s">
        <v>4712</v>
      </c>
      <c r="D520">
        <v>26</v>
      </c>
      <c r="E520">
        <v>2</v>
      </c>
      <c r="F520" s="16">
        <v>4670.6400000000003</v>
      </c>
      <c r="G520" t="s">
        <v>4699</v>
      </c>
      <c r="H520" t="s">
        <v>4699</v>
      </c>
      <c r="I520" t="s">
        <v>4718</v>
      </c>
      <c r="J520" s="17">
        <f t="shared" si="16"/>
        <v>33142</v>
      </c>
      <c r="K520">
        <f t="shared" ca="1" si="17"/>
        <v>35</v>
      </c>
    </row>
    <row r="521" spans="1:11" ht="15.75" customHeight="1">
      <c r="A521" t="s">
        <v>3639</v>
      </c>
      <c r="B521">
        <v>1990</v>
      </c>
      <c r="C521" t="s">
        <v>4708</v>
      </c>
      <c r="D521">
        <v>13</v>
      </c>
      <c r="E521">
        <v>2</v>
      </c>
      <c r="F521" s="16">
        <v>4673.3900000000003</v>
      </c>
      <c r="G521" t="s">
        <v>4699</v>
      </c>
      <c r="H521" t="s">
        <v>4698</v>
      </c>
      <c r="I521" t="s">
        <v>4709</v>
      </c>
      <c r="J521" s="17">
        <f t="shared" si="16"/>
        <v>33067</v>
      </c>
      <c r="K521">
        <f t="shared" ca="1" si="17"/>
        <v>35</v>
      </c>
    </row>
    <row r="522" spans="1:11" ht="15.75" customHeight="1">
      <c r="A522" t="s">
        <v>3637</v>
      </c>
      <c r="B522">
        <v>1979</v>
      </c>
      <c r="C522" t="s">
        <v>4717</v>
      </c>
      <c r="D522">
        <v>18</v>
      </c>
      <c r="E522">
        <v>2</v>
      </c>
      <c r="F522" s="16">
        <v>4674.2</v>
      </c>
      <c r="G522" t="s">
        <v>4699</v>
      </c>
      <c r="H522" t="s">
        <v>4698</v>
      </c>
      <c r="I522" t="s">
        <v>4709</v>
      </c>
      <c r="J522" s="17">
        <f t="shared" si="16"/>
        <v>29146</v>
      </c>
      <c r="K522">
        <f t="shared" ca="1" si="17"/>
        <v>46</v>
      </c>
    </row>
    <row r="523" spans="1:11" ht="15.75" customHeight="1">
      <c r="A523" t="s">
        <v>3635</v>
      </c>
      <c r="B523">
        <v>2003</v>
      </c>
      <c r="C523" t="s">
        <v>4717</v>
      </c>
      <c r="D523">
        <v>4</v>
      </c>
      <c r="E523">
        <v>0</v>
      </c>
      <c r="F523" s="16">
        <v>4678.8</v>
      </c>
      <c r="G523" t="s">
        <v>4699</v>
      </c>
      <c r="H523" t="s">
        <v>4698</v>
      </c>
      <c r="I523" t="s">
        <v>4727</v>
      </c>
      <c r="J523" s="17">
        <f t="shared" si="16"/>
        <v>37898</v>
      </c>
      <c r="K523">
        <f t="shared" ca="1" si="17"/>
        <v>22</v>
      </c>
    </row>
    <row r="524" spans="1:11" ht="15.75" customHeight="1">
      <c r="A524" t="s">
        <v>3633</v>
      </c>
      <c r="B524">
        <v>1990</v>
      </c>
      <c r="C524" t="s">
        <v>4712</v>
      </c>
      <c r="D524">
        <v>4</v>
      </c>
      <c r="E524">
        <v>2</v>
      </c>
      <c r="F524" s="16">
        <v>4686.3900000000003</v>
      </c>
      <c r="G524" t="s">
        <v>4700</v>
      </c>
      <c r="H524" t="s">
        <v>4700</v>
      </c>
      <c r="I524" t="s">
        <v>4709</v>
      </c>
      <c r="J524" s="17">
        <f t="shared" si="16"/>
        <v>33120</v>
      </c>
      <c r="K524">
        <f t="shared" ca="1" si="17"/>
        <v>35</v>
      </c>
    </row>
    <row r="525" spans="1:11" ht="15.75" customHeight="1">
      <c r="A525" t="s">
        <v>3631</v>
      </c>
      <c r="B525">
        <v>2003</v>
      </c>
      <c r="C525" t="s">
        <v>4711</v>
      </c>
      <c r="D525">
        <v>22</v>
      </c>
      <c r="E525">
        <v>5</v>
      </c>
      <c r="F525" s="16">
        <v>4687.8</v>
      </c>
      <c r="G525" t="s">
        <v>4699</v>
      </c>
      <c r="H525" t="s">
        <v>4700</v>
      </c>
      <c r="I525" t="s">
        <v>4718</v>
      </c>
      <c r="J525" s="17">
        <f t="shared" si="16"/>
        <v>37794</v>
      </c>
      <c r="K525">
        <f t="shared" ca="1" si="17"/>
        <v>22</v>
      </c>
    </row>
    <row r="526" spans="1:11" ht="15.75" customHeight="1">
      <c r="A526" t="s">
        <v>3629</v>
      </c>
      <c r="B526">
        <v>1977</v>
      </c>
      <c r="C526" t="s">
        <v>4714</v>
      </c>
      <c r="D526">
        <v>4</v>
      </c>
      <c r="E526">
        <v>2</v>
      </c>
      <c r="F526" s="16">
        <v>4699.47</v>
      </c>
      <c r="G526" t="s">
        <v>4699</v>
      </c>
      <c r="H526" t="s">
        <v>4700</v>
      </c>
      <c r="I526" t="s">
        <v>4709</v>
      </c>
      <c r="J526" s="17">
        <f t="shared" si="16"/>
        <v>28463</v>
      </c>
      <c r="K526">
        <f t="shared" ca="1" si="17"/>
        <v>47</v>
      </c>
    </row>
    <row r="527" spans="1:11" ht="15.75" customHeight="1">
      <c r="A527" t="s">
        <v>3627</v>
      </c>
      <c r="B527">
        <v>1981</v>
      </c>
      <c r="C527" t="s">
        <v>4716</v>
      </c>
      <c r="D527">
        <v>12</v>
      </c>
      <c r="E527">
        <v>1</v>
      </c>
      <c r="F527" s="16">
        <v>4712.12</v>
      </c>
      <c r="G527" t="s">
        <v>4699</v>
      </c>
      <c r="H527" t="s">
        <v>4700</v>
      </c>
      <c r="I527" t="s">
        <v>4718</v>
      </c>
      <c r="J527" s="17">
        <f t="shared" si="16"/>
        <v>29810</v>
      </c>
      <c r="K527">
        <f t="shared" ca="1" si="17"/>
        <v>44</v>
      </c>
    </row>
    <row r="528" spans="1:11" ht="15.75" customHeight="1">
      <c r="A528" t="s">
        <v>3625</v>
      </c>
      <c r="B528">
        <v>1992</v>
      </c>
      <c r="C528" t="s">
        <v>4717</v>
      </c>
      <c r="D528">
        <v>9</v>
      </c>
      <c r="E528">
        <v>1</v>
      </c>
      <c r="F528" s="16">
        <v>4718.2</v>
      </c>
      <c r="G528" t="s">
        <v>4699</v>
      </c>
      <c r="H528" t="s">
        <v>4700</v>
      </c>
      <c r="I528" t="s">
        <v>4724</v>
      </c>
      <c r="J528" s="17">
        <f t="shared" si="16"/>
        <v>33886</v>
      </c>
      <c r="K528">
        <f t="shared" ca="1" si="17"/>
        <v>33</v>
      </c>
    </row>
    <row r="529" spans="1:11" ht="15.75" customHeight="1">
      <c r="A529" t="s">
        <v>3623</v>
      </c>
      <c r="B529">
        <v>1992</v>
      </c>
      <c r="C529" t="s">
        <v>4712</v>
      </c>
      <c r="D529">
        <v>28</v>
      </c>
      <c r="E529">
        <v>1</v>
      </c>
      <c r="F529" s="16">
        <v>4719.5200000000004</v>
      </c>
      <c r="G529" t="s">
        <v>4699</v>
      </c>
      <c r="H529" t="s">
        <v>4699</v>
      </c>
      <c r="I529" t="s">
        <v>4724</v>
      </c>
      <c r="J529" s="17">
        <f t="shared" si="16"/>
        <v>33875</v>
      </c>
      <c r="K529">
        <f t="shared" ca="1" si="17"/>
        <v>33</v>
      </c>
    </row>
    <row r="530" spans="1:11" ht="15.75" customHeight="1">
      <c r="A530" t="s">
        <v>3621</v>
      </c>
      <c r="B530">
        <v>1994</v>
      </c>
      <c r="C530" t="s">
        <v>4716</v>
      </c>
      <c r="D530">
        <v>12</v>
      </c>
      <c r="E530">
        <v>2</v>
      </c>
      <c r="F530" s="16">
        <v>4719.74</v>
      </c>
      <c r="G530" t="s">
        <v>4699</v>
      </c>
      <c r="H530" t="s">
        <v>4698</v>
      </c>
      <c r="I530" t="s">
        <v>4713</v>
      </c>
      <c r="J530" s="17">
        <f t="shared" si="16"/>
        <v>34558</v>
      </c>
      <c r="K530">
        <f t="shared" ca="1" si="17"/>
        <v>31</v>
      </c>
    </row>
    <row r="531" spans="1:11" ht="15.75" customHeight="1">
      <c r="A531" t="s">
        <v>3619</v>
      </c>
      <c r="B531">
        <v>1980</v>
      </c>
      <c r="C531" t="s">
        <v>4708</v>
      </c>
      <c r="D531">
        <v>2</v>
      </c>
      <c r="E531">
        <v>2</v>
      </c>
      <c r="F531" s="16">
        <v>4728.71</v>
      </c>
      <c r="G531" t="s">
        <v>4699</v>
      </c>
      <c r="H531" t="s">
        <v>4700</v>
      </c>
      <c r="I531" t="s">
        <v>4713</v>
      </c>
      <c r="J531" s="17">
        <f t="shared" si="16"/>
        <v>29404</v>
      </c>
      <c r="K531">
        <f t="shared" ca="1" si="17"/>
        <v>45</v>
      </c>
    </row>
    <row r="532" spans="1:11" ht="15.75" customHeight="1">
      <c r="A532" t="s">
        <v>3617</v>
      </c>
      <c r="B532">
        <v>1986</v>
      </c>
      <c r="C532" t="s">
        <v>4712</v>
      </c>
      <c r="D532">
        <v>5</v>
      </c>
      <c r="E532">
        <v>3</v>
      </c>
      <c r="F532" s="16">
        <v>4734.6400000000003</v>
      </c>
      <c r="G532" t="s">
        <v>4699</v>
      </c>
      <c r="H532" t="s">
        <v>4698</v>
      </c>
      <c r="I532" t="s">
        <v>4709</v>
      </c>
      <c r="J532" s="17">
        <f t="shared" si="16"/>
        <v>31660</v>
      </c>
      <c r="K532">
        <f t="shared" ca="1" si="17"/>
        <v>39</v>
      </c>
    </row>
    <row r="533" spans="1:11" ht="15.75" customHeight="1">
      <c r="A533" t="s">
        <v>3615</v>
      </c>
      <c r="B533">
        <v>1991</v>
      </c>
      <c r="C533" t="s">
        <v>4717</v>
      </c>
      <c r="D533">
        <v>12</v>
      </c>
      <c r="E533">
        <v>1</v>
      </c>
      <c r="F533" s="16">
        <v>4738.2700000000004</v>
      </c>
      <c r="G533" t="s">
        <v>4699</v>
      </c>
      <c r="H533" t="s">
        <v>4700</v>
      </c>
      <c r="I533" t="s">
        <v>4713</v>
      </c>
      <c r="J533" s="17">
        <f t="shared" si="16"/>
        <v>33523</v>
      </c>
      <c r="K533">
        <f t="shared" ca="1" si="17"/>
        <v>34</v>
      </c>
    </row>
    <row r="534" spans="1:11" ht="15.75" customHeight="1">
      <c r="A534" t="s">
        <v>3613</v>
      </c>
      <c r="B534">
        <v>2004</v>
      </c>
      <c r="C534" t="s">
        <v>4710</v>
      </c>
      <c r="D534">
        <v>24</v>
      </c>
      <c r="E534">
        <v>0</v>
      </c>
      <c r="F534" s="16">
        <v>4740.78</v>
      </c>
      <c r="G534" t="s">
        <v>4699</v>
      </c>
      <c r="H534" t="s">
        <v>4700</v>
      </c>
      <c r="I534" t="s">
        <v>4727</v>
      </c>
      <c r="J534" s="17">
        <f t="shared" si="16"/>
        <v>38315</v>
      </c>
      <c r="K534">
        <f t="shared" ca="1" si="17"/>
        <v>21</v>
      </c>
    </row>
    <row r="535" spans="1:11" ht="15.75" customHeight="1">
      <c r="A535" t="s">
        <v>3611</v>
      </c>
      <c r="B535">
        <v>1987</v>
      </c>
      <c r="C535" t="s">
        <v>4711</v>
      </c>
      <c r="D535">
        <v>5</v>
      </c>
      <c r="E535">
        <v>1</v>
      </c>
      <c r="F535" s="16">
        <v>4746.34</v>
      </c>
      <c r="G535" t="s">
        <v>4699</v>
      </c>
      <c r="H535" t="s">
        <v>4699</v>
      </c>
      <c r="I535" t="s">
        <v>4718</v>
      </c>
      <c r="J535" s="17">
        <f t="shared" si="16"/>
        <v>31933</v>
      </c>
      <c r="K535">
        <f t="shared" ca="1" si="17"/>
        <v>38</v>
      </c>
    </row>
    <row r="536" spans="1:11" ht="15.75" customHeight="1">
      <c r="A536" t="s">
        <v>3609</v>
      </c>
      <c r="B536">
        <v>1987</v>
      </c>
      <c r="C536" t="s">
        <v>4712</v>
      </c>
      <c r="D536">
        <v>2</v>
      </c>
      <c r="E536">
        <v>1</v>
      </c>
      <c r="F536" s="16">
        <v>4747.05</v>
      </c>
      <c r="G536" t="s">
        <v>4699</v>
      </c>
      <c r="H536" t="s">
        <v>4699</v>
      </c>
      <c r="I536" t="s">
        <v>4709</v>
      </c>
      <c r="J536" s="17">
        <f t="shared" si="16"/>
        <v>32022</v>
      </c>
      <c r="K536">
        <f t="shared" ca="1" si="17"/>
        <v>38</v>
      </c>
    </row>
    <row r="537" spans="1:11" ht="15.75" customHeight="1">
      <c r="A537" t="s">
        <v>3607</v>
      </c>
      <c r="B537">
        <v>1987</v>
      </c>
      <c r="C537" t="s">
        <v>4710</v>
      </c>
      <c r="D537">
        <v>22</v>
      </c>
      <c r="E537">
        <v>1</v>
      </c>
      <c r="F537" s="16">
        <v>4751.07</v>
      </c>
      <c r="G537" t="s">
        <v>4700</v>
      </c>
      <c r="H537" t="s">
        <v>4698</v>
      </c>
      <c r="I537" t="s">
        <v>4718</v>
      </c>
      <c r="J537" s="17">
        <f t="shared" si="16"/>
        <v>32103</v>
      </c>
      <c r="K537">
        <f t="shared" ca="1" si="17"/>
        <v>38</v>
      </c>
    </row>
    <row r="538" spans="1:11" ht="15.75" customHeight="1">
      <c r="A538" t="s">
        <v>3605</v>
      </c>
      <c r="B538">
        <v>1992</v>
      </c>
      <c r="C538" t="s">
        <v>4716</v>
      </c>
      <c r="D538">
        <v>16</v>
      </c>
      <c r="E538">
        <v>2</v>
      </c>
      <c r="F538" s="16">
        <v>4753.6400000000003</v>
      </c>
      <c r="G538" t="s">
        <v>4699</v>
      </c>
      <c r="H538" t="s">
        <v>4700</v>
      </c>
      <c r="I538" t="s">
        <v>4709</v>
      </c>
      <c r="J538" s="17">
        <f t="shared" si="16"/>
        <v>33832</v>
      </c>
      <c r="K538">
        <f t="shared" ca="1" si="17"/>
        <v>33</v>
      </c>
    </row>
    <row r="539" spans="1:11" ht="15.75" customHeight="1">
      <c r="A539" t="s">
        <v>3603</v>
      </c>
      <c r="B539">
        <v>1987</v>
      </c>
      <c r="C539" t="s">
        <v>4712</v>
      </c>
      <c r="D539">
        <v>27</v>
      </c>
      <c r="E539">
        <v>1</v>
      </c>
      <c r="F539" s="16">
        <v>4762.33</v>
      </c>
      <c r="G539" t="s">
        <v>4700</v>
      </c>
      <c r="H539" t="s">
        <v>4700</v>
      </c>
      <c r="I539" t="s">
        <v>4718</v>
      </c>
      <c r="J539" s="17">
        <f t="shared" si="16"/>
        <v>32047</v>
      </c>
      <c r="K539">
        <f t="shared" ca="1" si="17"/>
        <v>38</v>
      </c>
    </row>
    <row r="540" spans="1:11" ht="15.75" customHeight="1">
      <c r="A540" t="s">
        <v>3601</v>
      </c>
      <c r="B540">
        <v>1989</v>
      </c>
      <c r="C540" t="s">
        <v>4716</v>
      </c>
      <c r="D540">
        <v>1</v>
      </c>
      <c r="E540">
        <v>1</v>
      </c>
      <c r="F540" s="16">
        <v>4766.0200000000004</v>
      </c>
      <c r="G540" t="s">
        <v>4699</v>
      </c>
      <c r="H540" t="s">
        <v>4700</v>
      </c>
      <c r="I540" t="s">
        <v>4718</v>
      </c>
      <c r="J540" s="17">
        <f t="shared" si="16"/>
        <v>32721</v>
      </c>
      <c r="K540">
        <f t="shared" ca="1" si="17"/>
        <v>36</v>
      </c>
    </row>
    <row r="541" spans="1:11" ht="15.75" customHeight="1">
      <c r="A541" t="s">
        <v>3599</v>
      </c>
      <c r="B541">
        <v>1989</v>
      </c>
      <c r="C541" t="s">
        <v>4714</v>
      </c>
      <c r="D541">
        <v>9</v>
      </c>
      <c r="E541">
        <v>1</v>
      </c>
      <c r="F541" s="16">
        <v>4779.6000000000004</v>
      </c>
      <c r="G541" t="s">
        <v>4699</v>
      </c>
      <c r="H541" t="s">
        <v>4700</v>
      </c>
      <c r="I541" t="s">
        <v>4709</v>
      </c>
      <c r="J541" s="17">
        <f t="shared" si="16"/>
        <v>32851</v>
      </c>
      <c r="K541">
        <f t="shared" ca="1" si="17"/>
        <v>35</v>
      </c>
    </row>
    <row r="542" spans="1:11" ht="15.75" customHeight="1">
      <c r="A542" t="s">
        <v>3597</v>
      </c>
      <c r="B542">
        <v>1987</v>
      </c>
      <c r="C542" t="s">
        <v>4711</v>
      </c>
      <c r="D542">
        <v>22</v>
      </c>
      <c r="E542">
        <v>3</v>
      </c>
      <c r="F542" s="16">
        <v>4787.42</v>
      </c>
      <c r="G542" t="s">
        <v>4699</v>
      </c>
      <c r="H542" t="s">
        <v>4700</v>
      </c>
      <c r="I542" t="s">
        <v>4709</v>
      </c>
      <c r="J542" s="17">
        <f t="shared" si="16"/>
        <v>31950</v>
      </c>
      <c r="K542">
        <f t="shared" ca="1" si="17"/>
        <v>38</v>
      </c>
    </row>
    <row r="543" spans="1:11" ht="15.75" customHeight="1">
      <c r="A543" t="s">
        <v>3595</v>
      </c>
      <c r="B543">
        <v>1989</v>
      </c>
      <c r="C543" t="s">
        <v>4714</v>
      </c>
      <c r="D543">
        <v>16</v>
      </c>
      <c r="E543">
        <v>1</v>
      </c>
      <c r="F543" s="16">
        <v>4795.66</v>
      </c>
      <c r="G543" t="s">
        <v>4699</v>
      </c>
      <c r="H543" t="s">
        <v>4698</v>
      </c>
      <c r="I543" t="s">
        <v>4709</v>
      </c>
      <c r="J543" s="17">
        <f t="shared" si="16"/>
        <v>32858</v>
      </c>
      <c r="K543">
        <f t="shared" ca="1" si="17"/>
        <v>35</v>
      </c>
    </row>
    <row r="544" spans="1:11" ht="15.75" customHeight="1">
      <c r="A544" t="s">
        <v>3593</v>
      </c>
      <c r="B544">
        <v>1978</v>
      </c>
      <c r="C544" t="s">
        <v>4717</v>
      </c>
      <c r="D544">
        <v>3</v>
      </c>
      <c r="E544">
        <v>2</v>
      </c>
      <c r="F544" s="16">
        <v>4812.34</v>
      </c>
      <c r="G544" t="s">
        <v>4699</v>
      </c>
      <c r="H544" t="s">
        <v>4700</v>
      </c>
      <c r="I544" t="s">
        <v>4709</v>
      </c>
      <c r="J544" s="17">
        <f t="shared" si="16"/>
        <v>28766</v>
      </c>
      <c r="K544">
        <f t="shared" ca="1" si="17"/>
        <v>47</v>
      </c>
    </row>
    <row r="545" spans="1:11" ht="15.75" customHeight="1">
      <c r="A545" t="s">
        <v>3591</v>
      </c>
      <c r="B545">
        <v>1981</v>
      </c>
      <c r="C545" t="s">
        <v>4708</v>
      </c>
      <c r="D545">
        <v>3</v>
      </c>
      <c r="E545">
        <v>1</v>
      </c>
      <c r="F545" s="16">
        <v>4827.1000000000004</v>
      </c>
      <c r="G545" t="s">
        <v>4699</v>
      </c>
      <c r="H545" t="s">
        <v>4698</v>
      </c>
      <c r="I545" t="s">
        <v>4709</v>
      </c>
      <c r="J545" s="17">
        <f t="shared" si="16"/>
        <v>29770</v>
      </c>
      <c r="K545">
        <f t="shared" ca="1" si="17"/>
        <v>44</v>
      </c>
    </row>
    <row r="546" spans="1:11" ht="15.75" customHeight="1">
      <c r="A546" t="s">
        <v>3589</v>
      </c>
      <c r="B546">
        <v>1995</v>
      </c>
      <c r="C546" t="s">
        <v>4714</v>
      </c>
      <c r="D546">
        <v>1</v>
      </c>
      <c r="E546">
        <v>3</v>
      </c>
      <c r="F546" s="16">
        <v>4827.8999999999996</v>
      </c>
      <c r="G546" t="s">
        <v>4698</v>
      </c>
      <c r="H546" t="s">
        <v>4699</v>
      </c>
      <c r="I546" t="s">
        <v>4697</v>
      </c>
      <c r="J546" s="17">
        <f t="shared" si="16"/>
        <v>35034</v>
      </c>
      <c r="K546">
        <f t="shared" ca="1" si="17"/>
        <v>29</v>
      </c>
    </row>
    <row r="547" spans="1:11" ht="15.75" customHeight="1">
      <c r="A547" t="s">
        <v>3587</v>
      </c>
      <c r="B547">
        <v>2002</v>
      </c>
      <c r="C547" t="s">
        <v>4711</v>
      </c>
      <c r="D547">
        <v>27</v>
      </c>
      <c r="E547">
        <v>5</v>
      </c>
      <c r="F547" s="16">
        <v>4830.63</v>
      </c>
      <c r="G547" t="s">
        <v>4699</v>
      </c>
      <c r="H547" t="s">
        <v>4698</v>
      </c>
      <c r="I547" t="s">
        <v>4718</v>
      </c>
      <c r="J547" s="17">
        <f t="shared" si="16"/>
        <v>37434</v>
      </c>
      <c r="K547">
        <f t="shared" ca="1" si="17"/>
        <v>23</v>
      </c>
    </row>
    <row r="548" spans="1:11" ht="15.75" customHeight="1">
      <c r="A548" t="s">
        <v>3585</v>
      </c>
      <c r="B548">
        <v>2000</v>
      </c>
      <c r="C548" t="s">
        <v>4714</v>
      </c>
      <c r="D548">
        <v>11</v>
      </c>
      <c r="E548">
        <v>0</v>
      </c>
      <c r="F548" s="16">
        <v>4835.43</v>
      </c>
      <c r="G548" t="s">
        <v>4699</v>
      </c>
      <c r="H548" t="s">
        <v>4699</v>
      </c>
      <c r="I548" t="s">
        <v>4727</v>
      </c>
      <c r="J548" s="17">
        <f t="shared" si="16"/>
        <v>36871</v>
      </c>
      <c r="K548">
        <f t="shared" ca="1" si="17"/>
        <v>24</v>
      </c>
    </row>
    <row r="549" spans="1:11" ht="15.75" customHeight="1">
      <c r="A549" t="s">
        <v>3583</v>
      </c>
      <c r="B549">
        <v>1992</v>
      </c>
      <c r="C549" t="s">
        <v>4712</v>
      </c>
      <c r="D549">
        <v>10</v>
      </c>
      <c r="E549">
        <v>3</v>
      </c>
      <c r="F549" s="16">
        <v>4837.58</v>
      </c>
      <c r="G549" t="s">
        <v>4700</v>
      </c>
      <c r="H549" t="s">
        <v>4699</v>
      </c>
      <c r="I549" t="s">
        <v>4709</v>
      </c>
      <c r="J549" s="17">
        <f t="shared" si="16"/>
        <v>33857</v>
      </c>
      <c r="K549">
        <f t="shared" ca="1" si="17"/>
        <v>33</v>
      </c>
    </row>
    <row r="550" spans="1:11" ht="15.75" customHeight="1">
      <c r="A550" t="s">
        <v>3581</v>
      </c>
      <c r="B550">
        <v>1984</v>
      </c>
      <c r="C550" t="s">
        <v>4717</v>
      </c>
      <c r="D550">
        <v>15</v>
      </c>
      <c r="E550">
        <v>3</v>
      </c>
      <c r="F550" s="16">
        <v>4839.18</v>
      </c>
      <c r="G550" t="s">
        <v>4699</v>
      </c>
      <c r="H550" t="s">
        <v>4698</v>
      </c>
      <c r="I550" t="s">
        <v>4713</v>
      </c>
      <c r="J550" s="17">
        <f t="shared" si="16"/>
        <v>30970</v>
      </c>
      <c r="K550">
        <f t="shared" ca="1" si="17"/>
        <v>41</v>
      </c>
    </row>
    <row r="551" spans="1:11" ht="15.75" customHeight="1">
      <c r="A551" t="s">
        <v>3579</v>
      </c>
      <c r="B551">
        <v>1995</v>
      </c>
      <c r="C551" t="s">
        <v>4712</v>
      </c>
      <c r="D551">
        <v>29</v>
      </c>
      <c r="E551">
        <v>0</v>
      </c>
      <c r="F551" s="16">
        <v>4840.95</v>
      </c>
      <c r="G551" t="s">
        <v>4699</v>
      </c>
      <c r="H551" t="s">
        <v>4698</v>
      </c>
      <c r="I551" t="s">
        <v>4727</v>
      </c>
      <c r="J551" s="17">
        <f t="shared" si="16"/>
        <v>34971</v>
      </c>
      <c r="K551">
        <f t="shared" ca="1" si="17"/>
        <v>30</v>
      </c>
    </row>
    <row r="552" spans="1:11" ht="15.75" customHeight="1">
      <c r="A552" t="s">
        <v>3577</v>
      </c>
      <c r="B552">
        <v>1979</v>
      </c>
      <c r="C552" t="s">
        <v>4714</v>
      </c>
      <c r="D552">
        <v>13</v>
      </c>
      <c r="E552">
        <v>2</v>
      </c>
      <c r="F552" s="16">
        <v>4843.79</v>
      </c>
      <c r="G552" t="s">
        <v>4699</v>
      </c>
      <c r="H552" t="s">
        <v>4700</v>
      </c>
      <c r="I552" t="s">
        <v>4709</v>
      </c>
      <c r="J552" s="17">
        <f t="shared" si="16"/>
        <v>29202</v>
      </c>
      <c r="K552">
        <f t="shared" ca="1" si="17"/>
        <v>45</v>
      </c>
    </row>
    <row r="553" spans="1:11" ht="15.75" customHeight="1">
      <c r="A553" t="s">
        <v>3575</v>
      </c>
      <c r="B553">
        <v>1974</v>
      </c>
      <c r="C553" t="s">
        <v>4712</v>
      </c>
      <c r="D553">
        <v>11</v>
      </c>
      <c r="E553">
        <v>0</v>
      </c>
      <c r="F553" s="16">
        <v>4844.67</v>
      </c>
      <c r="G553" t="s">
        <v>4699</v>
      </c>
      <c r="H553" t="s">
        <v>4699</v>
      </c>
      <c r="I553" t="s">
        <v>4709</v>
      </c>
      <c r="J553" s="17">
        <f t="shared" si="16"/>
        <v>27283</v>
      </c>
      <c r="K553">
        <f t="shared" ca="1" si="17"/>
        <v>51</v>
      </c>
    </row>
    <row r="554" spans="1:11" ht="15.75" customHeight="1">
      <c r="A554" t="s">
        <v>3573</v>
      </c>
      <c r="B554">
        <v>2001</v>
      </c>
      <c r="C554" t="s">
        <v>4711</v>
      </c>
      <c r="D554">
        <v>7</v>
      </c>
      <c r="E554">
        <v>0</v>
      </c>
      <c r="F554" s="16">
        <v>4846.53</v>
      </c>
      <c r="G554" t="s">
        <v>4699</v>
      </c>
      <c r="H554" t="s">
        <v>4700</v>
      </c>
      <c r="I554" t="s">
        <v>4727</v>
      </c>
      <c r="J554" s="17">
        <f t="shared" si="16"/>
        <v>37049</v>
      </c>
      <c r="K554">
        <f t="shared" ca="1" si="17"/>
        <v>24</v>
      </c>
    </row>
    <row r="555" spans="1:11" ht="15.75" customHeight="1">
      <c r="A555" t="s">
        <v>3571</v>
      </c>
      <c r="B555">
        <v>1995</v>
      </c>
      <c r="C555" t="s">
        <v>4714</v>
      </c>
      <c r="D555">
        <v>27</v>
      </c>
      <c r="E555">
        <v>3</v>
      </c>
      <c r="F555" s="16">
        <v>4846.92</v>
      </c>
      <c r="G555" t="s">
        <v>4699</v>
      </c>
      <c r="H555" t="s">
        <v>4700</v>
      </c>
      <c r="I555" t="s">
        <v>4728</v>
      </c>
      <c r="J555" s="17">
        <f t="shared" si="16"/>
        <v>35060</v>
      </c>
      <c r="K555">
        <f t="shared" ca="1" si="17"/>
        <v>29</v>
      </c>
    </row>
    <row r="556" spans="1:11" ht="15.75" customHeight="1">
      <c r="A556" t="s">
        <v>3569</v>
      </c>
      <c r="B556">
        <v>1989</v>
      </c>
      <c r="C556" t="s">
        <v>4712</v>
      </c>
      <c r="D556">
        <v>1</v>
      </c>
      <c r="E556">
        <v>3</v>
      </c>
      <c r="F556" s="16">
        <v>4859.8900000000003</v>
      </c>
      <c r="G556" t="s">
        <v>4699</v>
      </c>
      <c r="H556" t="s">
        <v>4700</v>
      </c>
      <c r="I556" t="s">
        <v>4718</v>
      </c>
      <c r="J556" s="17">
        <f t="shared" si="16"/>
        <v>32752</v>
      </c>
      <c r="K556">
        <f t="shared" ca="1" si="17"/>
        <v>36</v>
      </c>
    </row>
    <row r="557" spans="1:11" ht="15.75" customHeight="1">
      <c r="A557" t="s">
        <v>3567</v>
      </c>
      <c r="B557">
        <v>1997</v>
      </c>
      <c r="C557" t="s">
        <v>4712</v>
      </c>
      <c r="D557">
        <v>29</v>
      </c>
      <c r="E557">
        <v>4</v>
      </c>
      <c r="F557" s="16">
        <v>4877.9799999999996</v>
      </c>
      <c r="G557" t="s">
        <v>4699</v>
      </c>
      <c r="H557" t="s">
        <v>4700</v>
      </c>
      <c r="I557" t="s">
        <v>4713</v>
      </c>
      <c r="J557" s="17">
        <f t="shared" si="16"/>
        <v>35702</v>
      </c>
      <c r="K557">
        <f t="shared" ca="1" si="17"/>
        <v>28</v>
      </c>
    </row>
    <row r="558" spans="1:11" ht="15.75" customHeight="1">
      <c r="A558" t="s">
        <v>3565</v>
      </c>
      <c r="B558">
        <v>1986</v>
      </c>
      <c r="C558" t="s">
        <v>4714</v>
      </c>
      <c r="D558">
        <v>23</v>
      </c>
      <c r="E558">
        <v>0</v>
      </c>
      <c r="F558" s="16">
        <v>4883.87</v>
      </c>
      <c r="G558" t="s">
        <v>4699</v>
      </c>
      <c r="H558" t="s">
        <v>4698</v>
      </c>
      <c r="I558" t="s">
        <v>4718</v>
      </c>
      <c r="J558" s="17">
        <f t="shared" si="16"/>
        <v>31769</v>
      </c>
      <c r="K558">
        <f t="shared" ca="1" si="17"/>
        <v>38</v>
      </c>
    </row>
    <row r="559" spans="1:11" ht="15.75" customHeight="1">
      <c r="A559" t="s">
        <v>3563</v>
      </c>
      <c r="B559">
        <v>1986</v>
      </c>
      <c r="C559" t="s">
        <v>4717</v>
      </c>
      <c r="D559">
        <v>27</v>
      </c>
      <c r="E559">
        <v>0</v>
      </c>
      <c r="F559" s="16">
        <v>4889.04</v>
      </c>
      <c r="G559" t="s">
        <v>4699</v>
      </c>
      <c r="H559" t="s">
        <v>4698</v>
      </c>
      <c r="I559" t="s">
        <v>4709</v>
      </c>
      <c r="J559" s="17">
        <f t="shared" si="16"/>
        <v>31712</v>
      </c>
      <c r="K559">
        <f t="shared" ca="1" si="17"/>
        <v>39</v>
      </c>
    </row>
    <row r="560" spans="1:11" ht="15.75" customHeight="1">
      <c r="A560" t="s">
        <v>3561</v>
      </c>
      <c r="B560">
        <v>1989</v>
      </c>
      <c r="C560" t="s">
        <v>4708</v>
      </c>
      <c r="D560">
        <v>10</v>
      </c>
      <c r="E560">
        <v>2</v>
      </c>
      <c r="F560" s="16">
        <v>4890</v>
      </c>
      <c r="G560" t="s">
        <v>4700</v>
      </c>
      <c r="H560" t="s">
        <v>4699</v>
      </c>
      <c r="I560" t="s">
        <v>4709</v>
      </c>
      <c r="J560" s="17">
        <f t="shared" si="16"/>
        <v>32699</v>
      </c>
      <c r="K560">
        <f t="shared" ca="1" si="17"/>
        <v>36</v>
      </c>
    </row>
    <row r="561" spans="1:11" ht="15.75" customHeight="1">
      <c r="A561" t="s">
        <v>3559</v>
      </c>
      <c r="B561">
        <v>1990</v>
      </c>
      <c r="C561" t="s">
        <v>4710</v>
      </c>
      <c r="D561">
        <v>28</v>
      </c>
      <c r="E561">
        <v>3</v>
      </c>
      <c r="F561" s="16">
        <v>4894.3900000000003</v>
      </c>
      <c r="G561" t="s">
        <v>4699</v>
      </c>
      <c r="H561" t="s">
        <v>4700</v>
      </c>
      <c r="I561" t="s">
        <v>4709</v>
      </c>
      <c r="J561" s="17">
        <f t="shared" si="16"/>
        <v>33205</v>
      </c>
      <c r="K561">
        <f t="shared" ca="1" si="17"/>
        <v>34</v>
      </c>
    </row>
    <row r="562" spans="1:11" ht="15.75" customHeight="1">
      <c r="A562" t="s">
        <v>3557</v>
      </c>
      <c r="B562">
        <v>1988</v>
      </c>
      <c r="C562" t="s">
        <v>4712</v>
      </c>
      <c r="D562">
        <v>23</v>
      </c>
      <c r="E562">
        <v>1</v>
      </c>
      <c r="F562" s="16">
        <v>4894.75</v>
      </c>
      <c r="G562" t="s">
        <v>4700</v>
      </c>
      <c r="H562" t="s">
        <v>4700</v>
      </c>
      <c r="I562" t="s">
        <v>4713</v>
      </c>
      <c r="J562" s="17">
        <f t="shared" si="16"/>
        <v>32409</v>
      </c>
      <c r="K562">
        <f t="shared" ca="1" si="17"/>
        <v>37</v>
      </c>
    </row>
    <row r="563" spans="1:11" ht="15.75" customHeight="1">
      <c r="A563" t="s">
        <v>3555</v>
      </c>
      <c r="B563">
        <v>1993</v>
      </c>
      <c r="C563" t="s">
        <v>4708</v>
      </c>
      <c r="D563">
        <v>10</v>
      </c>
      <c r="E563">
        <v>2</v>
      </c>
      <c r="F563" s="16">
        <v>4906.41</v>
      </c>
      <c r="G563" t="s">
        <v>4699</v>
      </c>
      <c r="H563" t="s">
        <v>4698</v>
      </c>
      <c r="I563" t="s">
        <v>4713</v>
      </c>
      <c r="J563" s="17">
        <f t="shared" si="16"/>
        <v>34160</v>
      </c>
      <c r="K563">
        <f t="shared" ca="1" si="17"/>
        <v>32</v>
      </c>
    </row>
    <row r="564" spans="1:11" ht="15.75" customHeight="1">
      <c r="A564" t="s">
        <v>3553</v>
      </c>
      <c r="B564">
        <v>1981</v>
      </c>
      <c r="C564" t="s">
        <v>4717</v>
      </c>
      <c r="D564">
        <v>18</v>
      </c>
      <c r="E564">
        <v>1</v>
      </c>
      <c r="F564" s="16">
        <v>4911.8900000000003</v>
      </c>
      <c r="G564" t="s">
        <v>4699</v>
      </c>
      <c r="H564" t="s">
        <v>4700</v>
      </c>
      <c r="I564" t="s">
        <v>4709</v>
      </c>
      <c r="J564" s="17">
        <f t="shared" si="16"/>
        <v>29877</v>
      </c>
      <c r="K564">
        <f t="shared" ca="1" si="17"/>
        <v>44</v>
      </c>
    </row>
    <row r="565" spans="1:11" ht="15.75" customHeight="1">
      <c r="A565" t="s">
        <v>3551</v>
      </c>
      <c r="B565">
        <v>2002</v>
      </c>
      <c r="C565" t="s">
        <v>4716</v>
      </c>
      <c r="D565">
        <v>21</v>
      </c>
      <c r="E565">
        <v>5</v>
      </c>
      <c r="F565" s="16">
        <v>4915.0600000000004</v>
      </c>
      <c r="G565" t="s">
        <v>4699</v>
      </c>
      <c r="H565" t="s">
        <v>4698</v>
      </c>
      <c r="I565" t="s">
        <v>4728</v>
      </c>
      <c r="J565" s="17">
        <f t="shared" si="16"/>
        <v>37489</v>
      </c>
      <c r="K565">
        <f t="shared" ca="1" si="17"/>
        <v>23</v>
      </c>
    </row>
    <row r="566" spans="1:11" ht="15.75" customHeight="1">
      <c r="A566" t="s">
        <v>3549</v>
      </c>
      <c r="B566">
        <v>1993</v>
      </c>
      <c r="C566" t="s">
        <v>4716</v>
      </c>
      <c r="D566">
        <v>10</v>
      </c>
      <c r="E566">
        <v>2</v>
      </c>
      <c r="F566" s="16">
        <v>4922.92</v>
      </c>
      <c r="G566" t="s">
        <v>4699</v>
      </c>
      <c r="H566" t="s">
        <v>4699</v>
      </c>
      <c r="I566" t="s">
        <v>4713</v>
      </c>
      <c r="J566" s="17">
        <f t="shared" si="16"/>
        <v>34191</v>
      </c>
      <c r="K566">
        <f t="shared" ca="1" si="17"/>
        <v>32</v>
      </c>
    </row>
    <row r="567" spans="1:11" ht="15.75" customHeight="1">
      <c r="A567" t="s">
        <v>3547</v>
      </c>
      <c r="B567">
        <v>1991</v>
      </c>
      <c r="C567" t="s">
        <v>4716</v>
      </c>
      <c r="D567">
        <v>23</v>
      </c>
      <c r="E567">
        <v>2</v>
      </c>
      <c r="F567" s="16">
        <v>4931.6499999999996</v>
      </c>
      <c r="G567" t="s">
        <v>4699</v>
      </c>
      <c r="H567" t="s">
        <v>4700</v>
      </c>
      <c r="I567" t="s">
        <v>4718</v>
      </c>
      <c r="J567" s="17">
        <f t="shared" si="16"/>
        <v>33473</v>
      </c>
      <c r="K567">
        <f t="shared" ca="1" si="17"/>
        <v>34</v>
      </c>
    </row>
    <row r="568" spans="1:11" ht="15.75" customHeight="1">
      <c r="A568" t="s">
        <v>3545</v>
      </c>
      <c r="B568">
        <v>1991</v>
      </c>
      <c r="C568" t="s">
        <v>4710</v>
      </c>
      <c r="D568">
        <v>27</v>
      </c>
      <c r="E568">
        <v>2</v>
      </c>
      <c r="F568" s="16">
        <v>4934.71</v>
      </c>
      <c r="G568" t="s">
        <v>4699</v>
      </c>
      <c r="H568" t="s">
        <v>4700</v>
      </c>
      <c r="I568" t="s">
        <v>4718</v>
      </c>
      <c r="J568" s="17">
        <f t="shared" si="16"/>
        <v>33569</v>
      </c>
      <c r="K568">
        <f t="shared" ca="1" si="17"/>
        <v>34</v>
      </c>
    </row>
    <row r="569" spans="1:11" ht="15.75" customHeight="1">
      <c r="A569" t="s">
        <v>3543</v>
      </c>
      <c r="B569">
        <v>1974</v>
      </c>
      <c r="C569" t="s">
        <v>4711</v>
      </c>
      <c r="D569">
        <v>26</v>
      </c>
      <c r="E569">
        <v>0</v>
      </c>
      <c r="F569" s="16">
        <v>4942.0600000000004</v>
      </c>
      <c r="G569" t="s">
        <v>4699</v>
      </c>
      <c r="H569" t="s">
        <v>4699</v>
      </c>
      <c r="I569" t="s">
        <v>4709</v>
      </c>
      <c r="J569" s="17">
        <f t="shared" si="16"/>
        <v>27206</v>
      </c>
      <c r="K569">
        <f t="shared" ca="1" si="17"/>
        <v>51</v>
      </c>
    </row>
    <row r="570" spans="1:11" ht="15.75" customHeight="1">
      <c r="A570" t="s">
        <v>3541</v>
      </c>
      <c r="B570">
        <v>1991</v>
      </c>
      <c r="C570" t="s">
        <v>4716</v>
      </c>
      <c r="D570">
        <v>30</v>
      </c>
      <c r="E570">
        <v>2</v>
      </c>
      <c r="F570" s="16">
        <v>4949.76</v>
      </c>
      <c r="G570" t="s">
        <v>4699</v>
      </c>
      <c r="H570" t="s">
        <v>4698</v>
      </c>
      <c r="I570" t="s">
        <v>4709</v>
      </c>
      <c r="J570" s="17">
        <f t="shared" si="16"/>
        <v>33480</v>
      </c>
      <c r="K570">
        <f t="shared" ca="1" si="17"/>
        <v>34</v>
      </c>
    </row>
    <row r="571" spans="1:11" ht="15.75" customHeight="1">
      <c r="A571" t="s">
        <v>3539</v>
      </c>
      <c r="B571">
        <v>1973</v>
      </c>
      <c r="C571" t="s">
        <v>4710</v>
      </c>
      <c r="D571">
        <v>7</v>
      </c>
      <c r="E571">
        <v>0</v>
      </c>
      <c r="F571" s="16">
        <v>4985.22</v>
      </c>
      <c r="G571" t="s">
        <v>4699</v>
      </c>
      <c r="H571" t="s">
        <v>4700</v>
      </c>
      <c r="I571" t="s">
        <v>4709</v>
      </c>
      <c r="J571" s="17">
        <f t="shared" si="16"/>
        <v>26975</v>
      </c>
      <c r="K571">
        <f t="shared" ca="1" si="17"/>
        <v>52</v>
      </c>
    </row>
    <row r="572" spans="1:11" ht="15.75" customHeight="1">
      <c r="A572" t="s">
        <v>3537</v>
      </c>
      <c r="B572">
        <v>1988</v>
      </c>
      <c r="C572" t="s">
        <v>4711</v>
      </c>
      <c r="D572">
        <v>24</v>
      </c>
      <c r="E572">
        <v>0</v>
      </c>
      <c r="F572" s="16">
        <v>4992.38</v>
      </c>
      <c r="G572" t="s">
        <v>4699</v>
      </c>
      <c r="H572" t="s">
        <v>4700</v>
      </c>
      <c r="I572" t="s">
        <v>4724</v>
      </c>
      <c r="J572" s="17">
        <f t="shared" si="16"/>
        <v>32318</v>
      </c>
      <c r="K572">
        <f t="shared" ca="1" si="17"/>
        <v>37</v>
      </c>
    </row>
    <row r="573" spans="1:11" ht="15.75" customHeight="1">
      <c r="A573" t="s">
        <v>3535</v>
      </c>
      <c r="B573">
        <v>2001</v>
      </c>
      <c r="C573" t="s">
        <v>4717</v>
      </c>
      <c r="D573">
        <v>5</v>
      </c>
      <c r="E573">
        <v>0</v>
      </c>
      <c r="F573" s="16">
        <v>4999.04</v>
      </c>
      <c r="G573" t="s">
        <v>4699</v>
      </c>
      <c r="H573" t="s">
        <v>4699</v>
      </c>
      <c r="I573" t="s">
        <v>4718</v>
      </c>
      <c r="J573" s="17">
        <f t="shared" si="16"/>
        <v>37169</v>
      </c>
      <c r="K573">
        <f t="shared" ca="1" si="17"/>
        <v>24</v>
      </c>
    </row>
    <row r="574" spans="1:11" ht="15.75" customHeight="1">
      <c r="A574" t="s">
        <v>3533</v>
      </c>
      <c r="B574">
        <v>1988</v>
      </c>
      <c r="C574" t="s">
        <v>4712</v>
      </c>
      <c r="D574">
        <v>4</v>
      </c>
      <c r="E574">
        <v>1</v>
      </c>
      <c r="F574" s="16">
        <v>5002.78</v>
      </c>
      <c r="G574" t="s">
        <v>4699</v>
      </c>
      <c r="H574" t="s">
        <v>4699</v>
      </c>
      <c r="I574" t="s">
        <v>4709</v>
      </c>
      <c r="J574" s="17">
        <f t="shared" si="16"/>
        <v>32390</v>
      </c>
      <c r="K574">
        <f t="shared" ca="1" si="17"/>
        <v>37</v>
      </c>
    </row>
    <row r="575" spans="1:11" ht="15.75" customHeight="1">
      <c r="A575" t="s">
        <v>3531</v>
      </c>
      <c r="B575">
        <v>1977</v>
      </c>
      <c r="C575" t="s">
        <v>4711</v>
      </c>
      <c r="D575">
        <v>9</v>
      </c>
      <c r="E575">
        <v>2</v>
      </c>
      <c r="F575" s="16">
        <v>5003.7700000000004</v>
      </c>
      <c r="G575" t="s">
        <v>4699</v>
      </c>
      <c r="H575" t="s">
        <v>4700</v>
      </c>
      <c r="I575" t="s">
        <v>4709</v>
      </c>
      <c r="J575" s="17">
        <f t="shared" si="16"/>
        <v>28285</v>
      </c>
      <c r="K575">
        <f t="shared" ca="1" si="17"/>
        <v>48</v>
      </c>
    </row>
    <row r="576" spans="1:11" ht="15.75" customHeight="1">
      <c r="A576" t="s">
        <v>3529</v>
      </c>
      <c r="B576">
        <v>1988</v>
      </c>
      <c r="C576" t="s">
        <v>4708</v>
      </c>
      <c r="D576">
        <v>8</v>
      </c>
      <c r="E576">
        <v>1</v>
      </c>
      <c r="F576" s="16">
        <v>5003.8500000000004</v>
      </c>
      <c r="G576" t="s">
        <v>4699</v>
      </c>
      <c r="H576" t="s">
        <v>4700</v>
      </c>
      <c r="I576" t="s">
        <v>4718</v>
      </c>
      <c r="J576" s="17">
        <f t="shared" si="16"/>
        <v>32332</v>
      </c>
      <c r="K576">
        <f t="shared" ca="1" si="17"/>
        <v>37</v>
      </c>
    </row>
    <row r="577" spans="1:11" ht="15.75" customHeight="1">
      <c r="A577" t="s">
        <v>3527</v>
      </c>
      <c r="B577">
        <v>1988</v>
      </c>
      <c r="C577" t="s">
        <v>4710</v>
      </c>
      <c r="D577">
        <v>9</v>
      </c>
      <c r="E577">
        <v>1</v>
      </c>
      <c r="F577" s="16">
        <v>5012.47</v>
      </c>
      <c r="G577" t="s">
        <v>4699</v>
      </c>
      <c r="H577" t="s">
        <v>4700</v>
      </c>
      <c r="I577" t="s">
        <v>4718</v>
      </c>
      <c r="J577" s="17">
        <f t="shared" si="16"/>
        <v>32456</v>
      </c>
      <c r="K577">
        <f t="shared" ca="1" si="17"/>
        <v>37</v>
      </c>
    </row>
    <row r="578" spans="1:11" ht="15.75" customHeight="1">
      <c r="A578" t="s">
        <v>3525</v>
      </c>
      <c r="B578">
        <v>1985</v>
      </c>
      <c r="C578" t="s">
        <v>4714</v>
      </c>
      <c r="D578">
        <v>28</v>
      </c>
      <c r="E578">
        <v>0</v>
      </c>
      <c r="F578" s="16">
        <v>5028.1499999999996</v>
      </c>
      <c r="G578" t="s">
        <v>4698</v>
      </c>
      <c r="H578" t="s">
        <v>4699</v>
      </c>
      <c r="I578" t="s">
        <v>4713</v>
      </c>
      <c r="J578" s="17">
        <f t="shared" si="16"/>
        <v>31409</v>
      </c>
      <c r="K578">
        <f t="shared" ca="1" si="17"/>
        <v>39</v>
      </c>
    </row>
    <row r="579" spans="1:11" ht="15.75" customHeight="1">
      <c r="A579" t="s">
        <v>3523</v>
      </c>
      <c r="B579">
        <v>1991</v>
      </c>
      <c r="C579" t="s">
        <v>4712</v>
      </c>
      <c r="D579">
        <v>10</v>
      </c>
      <c r="E579">
        <v>2</v>
      </c>
      <c r="F579" s="16">
        <v>5031.2700000000004</v>
      </c>
      <c r="G579" t="s">
        <v>4700</v>
      </c>
      <c r="H579" t="s">
        <v>4698</v>
      </c>
      <c r="I579" t="s">
        <v>4721</v>
      </c>
      <c r="J579" s="17">
        <f t="shared" ref="J579:J642" si="18">DATEVALUE(D579&amp;"-"&amp;C579&amp;" -"&amp;B579)</f>
        <v>33491</v>
      </c>
      <c r="K579">
        <f t="shared" ref="K579:K642" ca="1" si="19">DATEDIF(J579,TODAY(),"Y")</f>
        <v>34</v>
      </c>
    </row>
    <row r="580" spans="1:11" ht="15.75" customHeight="1">
      <c r="A580" t="s">
        <v>3521</v>
      </c>
      <c r="B580">
        <v>1986</v>
      </c>
      <c r="C580" t="s">
        <v>4711</v>
      </c>
      <c r="D580">
        <v>29</v>
      </c>
      <c r="E580">
        <v>3</v>
      </c>
      <c r="F580" s="16">
        <v>5034.1000000000004</v>
      </c>
      <c r="G580" t="s">
        <v>4699</v>
      </c>
      <c r="H580" t="s">
        <v>4699</v>
      </c>
      <c r="I580" t="s">
        <v>4709</v>
      </c>
      <c r="J580" s="17">
        <f t="shared" si="18"/>
        <v>31592</v>
      </c>
      <c r="K580">
        <f t="shared" ca="1" si="19"/>
        <v>39</v>
      </c>
    </row>
    <row r="581" spans="1:11" ht="15.75" customHeight="1">
      <c r="A581" t="s">
        <v>3519</v>
      </c>
      <c r="B581">
        <v>1997</v>
      </c>
      <c r="C581" t="s">
        <v>4714</v>
      </c>
      <c r="D581">
        <v>4</v>
      </c>
      <c r="E581">
        <v>0</v>
      </c>
      <c r="F581" s="16">
        <v>5038.57</v>
      </c>
      <c r="G581" t="s">
        <v>4699</v>
      </c>
      <c r="H581" t="s">
        <v>4699</v>
      </c>
      <c r="I581" t="s">
        <v>4723</v>
      </c>
      <c r="J581" s="17">
        <f t="shared" si="18"/>
        <v>35768</v>
      </c>
      <c r="K581">
        <f t="shared" ca="1" si="19"/>
        <v>27</v>
      </c>
    </row>
    <row r="582" spans="1:11" ht="15.75" customHeight="1">
      <c r="A582" t="s">
        <v>3517</v>
      </c>
      <c r="B582">
        <v>2001</v>
      </c>
      <c r="C582" t="s">
        <v>4717</v>
      </c>
      <c r="D582">
        <v>16</v>
      </c>
      <c r="E582">
        <v>0</v>
      </c>
      <c r="F582" s="16">
        <v>5043.13</v>
      </c>
      <c r="G582" t="s">
        <v>4699</v>
      </c>
      <c r="H582" t="s">
        <v>4700</v>
      </c>
      <c r="I582" t="s">
        <v>4718</v>
      </c>
      <c r="J582" s="17">
        <f t="shared" si="18"/>
        <v>37180</v>
      </c>
      <c r="K582">
        <f t="shared" ca="1" si="19"/>
        <v>24</v>
      </c>
    </row>
    <row r="583" spans="1:11" ht="15.75" customHeight="1">
      <c r="A583" t="s">
        <v>3515</v>
      </c>
      <c r="B583">
        <v>1997</v>
      </c>
      <c r="C583" t="s">
        <v>4708</v>
      </c>
      <c r="D583">
        <v>29</v>
      </c>
      <c r="E583">
        <v>0</v>
      </c>
      <c r="F583" s="16">
        <v>5045.1499999999996</v>
      </c>
      <c r="G583" t="s">
        <v>4699</v>
      </c>
      <c r="H583" t="s">
        <v>4699</v>
      </c>
      <c r="I583" t="s">
        <v>4713</v>
      </c>
      <c r="J583" s="17">
        <f t="shared" si="18"/>
        <v>35640</v>
      </c>
      <c r="K583">
        <f t="shared" ca="1" si="19"/>
        <v>28</v>
      </c>
    </row>
    <row r="584" spans="1:11" ht="15.75" customHeight="1">
      <c r="A584" t="s">
        <v>3513</v>
      </c>
      <c r="B584">
        <v>1980</v>
      </c>
      <c r="C584" t="s">
        <v>4712</v>
      </c>
      <c r="D584">
        <v>7</v>
      </c>
      <c r="E584">
        <v>2</v>
      </c>
      <c r="F584" s="16">
        <v>5054.05</v>
      </c>
      <c r="G584" t="s">
        <v>4699</v>
      </c>
      <c r="H584" t="s">
        <v>4699</v>
      </c>
      <c r="I584" t="s">
        <v>4709</v>
      </c>
      <c r="J584" s="17">
        <f t="shared" si="18"/>
        <v>29471</v>
      </c>
      <c r="K584">
        <f t="shared" ca="1" si="19"/>
        <v>45</v>
      </c>
    </row>
    <row r="585" spans="1:11" ht="15.75" customHeight="1">
      <c r="A585" t="s">
        <v>3511</v>
      </c>
      <c r="B585">
        <v>1993</v>
      </c>
      <c r="C585" t="s">
        <v>4711</v>
      </c>
      <c r="D585">
        <v>11</v>
      </c>
      <c r="E585">
        <v>0</v>
      </c>
      <c r="F585" s="16">
        <v>5059.5600000000004</v>
      </c>
      <c r="G585" t="s">
        <v>4699</v>
      </c>
      <c r="H585" t="s">
        <v>4698</v>
      </c>
      <c r="I585" t="s">
        <v>4727</v>
      </c>
      <c r="J585" s="17">
        <f t="shared" si="18"/>
        <v>34131</v>
      </c>
      <c r="K585">
        <f t="shared" ca="1" si="19"/>
        <v>32</v>
      </c>
    </row>
    <row r="586" spans="1:11" ht="15.75" customHeight="1">
      <c r="A586" t="s">
        <v>3509</v>
      </c>
      <c r="B586">
        <v>1978</v>
      </c>
      <c r="C586" t="s">
        <v>4710</v>
      </c>
      <c r="D586">
        <v>22</v>
      </c>
      <c r="E586">
        <v>2</v>
      </c>
      <c r="F586" s="16">
        <v>5077.1899999999996</v>
      </c>
      <c r="G586" t="s">
        <v>4699</v>
      </c>
      <c r="H586" t="s">
        <v>4700</v>
      </c>
      <c r="I586" t="s">
        <v>4713</v>
      </c>
      <c r="J586" s="17">
        <f t="shared" si="18"/>
        <v>28816</v>
      </c>
      <c r="K586">
        <f t="shared" ca="1" si="19"/>
        <v>47</v>
      </c>
    </row>
    <row r="587" spans="1:11" ht="15.75" customHeight="1">
      <c r="A587" t="s">
        <v>3507</v>
      </c>
      <c r="B587">
        <v>1997</v>
      </c>
      <c r="C587" t="s">
        <v>4708</v>
      </c>
      <c r="D587">
        <v>14</v>
      </c>
      <c r="E587">
        <v>5</v>
      </c>
      <c r="F587" s="16">
        <v>5080.1000000000004</v>
      </c>
      <c r="G587" t="s">
        <v>4700</v>
      </c>
      <c r="H587" t="s">
        <v>4699</v>
      </c>
      <c r="I587" t="s">
        <v>4718</v>
      </c>
      <c r="J587" s="17">
        <f t="shared" si="18"/>
        <v>35625</v>
      </c>
      <c r="K587">
        <f t="shared" ca="1" si="19"/>
        <v>28</v>
      </c>
    </row>
    <row r="588" spans="1:11" ht="15.75" customHeight="1">
      <c r="A588" t="s">
        <v>3505</v>
      </c>
      <c r="B588">
        <v>1999</v>
      </c>
      <c r="C588" t="s">
        <v>4711</v>
      </c>
      <c r="D588">
        <v>19</v>
      </c>
      <c r="E588">
        <v>0</v>
      </c>
      <c r="F588" s="16">
        <v>5087.92</v>
      </c>
      <c r="G588" t="s">
        <v>4699</v>
      </c>
      <c r="H588" t="s">
        <v>4699</v>
      </c>
      <c r="I588" t="s">
        <v>4730</v>
      </c>
      <c r="J588" s="17">
        <f t="shared" si="18"/>
        <v>36330</v>
      </c>
      <c r="K588">
        <f t="shared" ca="1" si="19"/>
        <v>26</v>
      </c>
    </row>
    <row r="589" spans="1:11" ht="15.75" customHeight="1">
      <c r="A589" t="s">
        <v>3503</v>
      </c>
      <c r="B589">
        <v>1987</v>
      </c>
      <c r="C589" t="s">
        <v>4710</v>
      </c>
      <c r="D589">
        <v>18</v>
      </c>
      <c r="E589">
        <v>1</v>
      </c>
      <c r="F589" s="16">
        <v>5116.5</v>
      </c>
      <c r="G589" t="s">
        <v>4699</v>
      </c>
      <c r="H589" t="s">
        <v>4699</v>
      </c>
      <c r="I589" t="s">
        <v>4713</v>
      </c>
      <c r="J589" s="17">
        <f t="shared" si="18"/>
        <v>32099</v>
      </c>
      <c r="K589">
        <f t="shared" ca="1" si="19"/>
        <v>38</v>
      </c>
    </row>
    <row r="590" spans="1:11" ht="15.75" customHeight="1">
      <c r="A590" t="s">
        <v>3501</v>
      </c>
      <c r="B590">
        <v>1988</v>
      </c>
      <c r="C590" t="s">
        <v>4710</v>
      </c>
      <c r="D590">
        <v>1</v>
      </c>
      <c r="E590">
        <v>2</v>
      </c>
      <c r="F590" s="16">
        <v>5124.1899999999996</v>
      </c>
      <c r="G590" t="s">
        <v>4699</v>
      </c>
      <c r="H590" t="s">
        <v>4700</v>
      </c>
      <c r="I590" t="s">
        <v>4709</v>
      </c>
      <c r="J590" s="17">
        <f t="shared" si="18"/>
        <v>32448</v>
      </c>
      <c r="K590">
        <f t="shared" ca="1" si="19"/>
        <v>37</v>
      </c>
    </row>
    <row r="591" spans="1:11" ht="15.75" customHeight="1">
      <c r="A591" t="s">
        <v>3499</v>
      </c>
      <c r="B591">
        <v>1987</v>
      </c>
      <c r="C591" t="s">
        <v>4712</v>
      </c>
      <c r="D591">
        <v>13</v>
      </c>
      <c r="E591">
        <v>1</v>
      </c>
      <c r="F591" s="16">
        <v>5125.22</v>
      </c>
      <c r="G591" t="s">
        <v>4698</v>
      </c>
      <c r="H591" t="s">
        <v>4699</v>
      </c>
      <c r="I591" t="s">
        <v>4713</v>
      </c>
      <c r="J591" s="17">
        <f t="shared" si="18"/>
        <v>32033</v>
      </c>
      <c r="K591">
        <f t="shared" ca="1" si="19"/>
        <v>38</v>
      </c>
    </row>
    <row r="592" spans="1:11" ht="15.75" customHeight="1">
      <c r="A592" t="s">
        <v>3497</v>
      </c>
      <c r="B592">
        <v>1988</v>
      </c>
      <c r="C592" t="s">
        <v>4712</v>
      </c>
      <c r="D592">
        <v>15</v>
      </c>
      <c r="E592">
        <v>3</v>
      </c>
      <c r="F592" s="16">
        <v>5136.75</v>
      </c>
      <c r="G592" t="s">
        <v>4699</v>
      </c>
      <c r="H592" t="s">
        <v>4698</v>
      </c>
      <c r="I592" t="s">
        <v>4709</v>
      </c>
      <c r="J592" s="17">
        <f t="shared" si="18"/>
        <v>32401</v>
      </c>
      <c r="K592">
        <f t="shared" ca="1" si="19"/>
        <v>37</v>
      </c>
    </row>
    <row r="593" spans="1:11" ht="15.75" customHeight="1">
      <c r="A593" t="s">
        <v>3495</v>
      </c>
      <c r="B593">
        <v>1993</v>
      </c>
      <c r="C593" t="s">
        <v>4714</v>
      </c>
      <c r="D593">
        <v>10</v>
      </c>
      <c r="E593">
        <v>3</v>
      </c>
      <c r="F593" s="16">
        <v>5138.26</v>
      </c>
      <c r="G593" t="s">
        <v>4699</v>
      </c>
      <c r="H593" t="s">
        <v>4699</v>
      </c>
      <c r="I593" t="s">
        <v>4709</v>
      </c>
      <c r="J593" s="17">
        <f t="shared" si="18"/>
        <v>34313</v>
      </c>
      <c r="K593">
        <f t="shared" ca="1" si="19"/>
        <v>31</v>
      </c>
    </row>
    <row r="594" spans="1:11" ht="15.75" customHeight="1">
      <c r="A594" t="s">
        <v>3493</v>
      </c>
      <c r="B594">
        <v>1984</v>
      </c>
      <c r="C594" t="s">
        <v>4716</v>
      </c>
      <c r="D594">
        <v>22</v>
      </c>
      <c r="E594">
        <v>3</v>
      </c>
      <c r="F594" s="16">
        <v>5144.18</v>
      </c>
      <c r="G594" t="s">
        <v>4699</v>
      </c>
      <c r="H594" t="s">
        <v>4698</v>
      </c>
      <c r="I594" t="s">
        <v>4709</v>
      </c>
      <c r="J594" s="17">
        <f t="shared" si="18"/>
        <v>30916</v>
      </c>
      <c r="K594">
        <f t="shared" ca="1" si="19"/>
        <v>41</v>
      </c>
    </row>
    <row r="595" spans="1:11" ht="15.75" customHeight="1">
      <c r="A595" t="s">
        <v>3491</v>
      </c>
      <c r="B595">
        <v>1990</v>
      </c>
      <c r="C595" t="s">
        <v>4716</v>
      </c>
      <c r="D595">
        <v>22</v>
      </c>
      <c r="E595">
        <v>1</v>
      </c>
      <c r="F595" s="16">
        <v>5148.55</v>
      </c>
      <c r="G595" t="s">
        <v>4699</v>
      </c>
      <c r="H595" t="s">
        <v>4699</v>
      </c>
      <c r="I595" t="s">
        <v>4724</v>
      </c>
      <c r="J595" s="17">
        <f t="shared" si="18"/>
        <v>33107</v>
      </c>
      <c r="K595">
        <f t="shared" ca="1" si="19"/>
        <v>35</v>
      </c>
    </row>
    <row r="596" spans="1:11" ht="15.75" customHeight="1">
      <c r="A596" t="s">
        <v>3489</v>
      </c>
      <c r="B596">
        <v>1990</v>
      </c>
      <c r="C596" t="s">
        <v>4717</v>
      </c>
      <c r="D596">
        <v>9</v>
      </c>
      <c r="E596">
        <v>2</v>
      </c>
      <c r="F596" s="16">
        <v>5152.13</v>
      </c>
      <c r="G596" t="s">
        <v>4699</v>
      </c>
      <c r="H596" t="s">
        <v>4699</v>
      </c>
      <c r="I596" t="s">
        <v>4718</v>
      </c>
      <c r="J596" s="17">
        <f t="shared" si="18"/>
        <v>33155</v>
      </c>
      <c r="K596">
        <f t="shared" ca="1" si="19"/>
        <v>35</v>
      </c>
    </row>
    <row r="597" spans="1:11" ht="15.75" customHeight="1">
      <c r="A597" t="s">
        <v>3487</v>
      </c>
      <c r="B597">
        <v>1991</v>
      </c>
      <c r="C597" t="s">
        <v>4716</v>
      </c>
      <c r="D597">
        <v>29</v>
      </c>
      <c r="E597">
        <v>3</v>
      </c>
      <c r="F597" s="16">
        <v>5166.96</v>
      </c>
      <c r="G597" t="s">
        <v>4699</v>
      </c>
      <c r="H597" t="s">
        <v>4699</v>
      </c>
      <c r="I597" t="s">
        <v>4713</v>
      </c>
      <c r="J597" s="17">
        <f t="shared" si="18"/>
        <v>33479</v>
      </c>
      <c r="K597">
        <f t="shared" ca="1" si="19"/>
        <v>34</v>
      </c>
    </row>
    <row r="598" spans="1:11" ht="15.75" customHeight="1">
      <c r="A598" t="s">
        <v>3485</v>
      </c>
      <c r="B598">
        <v>1984</v>
      </c>
      <c r="C598" t="s">
        <v>4717</v>
      </c>
      <c r="D598">
        <v>16</v>
      </c>
      <c r="E598">
        <v>3</v>
      </c>
      <c r="F598" s="16">
        <v>5177.12</v>
      </c>
      <c r="G598" t="s">
        <v>4699</v>
      </c>
      <c r="H598" t="s">
        <v>4698</v>
      </c>
      <c r="I598" t="s">
        <v>4709</v>
      </c>
      <c r="J598" s="17">
        <f t="shared" si="18"/>
        <v>30971</v>
      </c>
      <c r="K598">
        <f t="shared" ca="1" si="19"/>
        <v>41</v>
      </c>
    </row>
    <row r="599" spans="1:11" ht="15.75" customHeight="1">
      <c r="A599" t="s">
        <v>3483</v>
      </c>
      <c r="B599">
        <v>1979</v>
      </c>
      <c r="C599" t="s">
        <v>4712</v>
      </c>
      <c r="D599">
        <v>12</v>
      </c>
      <c r="E599">
        <v>2</v>
      </c>
      <c r="F599" s="16">
        <v>5195.58</v>
      </c>
      <c r="G599" t="s">
        <v>4699</v>
      </c>
      <c r="H599" t="s">
        <v>4699</v>
      </c>
      <c r="I599" t="s">
        <v>4709</v>
      </c>
      <c r="J599" s="17">
        <f t="shared" si="18"/>
        <v>29110</v>
      </c>
      <c r="K599">
        <f t="shared" ca="1" si="19"/>
        <v>46</v>
      </c>
    </row>
    <row r="600" spans="1:11" ht="15.75" customHeight="1">
      <c r="A600" t="s">
        <v>3481</v>
      </c>
      <c r="B600">
        <v>2004</v>
      </c>
      <c r="C600" t="s">
        <v>4711</v>
      </c>
      <c r="D600">
        <v>6</v>
      </c>
      <c r="E600">
        <v>0</v>
      </c>
      <c r="F600" s="16">
        <v>5198.6899999999996</v>
      </c>
      <c r="G600" t="s">
        <v>4699</v>
      </c>
      <c r="H600" t="s">
        <v>4699</v>
      </c>
      <c r="I600" t="s">
        <v>4731</v>
      </c>
      <c r="J600" s="17">
        <f t="shared" si="18"/>
        <v>38144</v>
      </c>
      <c r="K600">
        <f t="shared" ca="1" si="19"/>
        <v>21</v>
      </c>
    </row>
    <row r="601" spans="1:11" ht="15.75" customHeight="1">
      <c r="A601" t="s">
        <v>3479</v>
      </c>
      <c r="B601">
        <v>1983</v>
      </c>
      <c r="C601" t="s">
        <v>4717</v>
      </c>
      <c r="D601">
        <v>24</v>
      </c>
      <c r="E601">
        <v>3</v>
      </c>
      <c r="F601" s="16">
        <v>5207.97</v>
      </c>
      <c r="G601" t="s">
        <v>4699</v>
      </c>
      <c r="H601" t="s">
        <v>4699</v>
      </c>
      <c r="I601" t="s">
        <v>4713</v>
      </c>
      <c r="J601" s="17">
        <f t="shared" si="18"/>
        <v>30613</v>
      </c>
      <c r="K601">
        <f t="shared" ca="1" si="19"/>
        <v>42</v>
      </c>
    </row>
    <row r="602" spans="1:11" ht="15.75" customHeight="1">
      <c r="A602" t="s">
        <v>3477</v>
      </c>
      <c r="B602">
        <v>1993</v>
      </c>
      <c r="C602" t="s">
        <v>4711</v>
      </c>
      <c r="D602">
        <v>17</v>
      </c>
      <c r="E602">
        <v>3</v>
      </c>
      <c r="F602" s="16">
        <v>5209.58</v>
      </c>
      <c r="G602" t="s">
        <v>4700</v>
      </c>
      <c r="H602" t="s">
        <v>4700</v>
      </c>
      <c r="I602" t="s">
        <v>4728</v>
      </c>
      <c r="J602" s="17">
        <f t="shared" si="18"/>
        <v>34137</v>
      </c>
      <c r="K602">
        <f t="shared" ca="1" si="19"/>
        <v>32</v>
      </c>
    </row>
    <row r="603" spans="1:11" ht="15.75" customHeight="1">
      <c r="A603" t="s">
        <v>3475</v>
      </c>
      <c r="B603">
        <v>1999</v>
      </c>
      <c r="C603" t="s">
        <v>4714</v>
      </c>
      <c r="D603">
        <v>1</v>
      </c>
      <c r="E603">
        <v>0</v>
      </c>
      <c r="F603" s="16">
        <v>5213.22</v>
      </c>
      <c r="G603" t="s">
        <v>4699</v>
      </c>
      <c r="H603" t="s">
        <v>4698</v>
      </c>
      <c r="I603" t="s">
        <v>4713</v>
      </c>
      <c r="J603" s="17">
        <f t="shared" si="18"/>
        <v>36495</v>
      </c>
      <c r="K603">
        <f t="shared" ca="1" si="19"/>
        <v>25</v>
      </c>
    </row>
    <row r="604" spans="1:11" ht="15.75" customHeight="1">
      <c r="A604" t="s">
        <v>3473</v>
      </c>
      <c r="B604">
        <v>1995</v>
      </c>
      <c r="C604" t="s">
        <v>4711</v>
      </c>
      <c r="D604">
        <v>6</v>
      </c>
      <c r="E604">
        <v>0</v>
      </c>
      <c r="F604" s="16">
        <v>5216.4799999999996</v>
      </c>
      <c r="G604" t="s">
        <v>4699</v>
      </c>
      <c r="H604" t="s">
        <v>4699</v>
      </c>
      <c r="I604" t="s">
        <v>4723</v>
      </c>
      <c r="J604" s="17">
        <f t="shared" si="18"/>
        <v>34856</v>
      </c>
      <c r="K604">
        <f t="shared" ca="1" si="19"/>
        <v>30</v>
      </c>
    </row>
    <row r="605" spans="1:11" ht="15.75" customHeight="1">
      <c r="A605" t="s">
        <v>3471</v>
      </c>
      <c r="B605">
        <v>1987</v>
      </c>
      <c r="C605" t="s">
        <v>4711</v>
      </c>
      <c r="D605">
        <v>29</v>
      </c>
      <c r="E605">
        <v>0</v>
      </c>
      <c r="F605" s="16">
        <v>5227.99</v>
      </c>
      <c r="G605" t="s">
        <v>4699</v>
      </c>
      <c r="H605" t="s">
        <v>4698</v>
      </c>
      <c r="I605" t="s">
        <v>4724</v>
      </c>
      <c r="J605" s="17">
        <f t="shared" si="18"/>
        <v>31957</v>
      </c>
      <c r="K605">
        <f t="shared" ca="1" si="19"/>
        <v>38</v>
      </c>
    </row>
    <row r="606" spans="1:11" ht="15.75" customHeight="1">
      <c r="A606" t="s">
        <v>3469</v>
      </c>
      <c r="B606">
        <v>1987</v>
      </c>
      <c r="C606" t="s">
        <v>4714</v>
      </c>
      <c r="D606">
        <v>26</v>
      </c>
      <c r="E606">
        <v>1</v>
      </c>
      <c r="F606" s="16">
        <v>5240.7700000000004</v>
      </c>
      <c r="G606" t="s">
        <v>4699</v>
      </c>
      <c r="H606" t="s">
        <v>4699</v>
      </c>
      <c r="I606" t="s">
        <v>4718</v>
      </c>
      <c r="J606" s="17">
        <f t="shared" si="18"/>
        <v>32137</v>
      </c>
      <c r="K606">
        <f t="shared" ca="1" si="19"/>
        <v>37</v>
      </c>
    </row>
    <row r="607" spans="1:11" ht="15.75" customHeight="1">
      <c r="A607" t="s">
        <v>3467</v>
      </c>
      <c r="B607">
        <v>1987</v>
      </c>
      <c r="C607" t="s">
        <v>4708</v>
      </c>
      <c r="D607">
        <v>5</v>
      </c>
      <c r="E607">
        <v>1</v>
      </c>
      <c r="F607" s="16">
        <v>5245.23</v>
      </c>
      <c r="G607" t="s">
        <v>4699</v>
      </c>
      <c r="H607" t="s">
        <v>4699</v>
      </c>
      <c r="I607" t="s">
        <v>4709</v>
      </c>
      <c r="J607" s="17">
        <f t="shared" si="18"/>
        <v>31963</v>
      </c>
      <c r="K607">
        <f t="shared" ca="1" si="19"/>
        <v>38</v>
      </c>
    </row>
    <row r="608" spans="1:11" ht="15.75" customHeight="1">
      <c r="A608" t="s">
        <v>3465</v>
      </c>
      <c r="B608">
        <v>1987</v>
      </c>
      <c r="C608" t="s">
        <v>4712</v>
      </c>
      <c r="D608">
        <v>9</v>
      </c>
      <c r="E608">
        <v>1</v>
      </c>
      <c r="F608" s="16">
        <v>5246.05</v>
      </c>
      <c r="G608" t="s">
        <v>4699</v>
      </c>
      <c r="H608" t="s">
        <v>4700</v>
      </c>
      <c r="I608" t="s">
        <v>4718</v>
      </c>
      <c r="J608" s="17">
        <f t="shared" si="18"/>
        <v>32029</v>
      </c>
      <c r="K608">
        <f t="shared" ca="1" si="19"/>
        <v>38</v>
      </c>
    </row>
    <row r="609" spans="1:11" ht="15.75" customHeight="1">
      <c r="A609" t="s">
        <v>3463</v>
      </c>
      <c r="B609">
        <v>1990</v>
      </c>
      <c r="C609" t="s">
        <v>4708</v>
      </c>
      <c r="D609">
        <v>6</v>
      </c>
      <c r="E609">
        <v>3</v>
      </c>
      <c r="F609" s="16">
        <v>5253.52</v>
      </c>
      <c r="G609" t="s">
        <v>4700</v>
      </c>
      <c r="H609" t="s">
        <v>4700</v>
      </c>
      <c r="I609" t="s">
        <v>4718</v>
      </c>
      <c r="J609" s="17">
        <f t="shared" si="18"/>
        <v>33060</v>
      </c>
      <c r="K609">
        <f t="shared" ca="1" si="19"/>
        <v>35</v>
      </c>
    </row>
    <row r="610" spans="1:11" ht="15.75" customHeight="1">
      <c r="A610" t="s">
        <v>3461</v>
      </c>
      <c r="B610">
        <v>1989</v>
      </c>
      <c r="C610" t="s">
        <v>4710</v>
      </c>
      <c r="D610">
        <v>25</v>
      </c>
      <c r="E610">
        <v>2</v>
      </c>
      <c r="F610" s="16">
        <v>5257.51</v>
      </c>
      <c r="G610" t="s">
        <v>4699</v>
      </c>
      <c r="H610" t="s">
        <v>4699</v>
      </c>
      <c r="I610" t="s">
        <v>4713</v>
      </c>
      <c r="J610" s="17">
        <f t="shared" si="18"/>
        <v>32837</v>
      </c>
      <c r="K610">
        <f t="shared" ca="1" si="19"/>
        <v>36</v>
      </c>
    </row>
    <row r="611" spans="1:11" ht="15.75" customHeight="1">
      <c r="A611" t="s">
        <v>3459</v>
      </c>
      <c r="B611">
        <v>1989</v>
      </c>
      <c r="C611" t="s">
        <v>4708</v>
      </c>
      <c r="D611">
        <v>19</v>
      </c>
      <c r="E611">
        <v>2</v>
      </c>
      <c r="F611" s="16">
        <v>5261.47</v>
      </c>
      <c r="G611" t="s">
        <v>4699</v>
      </c>
      <c r="H611" t="s">
        <v>4699</v>
      </c>
      <c r="I611" t="s">
        <v>4713</v>
      </c>
      <c r="J611" s="17">
        <f t="shared" si="18"/>
        <v>32708</v>
      </c>
      <c r="K611">
        <f t="shared" ca="1" si="19"/>
        <v>36</v>
      </c>
    </row>
    <row r="612" spans="1:11" ht="15.75" customHeight="1">
      <c r="A612" t="s">
        <v>3457</v>
      </c>
      <c r="B612">
        <v>1986</v>
      </c>
      <c r="C612" t="s">
        <v>4717</v>
      </c>
      <c r="D612">
        <v>25</v>
      </c>
      <c r="E612">
        <v>0</v>
      </c>
      <c r="F612" s="16">
        <v>5266.37</v>
      </c>
      <c r="G612" t="s">
        <v>4699</v>
      </c>
      <c r="H612" t="s">
        <v>4699</v>
      </c>
      <c r="I612" t="s">
        <v>4713</v>
      </c>
      <c r="J612" s="17">
        <f t="shared" si="18"/>
        <v>31710</v>
      </c>
      <c r="K612">
        <f t="shared" ca="1" si="19"/>
        <v>39</v>
      </c>
    </row>
    <row r="613" spans="1:11" ht="15.75" customHeight="1">
      <c r="A613" t="s">
        <v>3455</v>
      </c>
      <c r="B613">
        <v>1986</v>
      </c>
      <c r="C613" t="s">
        <v>4712</v>
      </c>
      <c r="D613">
        <v>20</v>
      </c>
      <c r="E613">
        <v>0</v>
      </c>
      <c r="F613" s="16">
        <v>5267.82</v>
      </c>
      <c r="G613" t="s">
        <v>4699</v>
      </c>
      <c r="H613" t="s">
        <v>4699</v>
      </c>
      <c r="I613" t="s">
        <v>4713</v>
      </c>
      <c r="J613" s="17">
        <f t="shared" si="18"/>
        <v>31675</v>
      </c>
      <c r="K613">
        <f t="shared" ca="1" si="19"/>
        <v>39</v>
      </c>
    </row>
    <row r="614" spans="1:11" ht="15.75" customHeight="1">
      <c r="A614" t="s">
        <v>3453</v>
      </c>
      <c r="B614">
        <v>1986</v>
      </c>
      <c r="C614" t="s">
        <v>4717</v>
      </c>
      <c r="D614">
        <v>20</v>
      </c>
      <c r="E614">
        <v>0</v>
      </c>
      <c r="F614" s="16">
        <v>5272.18</v>
      </c>
      <c r="G614" t="s">
        <v>4699</v>
      </c>
      <c r="H614" t="s">
        <v>4700</v>
      </c>
      <c r="I614" t="s">
        <v>4713</v>
      </c>
      <c r="J614" s="17">
        <f t="shared" si="18"/>
        <v>31705</v>
      </c>
      <c r="K614">
        <f t="shared" ca="1" si="19"/>
        <v>39</v>
      </c>
    </row>
    <row r="615" spans="1:11" ht="15.75" customHeight="1">
      <c r="A615" t="s">
        <v>3451</v>
      </c>
      <c r="B615">
        <v>1987</v>
      </c>
      <c r="C615" t="s">
        <v>4712</v>
      </c>
      <c r="D615">
        <v>1</v>
      </c>
      <c r="E615">
        <v>3</v>
      </c>
      <c r="F615" s="16">
        <v>5275.86</v>
      </c>
      <c r="G615" t="s">
        <v>4699</v>
      </c>
      <c r="H615" t="s">
        <v>4699</v>
      </c>
      <c r="I615" t="s">
        <v>4709</v>
      </c>
      <c r="J615" s="17">
        <f t="shared" si="18"/>
        <v>32021</v>
      </c>
      <c r="K615">
        <f t="shared" ca="1" si="19"/>
        <v>38</v>
      </c>
    </row>
    <row r="616" spans="1:11" ht="15.75" customHeight="1">
      <c r="A616" t="s">
        <v>3449</v>
      </c>
      <c r="B616">
        <v>1974</v>
      </c>
      <c r="C616" t="s">
        <v>4710</v>
      </c>
      <c r="D616">
        <v>12</v>
      </c>
      <c r="E616">
        <v>0</v>
      </c>
      <c r="F616" s="16">
        <v>5291.71</v>
      </c>
      <c r="G616" t="s">
        <v>4699</v>
      </c>
      <c r="H616" t="s">
        <v>4699</v>
      </c>
      <c r="I616" t="s">
        <v>4713</v>
      </c>
      <c r="J616" s="17">
        <f t="shared" si="18"/>
        <v>27345</v>
      </c>
      <c r="K616">
        <f t="shared" ca="1" si="19"/>
        <v>51</v>
      </c>
    </row>
    <row r="617" spans="1:11" ht="15.75" customHeight="1">
      <c r="A617" t="s">
        <v>3447</v>
      </c>
      <c r="B617">
        <v>2004</v>
      </c>
      <c r="C617" t="s">
        <v>4716</v>
      </c>
      <c r="D617">
        <v>22</v>
      </c>
      <c r="E617">
        <v>0</v>
      </c>
      <c r="F617" s="16">
        <v>5293.67</v>
      </c>
      <c r="G617" t="s">
        <v>4699</v>
      </c>
      <c r="H617" t="s">
        <v>4699</v>
      </c>
      <c r="I617" t="s">
        <v>4731</v>
      </c>
      <c r="J617" s="17">
        <f t="shared" si="18"/>
        <v>38221</v>
      </c>
      <c r="K617">
        <f t="shared" ca="1" si="19"/>
        <v>21</v>
      </c>
    </row>
    <row r="618" spans="1:11" ht="15.75" customHeight="1">
      <c r="A618" t="s">
        <v>3445</v>
      </c>
      <c r="B618">
        <v>2000</v>
      </c>
      <c r="C618" t="s">
        <v>4712</v>
      </c>
      <c r="D618">
        <v>9</v>
      </c>
      <c r="E618">
        <v>0</v>
      </c>
      <c r="F618" s="16">
        <v>5306.7</v>
      </c>
      <c r="G618" t="s">
        <v>4699</v>
      </c>
      <c r="H618" t="s">
        <v>4700</v>
      </c>
      <c r="I618" t="s">
        <v>4713</v>
      </c>
      <c r="J618" s="17">
        <f t="shared" si="18"/>
        <v>36778</v>
      </c>
      <c r="K618">
        <f t="shared" ca="1" si="19"/>
        <v>25</v>
      </c>
    </row>
    <row r="619" spans="1:11" ht="15.75" customHeight="1">
      <c r="A619" t="s">
        <v>3443</v>
      </c>
      <c r="B619">
        <v>1994</v>
      </c>
      <c r="C619" t="s">
        <v>4710</v>
      </c>
      <c r="D619">
        <v>13</v>
      </c>
      <c r="E619">
        <v>3</v>
      </c>
      <c r="F619" s="16">
        <v>5312.17</v>
      </c>
      <c r="G619" t="s">
        <v>4699</v>
      </c>
      <c r="H619" t="s">
        <v>4699</v>
      </c>
      <c r="I619" t="s">
        <v>4713</v>
      </c>
      <c r="J619" s="17">
        <f t="shared" si="18"/>
        <v>34651</v>
      </c>
      <c r="K619">
        <f t="shared" ca="1" si="19"/>
        <v>31</v>
      </c>
    </row>
    <row r="620" spans="1:11" ht="15.75" customHeight="1">
      <c r="A620" t="s">
        <v>3441</v>
      </c>
      <c r="B620">
        <v>1974</v>
      </c>
      <c r="C620" t="s">
        <v>4712</v>
      </c>
      <c r="D620">
        <v>2</v>
      </c>
      <c r="E620">
        <v>0</v>
      </c>
      <c r="F620" s="16">
        <v>5322.24</v>
      </c>
      <c r="G620" t="s">
        <v>4699</v>
      </c>
      <c r="H620" t="s">
        <v>4698</v>
      </c>
      <c r="I620" t="s">
        <v>4713</v>
      </c>
      <c r="J620" s="17">
        <f t="shared" si="18"/>
        <v>27274</v>
      </c>
      <c r="K620">
        <f t="shared" ca="1" si="19"/>
        <v>51</v>
      </c>
    </row>
    <row r="621" spans="1:11" ht="15.75" customHeight="1">
      <c r="A621" t="s">
        <v>3439</v>
      </c>
      <c r="B621">
        <v>1992</v>
      </c>
      <c r="C621" t="s">
        <v>4711</v>
      </c>
      <c r="D621">
        <v>18</v>
      </c>
      <c r="E621">
        <v>3</v>
      </c>
      <c r="F621" s="16">
        <v>5325.65</v>
      </c>
      <c r="G621" t="s">
        <v>4699</v>
      </c>
      <c r="H621" t="s">
        <v>4698</v>
      </c>
      <c r="I621" t="s">
        <v>4718</v>
      </c>
      <c r="J621" s="17">
        <f t="shared" si="18"/>
        <v>33773</v>
      </c>
      <c r="K621">
        <f t="shared" ca="1" si="19"/>
        <v>33</v>
      </c>
    </row>
    <row r="622" spans="1:11" ht="15.75" customHeight="1">
      <c r="A622" t="s">
        <v>3437</v>
      </c>
      <c r="B622">
        <v>1991</v>
      </c>
      <c r="C622" t="s">
        <v>4716</v>
      </c>
      <c r="D622">
        <v>28</v>
      </c>
      <c r="E622">
        <v>2</v>
      </c>
      <c r="F622" s="16">
        <v>5327.4</v>
      </c>
      <c r="G622" t="s">
        <v>4699</v>
      </c>
      <c r="H622" t="s">
        <v>4698</v>
      </c>
      <c r="I622" t="s">
        <v>4713</v>
      </c>
      <c r="J622" s="17">
        <f t="shared" si="18"/>
        <v>33478</v>
      </c>
      <c r="K622">
        <f t="shared" ca="1" si="19"/>
        <v>34</v>
      </c>
    </row>
    <row r="623" spans="1:11" ht="15.75" customHeight="1">
      <c r="A623" t="s">
        <v>3435</v>
      </c>
      <c r="B623">
        <v>1972</v>
      </c>
      <c r="C623" t="s">
        <v>4714</v>
      </c>
      <c r="D623">
        <v>15</v>
      </c>
      <c r="E623">
        <v>0</v>
      </c>
      <c r="F623" s="16">
        <v>5344.81</v>
      </c>
      <c r="G623" t="s">
        <v>4699</v>
      </c>
      <c r="H623" t="s">
        <v>4700</v>
      </c>
      <c r="I623" t="s">
        <v>4709</v>
      </c>
      <c r="J623" s="17">
        <f t="shared" si="18"/>
        <v>26648</v>
      </c>
      <c r="K623">
        <f t="shared" ca="1" si="19"/>
        <v>52</v>
      </c>
    </row>
    <row r="624" spans="1:11" ht="15.75" customHeight="1">
      <c r="A624" t="s">
        <v>3433</v>
      </c>
      <c r="B624">
        <v>1989</v>
      </c>
      <c r="C624" t="s">
        <v>4710</v>
      </c>
      <c r="D624">
        <v>7</v>
      </c>
      <c r="E624">
        <v>1</v>
      </c>
      <c r="F624" s="16">
        <v>5354.07</v>
      </c>
      <c r="G624" t="s">
        <v>4699</v>
      </c>
      <c r="H624" t="s">
        <v>4700</v>
      </c>
      <c r="I624" t="s">
        <v>4724</v>
      </c>
      <c r="J624" s="17">
        <f t="shared" si="18"/>
        <v>32819</v>
      </c>
      <c r="K624">
        <f t="shared" ca="1" si="19"/>
        <v>36</v>
      </c>
    </row>
    <row r="625" spans="1:11" ht="15.75" customHeight="1">
      <c r="A625" t="s">
        <v>3431</v>
      </c>
      <c r="B625">
        <v>1994</v>
      </c>
      <c r="C625" t="s">
        <v>4714</v>
      </c>
      <c r="D625">
        <v>7</v>
      </c>
      <c r="E625">
        <v>0</v>
      </c>
      <c r="F625" s="16">
        <v>5364.66</v>
      </c>
      <c r="G625" t="s">
        <v>4699</v>
      </c>
      <c r="H625" t="s">
        <v>4698</v>
      </c>
      <c r="I625" t="s">
        <v>4718</v>
      </c>
      <c r="J625" s="17">
        <f t="shared" si="18"/>
        <v>34675</v>
      </c>
      <c r="K625">
        <f t="shared" ca="1" si="19"/>
        <v>30</v>
      </c>
    </row>
    <row r="626" spans="1:11" ht="15.75" customHeight="1">
      <c r="A626" t="s">
        <v>3429</v>
      </c>
      <c r="B626">
        <v>1986</v>
      </c>
      <c r="C626" t="s">
        <v>4711</v>
      </c>
      <c r="D626">
        <v>1</v>
      </c>
      <c r="E626">
        <v>1</v>
      </c>
      <c r="F626" s="16">
        <v>5373.36</v>
      </c>
      <c r="G626" t="s">
        <v>4699</v>
      </c>
      <c r="H626" t="s">
        <v>4699</v>
      </c>
      <c r="I626" t="s">
        <v>4713</v>
      </c>
      <c r="J626" s="17">
        <f t="shared" si="18"/>
        <v>31564</v>
      </c>
      <c r="K626">
        <f t="shared" ca="1" si="19"/>
        <v>39</v>
      </c>
    </row>
    <row r="627" spans="1:11" ht="15.75" customHeight="1">
      <c r="A627" t="s">
        <v>3427</v>
      </c>
      <c r="B627">
        <v>1989</v>
      </c>
      <c r="C627" t="s">
        <v>4710</v>
      </c>
      <c r="D627">
        <v>18</v>
      </c>
      <c r="E627">
        <v>2</v>
      </c>
      <c r="F627" s="16">
        <v>5375.04</v>
      </c>
      <c r="G627" t="s">
        <v>4699</v>
      </c>
      <c r="H627" t="s">
        <v>4698</v>
      </c>
      <c r="I627" t="s">
        <v>4718</v>
      </c>
      <c r="J627" s="17">
        <f t="shared" si="18"/>
        <v>32830</v>
      </c>
      <c r="K627">
        <f t="shared" ca="1" si="19"/>
        <v>36</v>
      </c>
    </row>
    <row r="628" spans="1:11" ht="15.75" customHeight="1">
      <c r="A628" t="s">
        <v>3425</v>
      </c>
      <c r="B628">
        <v>1986</v>
      </c>
      <c r="C628" t="s">
        <v>4708</v>
      </c>
      <c r="D628">
        <v>22</v>
      </c>
      <c r="E628">
        <v>1</v>
      </c>
      <c r="F628" s="16">
        <v>5377.46</v>
      </c>
      <c r="G628" t="s">
        <v>4699</v>
      </c>
      <c r="H628" t="s">
        <v>4700</v>
      </c>
      <c r="I628" t="s">
        <v>4713</v>
      </c>
      <c r="J628" s="17">
        <f t="shared" si="18"/>
        <v>31615</v>
      </c>
      <c r="K628">
        <f t="shared" ca="1" si="19"/>
        <v>39</v>
      </c>
    </row>
    <row r="629" spans="1:11" ht="15.75" customHeight="1">
      <c r="A629" t="s">
        <v>3423</v>
      </c>
      <c r="B629">
        <v>1984</v>
      </c>
      <c r="C629" t="s">
        <v>4711</v>
      </c>
      <c r="D629">
        <v>1</v>
      </c>
      <c r="E629">
        <v>0</v>
      </c>
      <c r="F629" s="16">
        <v>5383.54</v>
      </c>
      <c r="G629" t="s">
        <v>4699</v>
      </c>
      <c r="H629" t="s">
        <v>4700</v>
      </c>
      <c r="I629" t="s">
        <v>4718</v>
      </c>
      <c r="J629" s="17">
        <f t="shared" si="18"/>
        <v>30834</v>
      </c>
      <c r="K629">
        <f t="shared" ca="1" si="19"/>
        <v>41</v>
      </c>
    </row>
    <row r="630" spans="1:11" ht="15.75" customHeight="1">
      <c r="A630" t="s">
        <v>3421</v>
      </c>
      <c r="B630">
        <v>1988</v>
      </c>
      <c r="C630" t="s">
        <v>4716</v>
      </c>
      <c r="D630">
        <v>8</v>
      </c>
      <c r="E630">
        <v>1</v>
      </c>
      <c r="F630" s="16">
        <v>5385.34</v>
      </c>
      <c r="G630" t="s">
        <v>4699</v>
      </c>
      <c r="H630" t="s">
        <v>4700</v>
      </c>
      <c r="I630" t="s">
        <v>4713</v>
      </c>
      <c r="J630" s="17">
        <f t="shared" si="18"/>
        <v>32363</v>
      </c>
      <c r="K630">
        <f t="shared" ca="1" si="19"/>
        <v>37</v>
      </c>
    </row>
    <row r="631" spans="1:11" ht="15.75" customHeight="1">
      <c r="A631" t="s">
        <v>3419</v>
      </c>
      <c r="B631">
        <v>1989</v>
      </c>
      <c r="C631" t="s">
        <v>4710</v>
      </c>
      <c r="D631">
        <v>6</v>
      </c>
      <c r="E631">
        <v>3</v>
      </c>
      <c r="F631" s="16">
        <v>5396.44</v>
      </c>
      <c r="G631" t="s">
        <v>4699</v>
      </c>
      <c r="H631" t="s">
        <v>4700</v>
      </c>
      <c r="I631" t="s">
        <v>4709</v>
      </c>
      <c r="J631" s="17">
        <f t="shared" si="18"/>
        <v>32818</v>
      </c>
      <c r="K631">
        <f t="shared" ca="1" si="19"/>
        <v>36</v>
      </c>
    </row>
    <row r="632" spans="1:11" ht="15.75" customHeight="1">
      <c r="A632" t="s">
        <v>3417</v>
      </c>
      <c r="B632">
        <v>1984</v>
      </c>
      <c r="C632" t="s">
        <v>4712</v>
      </c>
      <c r="D632">
        <v>3</v>
      </c>
      <c r="E632">
        <v>0</v>
      </c>
      <c r="F632" s="16">
        <v>5397.62</v>
      </c>
      <c r="G632" t="s">
        <v>4699</v>
      </c>
      <c r="H632" t="s">
        <v>4699</v>
      </c>
      <c r="I632" t="s">
        <v>4709</v>
      </c>
      <c r="J632" s="17">
        <f t="shared" si="18"/>
        <v>30928</v>
      </c>
      <c r="K632">
        <f t="shared" ca="1" si="19"/>
        <v>41</v>
      </c>
    </row>
    <row r="633" spans="1:11" ht="15.75" customHeight="1">
      <c r="A633" t="s">
        <v>3415</v>
      </c>
      <c r="B633">
        <v>1984</v>
      </c>
      <c r="C633" t="s">
        <v>4716</v>
      </c>
      <c r="D633">
        <v>1</v>
      </c>
      <c r="E633">
        <v>0</v>
      </c>
      <c r="F633" s="16">
        <v>5400.98</v>
      </c>
      <c r="G633" t="s">
        <v>4699</v>
      </c>
      <c r="H633" t="s">
        <v>4699</v>
      </c>
      <c r="I633" t="s">
        <v>4709</v>
      </c>
      <c r="J633" s="17">
        <f t="shared" si="18"/>
        <v>30895</v>
      </c>
      <c r="K633">
        <f t="shared" ca="1" si="19"/>
        <v>41</v>
      </c>
    </row>
    <row r="634" spans="1:11" ht="15.75" customHeight="1">
      <c r="A634" t="s">
        <v>3413</v>
      </c>
      <c r="B634">
        <v>1985</v>
      </c>
      <c r="C634" t="s">
        <v>4714</v>
      </c>
      <c r="D634">
        <v>23</v>
      </c>
      <c r="E634">
        <v>3</v>
      </c>
      <c r="F634" s="16">
        <v>5402.89</v>
      </c>
      <c r="G634" t="s">
        <v>4699</v>
      </c>
      <c r="H634" t="s">
        <v>4698</v>
      </c>
      <c r="I634" t="s">
        <v>4709</v>
      </c>
      <c r="J634" s="17">
        <f t="shared" si="18"/>
        <v>31404</v>
      </c>
      <c r="K634">
        <f t="shared" ca="1" si="19"/>
        <v>39</v>
      </c>
    </row>
    <row r="635" spans="1:11" ht="15.75" customHeight="1">
      <c r="A635" t="s">
        <v>3411</v>
      </c>
      <c r="B635">
        <v>1975</v>
      </c>
      <c r="C635" t="s">
        <v>4712</v>
      </c>
      <c r="D635">
        <v>27</v>
      </c>
      <c r="E635">
        <v>1</v>
      </c>
      <c r="F635" s="16">
        <v>5411.99</v>
      </c>
      <c r="G635" t="s">
        <v>4699</v>
      </c>
      <c r="H635" t="s">
        <v>4700</v>
      </c>
      <c r="I635" t="s">
        <v>4713</v>
      </c>
      <c r="J635" s="17">
        <f t="shared" si="18"/>
        <v>27664</v>
      </c>
      <c r="K635">
        <f t="shared" ca="1" si="19"/>
        <v>50</v>
      </c>
    </row>
    <row r="636" spans="1:11" ht="15.75" customHeight="1">
      <c r="A636" t="s">
        <v>3409</v>
      </c>
      <c r="B636">
        <v>1982</v>
      </c>
      <c r="C636" t="s">
        <v>4712</v>
      </c>
      <c r="D636">
        <v>27</v>
      </c>
      <c r="E636">
        <v>0</v>
      </c>
      <c r="F636" s="16">
        <v>5415.66</v>
      </c>
      <c r="G636" t="s">
        <v>4699</v>
      </c>
      <c r="H636" t="s">
        <v>4700</v>
      </c>
      <c r="I636" t="s">
        <v>4709</v>
      </c>
      <c r="J636" s="17">
        <f t="shared" si="18"/>
        <v>30221</v>
      </c>
      <c r="K636">
        <f t="shared" ca="1" si="19"/>
        <v>43</v>
      </c>
    </row>
    <row r="637" spans="1:11" ht="15.75" customHeight="1">
      <c r="A637" t="s">
        <v>3407</v>
      </c>
      <c r="B637">
        <v>1991</v>
      </c>
      <c r="C637" t="s">
        <v>4708</v>
      </c>
      <c r="D637">
        <v>6</v>
      </c>
      <c r="E637">
        <v>3</v>
      </c>
      <c r="F637" s="16">
        <v>5425.02</v>
      </c>
      <c r="G637" t="s">
        <v>4699</v>
      </c>
      <c r="H637" t="s">
        <v>4698</v>
      </c>
      <c r="I637" t="s">
        <v>4713</v>
      </c>
      <c r="J637" s="17">
        <f t="shared" si="18"/>
        <v>33425</v>
      </c>
      <c r="K637">
        <f t="shared" ca="1" si="19"/>
        <v>34</v>
      </c>
    </row>
    <row r="638" spans="1:11" ht="15.75" customHeight="1">
      <c r="A638" t="s">
        <v>3405</v>
      </c>
      <c r="B638">
        <v>1992</v>
      </c>
      <c r="C638" t="s">
        <v>4712</v>
      </c>
      <c r="D638">
        <v>17</v>
      </c>
      <c r="E638">
        <v>3</v>
      </c>
      <c r="F638" s="16">
        <v>5428.73</v>
      </c>
      <c r="G638" t="s">
        <v>4700</v>
      </c>
      <c r="H638" t="s">
        <v>4698</v>
      </c>
      <c r="I638" t="s">
        <v>4728</v>
      </c>
      <c r="J638" s="17">
        <f t="shared" si="18"/>
        <v>33864</v>
      </c>
      <c r="K638">
        <f t="shared" ca="1" si="19"/>
        <v>33</v>
      </c>
    </row>
    <row r="639" spans="1:11" ht="15.75" customHeight="1">
      <c r="A639" t="s">
        <v>3403</v>
      </c>
      <c r="B639">
        <v>1978</v>
      </c>
      <c r="C639" t="s">
        <v>4711</v>
      </c>
      <c r="D639">
        <v>8</v>
      </c>
      <c r="E639">
        <v>2</v>
      </c>
      <c r="F639" s="16">
        <v>5428.98</v>
      </c>
      <c r="G639" t="s">
        <v>4699</v>
      </c>
      <c r="H639" t="s">
        <v>4699</v>
      </c>
      <c r="I639" t="s">
        <v>4713</v>
      </c>
      <c r="J639" s="17">
        <f t="shared" si="18"/>
        <v>28649</v>
      </c>
      <c r="K639">
        <f t="shared" ca="1" si="19"/>
        <v>47</v>
      </c>
    </row>
    <row r="640" spans="1:11" ht="15.75" customHeight="1">
      <c r="A640" t="s">
        <v>3401</v>
      </c>
      <c r="B640">
        <v>1982</v>
      </c>
      <c r="C640" t="s">
        <v>4716</v>
      </c>
      <c r="D640">
        <v>25</v>
      </c>
      <c r="E640">
        <v>0</v>
      </c>
      <c r="F640" s="16">
        <v>5438.75</v>
      </c>
      <c r="G640" t="s">
        <v>4700</v>
      </c>
      <c r="H640" t="s">
        <v>4699</v>
      </c>
      <c r="I640" t="s">
        <v>4709</v>
      </c>
      <c r="J640" s="17">
        <f t="shared" si="18"/>
        <v>30188</v>
      </c>
      <c r="K640">
        <f t="shared" ca="1" si="19"/>
        <v>43</v>
      </c>
    </row>
    <row r="641" spans="1:11" ht="15.75" customHeight="1">
      <c r="A641" t="s">
        <v>3399</v>
      </c>
      <c r="B641">
        <v>1986</v>
      </c>
      <c r="C641" t="s">
        <v>4714</v>
      </c>
      <c r="D641">
        <v>25</v>
      </c>
      <c r="E641">
        <v>0</v>
      </c>
      <c r="F641" s="16">
        <v>5458.05</v>
      </c>
      <c r="G641" t="s">
        <v>4699</v>
      </c>
      <c r="H641" t="s">
        <v>4699</v>
      </c>
      <c r="I641" t="s">
        <v>4724</v>
      </c>
      <c r="J641" s="17">
        <f t="shared" si="18"/>
        <v>31771</v>
      </c>
      <c r="K641">
        <f t="shared" ca="1" si="19"/>
        <v>38</v>
      </c>
    </row>
    <row r="642" spans="1:11" ht="15.75" customHeight="1">
      <c r="A642" t="s">
        <v>3397</v>
      </c>
      <c r="B642">
        <v>1973</v>
      </c>
      <c r="C642" t="s">
        <v>4717</v>
      </c>
      <c r="D642">
        <v>24</v>
      </c>
      <c r="E642">
        <v>0</v>
      </c>
      <c r="F642" s="16">
        <v>5466.88</v>
      </c>
      <c r="G642" t="s">
        <v>4699</v>
      </c>
      <c r="H642" t="s">
        <v>4699</v>
      </c>
      <c r="I642" t="s">
        <v>4709</v>
      </c>
      <c r="J642" s="17">
        <f t="shared" si="18"/>
        <v>26961</v>
      </c>
      <c r="K642">
        <f t="shared" ca="1" si="19"/>
        <v>52</v>
      </c>
    </row>
    <row r="643" spans="1:11" ht="15.75" customHeight="1">
      <c r="A643" t="s">
        <v>3395</v>
      </c>
      <c r="B643">
        <v>1986</v>
      </c>
      <c r="C643" t="s">
        <v>4714</v>
      </c>
      <c r="D643">
        <v>2</v>
      </c>
      <c r="E643">
        <v>0</v>
      </c>
      <c r="F643" s="16">
        <v>5469.01</v>
      </c>
      <c r="G643" t="s">
        <v>4699</v>
      </c>
      <c r="H643" t="s">
        <v>4699</v>
      </c>
      <c r="I643" t="s">
        <v>4724</v>
      </c>
      <c r="J643" s="17">
        <f t="shared" ref="J643:J706" si="20">DATEVALUE(D643&amp;"-"&amp;C643&amp;" -"&amp;B643)</f>
        <v>31748</v>
      </c>
      <c r="K643">
        <f t="shared" ref="K643:K706" ca="1" si="21">DATEDIF(J643,TODAY(),"Y")</f>
        <v>38</v>
      </c>
    </row>
    <row r="644" spans="1:11" ht="15.75" customHeight="1">
      <c r="A644" t="s">
        <v>3393</v>
      </c>
      <c r="B644">
        <v>1986</v>
      </c>
      <c r="C644" t="s">
        <v>4708</v>
      </c>
      <c r="D644">
        <v>12</v>
      </c>
      <c r="E644">
        <v>1</v>
      </c>
      <c r="F644" s="16">
        <v>5472.45</v>
      </c>
      <c r="G644" t="s">
        <v>4699</v>
      </c>
      <c r="H644" t="s">
        <v>4700</v>
      </c>
      <c r="I644" t="s">
        <v>4718</v>
      </c>
      <c r="J644" s="17">
        <f t="shared" si="20"/>
        <v>31605</v>
      </c>
      <c r="K644">
        <f t="shared" ca="1" si="21"/>
        <v>39</v>
      </c>
    </row>
    <row r="645" spans="1:11" ht="15.75" customHeight="1">
      <c r="A645" t="s">
        <v>3391</v>
      </c>
      <c r="B645">
        <v>1986</v>
      </c>
      <c r="C645" t="s">
        <v>4712</v>
      </c>
      <c r="D645">
        <v>30</v>
      </c>
      <c r="E645">
        <v>1</v>
      </c>
      <c r="F645" s="16">
        <v>5478.04</v>
      </c>
      <c r="G645" t="s">
        <v>4699</v>
      </c>
      <c r="H645" t="s">
        <v>4700</v>
      </c>
      <c r="I645" t="s">
        <v>4709</v>
      </c>
      <c r="J645" s="17">
        <f t="shared" si="20"/>
        <v>31685</v>
      </c>
      <c r="K645">
        <f t="shared" ca="1" si="21"/>
        <v>39</v>
      </c>
    </row>
    <row r="646" spans="1:11" ht="15.75" customHeight="1">
      <c r="A646" t="s">
        <v>3389</v>
      </c>
      <c r="B646">
        <v>1984</v>
      </c>
      <c r="C646" t="s">
        <v>4716</v>
      </c>
      <c r="D646">
        <v>26</v>
      </c>
      <c r="E646">
        <v>1</v>
      </c>
      <c r="F646" s="16">
        <v>5484.47</v>
      </c>
      <c r="G646" t="s">
        <v>4699</v>
      </c>
      <c r="H646" t="s">
        <v>4699</v>
      </c>
      <c r="I646" t="s">
        <v>4709</v>
      </c>
      <c r="J646" s="17">
        <f t="shared" si="20"/>
        <v>30920</v>
      </c>
      <c r="K646">
        <f t="shared" ca="1" si="21"/>
        <v>41</v>
      </c>
    </row>
    <row r="647" spans="1:11" ht="15.75" customHeight="1">
      <c r="A647" t="s">
        <v>3387</v>
      </c>
      <c r="B647">
        <v>1984</v>
      </c>
      <c r="C647" t="s">
        <v>4716</v>
      </c>
      <c r="D647">
        <v>17</v>
      </c>
      <c r="E647">
        <v>1</v>
      </c>
      <c r="F647" s="16">
        <v>5488.26</v>
      </c>
      <c r="G647" t="s">
        <v>4699</v>
      </c>
      <c r="H647" t="s">
        <v>4700</v>
      </c>
      <c r="I647" t="s">
        <v>4718</v>
      </c>
      <c r="J647" s="17">
        <f t="shared" si="20"/>
        <v>30911</v>
      </c>
      <c r="K647">
        <f t="shared" ca="1" si="21"/>
        <v>41</v>
      </c>
    </row>
    <row r="648" spans="1:11" ht="15.75" customHeight="1">
      <c r="A648" t="s">
        <v>3385</v>
      </c>
      <c r="B648">
        <v>1988</v>
      </c>
      <c r="C648" t="s">
        <v>4708</v>
      </c>
      <c r="D648">
        <v>29</v>
      </c>
      <c r="E648">
        <v>3</v>
      </c>
      <c r="F648" s="16">
        <v>5503.36</v>
      </c>
      <c r="G648" t="s">
        <v>4699</v>
      </c>
      <c r="H648" t="s">
        <v>4699</v>
      </c>
      <c r="I648" t="s">
        <v>4713</v>
      </c>
      <c r="J648" s="17">
        <f t="shared" si="20"/>
        <v>32353</v>
      </c>
      <c r="K648">
        <f t="shared" ca="1" si="21"/>
        <v>37</v>
      </c>
    </row>
    <row r="649" spans="1:11" ht="15.75" customHeight="1">
      <c r="A649" t="s">
        <v>3383</v>
      </c>
      <c r="B649">
        <v>1981</v>
      </c>
      <c r="C649" t="s">
        <v>4710</v>
      </c>
      <c r="D649">
        <v>7</v>
      </c>
      <c r="E649">
        <v>1</v>
      </c>
      <c r="F649" s="16">
        <v>5539.4</v>
      </c>
      <c r="G649" t="s">
        <v>4699</v>
      </c>
      <c r="H649" t="s">
        <v>4699</v>
      </c>
      <c r="I649" t="s">
        <v>4709</v>
      </c>
      <c r="J649" s="17">
        <f t="shared" si="20"/>
        <v>29897</v>
      </c>
      <c r="K649">
        <f t="shared" ca="1" si="21"/>
        <v>44</v>
      </c>
    </row>
    <row r="650" spans="1:11" ht="15.75" customHeight="1">
      <c r="A650" t="s">
        <v>3381</v>
      </c>
      <c r="B650">
        <v>1980</v>
      </c>
      <c r="C650" t="s">
        <v>4714</v>
      </c>
      <c r="D650">
        <v>7</v>
      </c>
      <c r="E650">
        <v>2</v>
      </c>
      <c r="F650" s="16">
        <v>5540.35</v>
      </c>
      <c r="G650" t="s">
        <v>4699</v>
      </c>
      <c r="H650" t="s">
        <v>4699</v>
      </c>
      <c r="I650" t="s">
        <v>4713</v>
      </c>
      <c r="J650" s="17">
        <f t="shared" si="20"/>
        <v>29562</v>
      </c>
      <c r="K650">
        <f t="shared" ca="1" si="21"/>
        <v>44</v>
      </c>
    </row>
    <row r="651" spans="1:11" ht="15.75" customHeight="1">
      <c r="A651" t="s">
        <v>3379</v>
      </c>
      <c r="B651">
        <v>1999</v>
      </c>
      <c r="C651" t="s">
        <v>4712</v>
      </c>
      <c r="D651">
        <v>22</v>
      </c>
      <c r="E651">
        <v>0</v>
      </c>
      <c r="F651" s="16">
        <v>5552.61</v>
      </c>
      <c r="G651" t="s">
        <v>4699</v>
      </c>
      <c r="H651" t="s">
        <v>4700</v>
      </c>
      <c r="I651" t="s">
        <v>4730</v>
      </c>
      <c r="J651" s="17">
        <f t="shared" si="20"/>
        <v>36425</v>
      </c>
      <c r="K651">
        <f t="shared" ca="1" si="21"/>
        <v>26</v>
      </c>
    </row>
    <row r="652" spans="1:11" ht="15.75" customHeight="1">
      <c r="A652" t="s">
        <v>3377</v>
      </c>
      <c r="B652">
        <v>1974</v>
      </c>
      <c r="C652" t="s">
        <v>4712</v>
      </c>
      <c r="D652">
        <v>18</v>
      </c>
      <c r="E652">
        <v>0</v>
      </c>
      <c r="F652" s="16">
        <v>5576.35</v>
      </c>
      <c r="G652" t="s">
        <v>4699</v>
      </c>
      <c r="H652" t="s">
        <v>4700</v>
      </c>
      <c r="I652" t="s">
        <v>4709</v>
      </c>
      <c r="J652" s="17">
        <f t="shared" si="20"/>
        <v>27290</v>
      </c>
      <c r="K652">
        <f t="shared" ca="1" si="21"/>
        <v>51</v>
      </c>
    </row>
    <row r="653" spans="1:11" ht="15.75" customHeight="1">
      <c r="A653" t="s">
        <v>3375</v>
      </c>
      <c r="B653">
        <v>1985</v>
      </c>
      <c r="C653" t="s">
        <v>4712</v>
      </c>
      <c r="D653">
        <v>5</v>
      </c>
      <c r="E653">
        <v>3</v>
      </c>
      <c r="F653" s="16">
        <v>5582.95</v>
      </c>
      <c r="G653" t="s">
        <v>4699</v>
      </c>
      <c r="H653" t="s">
        <v>4698</v>
      </c>
      <c r="I653" t="s">
        <v>4713</v>
      </c>
      <c r="J653" s="17">
        <f t="shared" si="20"/>
        <v>31295</v>
      </c>
      <c r="K653">
        <f t="shared" ca="1" si="21"/>
        <v>40</v>
      </c>
    </row>
    <row r="654" spans="1:11" ht="15.75" customHeight="1">
      <c r="A654" t="s">
        <v>3373</v>
      </c>
      <c r="B654">
        <v>1986</v>
      </c>
      <c r="C654" t="s">
        <v>4710</v>
      </c>
      <c r="D654">
        <v>21</v>
      </c>
      <c r="E654">
        <v>2</v>
      </c>
      <c r="F654" s="16">
        <v>5584.31</v>
      </c>
      <c r="G654" t="s">
        <v>4700</v>
      </c>
      <c r="H654" t="s">
        <v>4698</v>
      </c>
      <c r="I654" t="s">
        <v>4709</v>
      </c>
      <c r="J654" s="17">
        <f t="shared" si="20"/>
        <v>31737</v>
      </c>
      <c r="K654">
        <f t="shared" ca="1" si="21"/>
        <v>39</v>
      </c>
    </row>
    <row r="655" spans="1:11" ht="15.75" customHeight="1">
      <c r="A655" t="s">
        <v>3371</v>
      </c>
      <c r="B655">
        <v>1983</v>
      </c>
      <c r="C655" t="s">
        <v>4717</v>
      </c>
      <c r="D655">
        <v>3</v>
      </c>
      <c r="E655">
        <v>3</v>
      </c>
      <c r="F655" s="16">
        <v>5587.59</v>
      </c>
      <c r="G655" t="s">
        <v>4699</v>
      </c>
      <c r="H655" t="s">
        <v>4698</v>
      </c>
      <c r="I655" t="s">
        <v>4709</v>
      </c>
      <c r="J655" s="17">
        <f t="shared" si="20"/>
        <v>30592</v>
      </c>
      <c r="K655">
        <f t="shared" ca="1" si="21"/>
        <v>42</v>
      </c>
    </row>
    <row r="656" spans="1:11" ht="15.75" customHeight="1">
      <c r="A656" t="s">
        <v>3369</v>
      </c>
      <c r="B656">
        <v>1988</v>
      </c>
      <c r="C656" t="s">
        <v>4710</v>
      </c>
      <c r="D656">
        <v>18</v>
      </c>
      <c r="E656">
        <v>1</v>
      </c>
      <c r="F656" s="16">
        <v>5594.85</v>
      </c>
      <c r="G656" t="s">
        <v>4699</v>
      </c>
      <c r="H656" t="s">
        <v>4700</v>
      </c>
      <c r="I656" t="s">
        <v>4724</v>
      </c>
      <c r="J656" s="17">
        <f t="shared" si="20"/>
        <v>32465</v>
      </c>
      <c r="K656">
        <f t="shared" ca="1" si="21"/>
        <v>37</v>
      </c>
    </row>
    <row r="657" spans="1:11" ht="15.75" customHeight="1">
      <c r="A657" t="s">
        <v>3367</v>
      </c>
      <c r="B657">
        <v>1978</v>
      </c>
      <c r="C657" t="s">
        <v>4712</v>
      </c>
      <c r="D657">
        <v>11</v>
      </c>
      <c r="E657">
        <v>2</v>
      </c>
      <c r="F657" s="16">
        <v>5612.83</v>
      </c>
      <c r="G657" t="s">
        <v>4699</v>
      </c>
      <c r="H657" t="s">
        <v>4700</v>
      </c>
      <c r="I657" t="s">
        <v>4709</v>
      </c>
      <c r="J657" s="17">
        <f t="shared" si="20"/>
        <v>28744</v>
      </c>
      <c r="K657">
        <f t="shared" ca="1" si="21"/>
        <v>47</v>
      </c>
    </row>
    <row r="658" spans="1:11" ht="15.75" customHeight="1">
      <c r="A658" t="s">
        <v>3365</v>
      </c>
      <c r="B658">
        <v>1994</v>
      </c>
      <c r="C658" t="s">
        <v>4710</v>
      </c>
      <c r="D658">
        <v>15</v>
      </c>
      <c r="E658">
        <v>5</v>
      </c>
      <c r="F658" s="16">
        <v>5615.37</v>
      </c>
      <c r="G658" t="s">
        <v>4699</v>
      </c>
      <c r="H658" t="s">
        <v>4700</v>
      </c>
      <c r="I658" t="s">
        <v>4718</v>
      </c>
      <c r="J658" s="17">
        <f t="shared" si="20"/>
        <v>34653</v>
      </c>
      <c r="K658">
        <f t="shared" ca="1" si="21"/>
        <v>31</v>
      </c>
    </row>
    <row r="659" spans="1:11" ht="15.75" customHeight="1">
      <c r="A659" t="s">
        <v>3363</v>
      </c>
      <c r="B659">
        <v>1987</v>
      </c>
      <c r="C659" t="s">
        <v>4714</v>
      </c>
      <c r="D659">
        <v>9</v>
      </c>
      <c r="E659">
        <v>1</v>
      </c>
      <c r="F659" s="16">
        <v>5630.46</v>
      </c>
      <c r="G659" t="s">
        <v>4699</v>
      </c>
      <c r="H659" t="s">
        <v>4700</v>
      </c>
      <c r="I659" t="s">
        <v>4713</v>
      </c>
      <c r="J659" s="17">
        <f t="shared" si="20"/>
        <v>32120</v>
      </c>
      <c r="K659">
        <f t="shared" ca="1" si="21"/>
        <v>37</v>
      </c>
    </row>
    <row r="660" spans="1:11" ht="15.75" customHeight="1">
      <c r="A660" t="s">
        <v>3361</v>
      </c>
      <c r="B660">
        <v>1983</v>
      </c>
      <c r="C660" t="s">
        <v>4711</v>
      </c>
      <c r="D660">
        <v>8</v>
      </c>
      <c r="E660">
        <v>0</v>
      </c>
      <c r="F660" s="16">
        <v>5649.72</v>
      </c>
      <c r="G660" t="s">
        <v>4699</v>
      </c>
      <c r="H660" t="s">
        <v>4700</v>
      </c>
      <c r="I660" t="s">
        <v>4718</v>
      </c>
      <c r="J660" s="17">
        <f t="shared" si="20"/>
        <v>30475</v>
      </c>
      <c r="K660">
        <f t="shared" ca="1" si="21"/>
        <v>42</v>
      </c>
    </row>
    <row r="661" spans="1:11" ht="15.75" customHeight="1">
      <c r="A661" t="s">
        <v>3359</v>
      </c>
      <c r="B661">
        <v>1978</v>
      </c>
      <c r="C661" t="s">
        <v>4712</v>
      </c>
      <c r="D661">
        <v>27</v>
      </c>
      <c r="E661">
        <v>2</v>
      </c>
      <c r="F661" s="16">
        <v>5650.14</v>
      </c>
      <c r="G661" t="s">
        <v>4699</v>
      </c>
      <c r="H661" t="s">
        <v>4698</v>
      </c>
      <c r="I661" t="s">
        <v>4709</v>
      </c>
      <c r="J661" s="17">
        <f t="shared" si="20"/>
        <v>28760</v>
      </c>
      <c r="K661">
        <f t="shared" ca="1" si="21"/>
        <v>47</v>
      </c>
    </row>
    <row r="662" spans="1:11" ht="15.75" customHeight="1">
      <c r="A662" t="s">
        <v>3357</v>
      </c>
      <c r="B662">
        <v>1983</v>
      </c>
      <c r="C662" t="s">
        <v>4712</v>
      </c>
      <c r="D662">
        <v>3</v>
      </c>
      <c r="E662">
        <v>0</v>
      </c>
      <c r="F662" s="16">
        <v>5662.23</v>
      </c>
      <c r="G662" t="s">
        <v>4699</v>
      </c>
      <c r="H662" t="s">
        <v>4698</v>
      </c>
      <c r="I662" t="s">
        <v>4709</v>
      </c>
      <c r="J662" s="17">
        <f t="shared" si="20"/>
        <v>30562</v>
      </c>
      <c r="K662">
        <f t="shared" ca="1" si="21"/>
        <v>42</v>
      </c>
    </row>
    <row r="663" spans="1:11" ht="15.75" customHeight="1">
      <c r="A663" t="s">
        <v>3355</v>
      </c>
      <c r="B663">
        <v>1984</v>
      </c>
      <c r="C663" t="s">
        <v>4716</v>
      </c>
      <c r="D663">
        <v>12</v>
      </c>
      <c r="E663">
        <v>3</v>
      </c>
      <c r="F663" s="16">
        <v>5679.13</v>
      </c>
      <c r="G663" t="s">
        <v>4699</v>
      </c>
      <c r="H663" t="s">
        <v>4699</v>
      </c>
      <c r="I663" t="s">
        <v>4709</v>
      </c>
      <c r="J663" s="17">
        <f t="shared" si="20"/>
        <v>30906</v>
      </c>
      <c r="K663">
        <f t="shared" ca="1" si="21"/>
        <v>41</v>
      </c>
    </row>
    <row r="664" spans="1:11" ht="15.75" customHeight="1">
      <c r="A664" t="s">
        <v>3353</v>
      </c>
      <c r="B664">
        <v>1972</v>
      </c>
      <c r="C664" t="s">
        <v>4717</v>
      </c>
      <c r="D664">
        <v>28</v>
      </c>
      <c r="E664">
        <v>0</v>
      </c>
      <c r="F664" s="16">
        <v>5690.79</v>
      </c>
      <c r="G664" t="s">
        <v>4699</v>
      </c>
      <c r="H664" t="s">
        <v>4698</v>
      </c>
      <c r="I664" t="s">
        <v>4709</v>
      </c>
      <c r="J664" s="17">
        <f t="shared" si="20"/>
        <v>26600</v>
      </c>
      <c r="K664">
        <f t="shared" ca="1" si="21"/>
        <v>53</v>
      </c>
    </row>
    <row r="665" spans="1:11" ht="15.75" customHeight="1">
      <c r="A665" t="s">
        <v>3351</v>
      </c>
      <c r="B665">
        <v>1992</v>
      </c>
      <c r="C665" t="s">
        <v>4710</v>
      </c>
      <c r="D665">
        <v>3</v>
      </c>
      <c r="E665">
        <v>3</v>
      </c>
      <c r="F665" s="16">
        <v>5693.43</v>
      </c>
      <c r="G665" t="s">
        <v>4699</v>
      </c>
      <c r="H665" t="s">
        <v>4700</v>
      </c>
      <c r="I665" t="s">
        <v>4713</v>
      </c>
      <c r="J665" s="17">
        <f t="shared" si="20"/>
        <v>33911</v>
      </c>
      <c r="K665">
        <f t="shared" ca="1" si="21"/>
        <v>33</v>
      </c>
    </row>
    <row r="666" spans="1:11" ht="15.75" customHeight="1">
      <c r="A666" t="s">
        <v>3349</v>
      </c>
      <c r="B666">
        <v>1974</v>
      </c>
      <c r="C666" t="s">
        <v>4708</v>
      </c>
      <c r="D666">
        <v>6</v>
      </c>
      <c r="E666">
        <v>0</v>
      </c>
      <c r="F666" s="16">
        <v>5698.74</v>
      </c>
      <c r="G666" t="s">
        <v>4699</v>
      </c>
      <c r="H666" t="s">
        <v>4699</v>
      </c>
      <c r="I666" t="s">
        <v>4713</v>
      </c>
      <c r="J666" s="17">
        <f t="shared" si="20"/>
        <v>27216</v>
      </c>
      <c r="K666">
        <f t="shared" ca="1" si="21"/>
        <v>51</v>
      </c>
    </row>
    <row r="667" spans="1:11" ht="15.75" customHeight="1">
      <c r="A667" t="s">
        <v>3347</v>
      </c>
      <c r="B667">
        <v>1981</v>
      </c>
      <c r="C667" t="s">
        <v>4711</v>
      </c>
      <c r="D667">
        <v>15</v>
      </c>
      <c r="E667">
        <v>0</v>
      </c>
      <c r="F667" s="16">
        <v>5699.84</v>
      </c>
      <c r="G667" t="s">
        <v>4699</v>
      </c>
      <c r="H667" t="s">
        <v>4700</v>
      </c>
      <c r="I667" t="s">
        <v>4709</v>
      </c>
      <c r="J667" s="17">
        <f t="shared" si="20"/>
        <v>29752</v>
      </c>
      <c r="K667">
        <f t="shared" ca="1" si="21"/>
        <v>44</v>
      </c>
    </row>
    <row r="668" spans="1:11" ht="15.75" customHeight="1">
      <c r="A668" t="s">
        <v>3345</v>
      </c>
      <c r="B668">
        <v>1993</v>
      </c>
      <c r="C668" t="s">
        <v>4710</v>
      </c>
      <c r="D668">
        <v>3</v>
      </c>
      <c r="E668">
        <v>4</v>
      </c>
      <c r="F668" s="16">
        <v>5708.87</v>
      </c>
      <c r="G668" t="s">
        <v>4699</v>
      </c>
      <c r="H668" t="s">
        <v>4698</v>
      </c>
      <c r="I668" t="s">
        <v>4718</v>
      </c>
      <c r="J668" s="17">
        <f t="shared" si="20"/>
        <v>34276</v>
      </c>
      <c r="K668">
        <f t="shared" ca="1" si="21"/>
        <v>32</v>
      </c>
    </row>
    <row r="669" spans="1:11" ht="15.75" customHeight="1">
      <c r="A669" t="s">
        <v>3343</v>
      </c>
      <c r="B669">
        <v>1981</v>
      </c>
      <c r="C669" t="s">
        <v>4716</v>
      </c>
      <c r="D669">
        <v>30</v>
      </c>
      <c r="E669">
        <v>0</v>
      </c>
      <c r="F669" s="16">
        <v>5709.16</v>
      </c>
      <c r="G669" t="s">
        <v>4700</v>
      </c>
      <c r="H669" t="s">
        <v>4700</v>
      </c>
      <c r="I669" t="s">
        <v>4709</v>
      </c>
      <c r="J669" s="17">
        <f t="shared" si="20"/>
        <v>29828</v>
      </c>
      <c r="K669">
        <f t="shared" ca="1" si="21"/>
        <v>44</v>
      </c>
    </row>
    <row r="670" spans="1:11" ht="15.75" customHeight="1">
      <c r="A670" t="s">
        <v>3341</v>
      </c>
      <c r="B670">
        <v>1971</v>
      </c>
      <c r="C670" t="s">
        <v>4714</v>
      </c>
      <c r="D670">
        <v>18</v>
      </c>
      <c r="E670">
        <v>0</v>
      </c>
      <c r="F670" s="16">
        <v>5720.38</v>
      </c>
      <c r="G670" t="s">
        <v>4699</v>
      </c>
      <c r="H670" t="s">
        <v>4698</v>
      </c>
      <c r="I670" t="s">
        <v>4709</v>
      </c>
      <c r="J670" s="17">
        <f t="shared" si="20"/>
        <v>26285</v>
      </c>
      <c r="K670">
        <f t="shared" ca="1" si="21"/>
        <v>53</v>
      </c>
    </row>
    <row r="671" spans="1:11" ht="15.75" customHeight="1">
      <c r="A671" t="s">
        <v>3339</v>
      </c>
      <c r="B671">
        <v>1987</v>
      </c>
      <c r="C671" t="s">
        <v>4717</v>
      </c>
      <c r="D671">
        <v>19</v>
      </c>
      <c r="E671">
        <v>2</v>
      </c>
      <c r="F671" s="16">
        <v>5729.01</v>
      </c>
      <c r="G671" t="s">
        <v>4698</v>
      </c>
      <c r="H671" t="s">
        <v>4699</v>
      </c>
      <c r="I671" t="s">
        <v>4713</v>
      </c>
      <c r="J671" s="17">
        <f t="shared" si="20"/>
        <v>32069</v>
      </c>
      <c r="K671">
        <f t="shared" ca="1" si="21"/>
        <v>38</v>
      </c>
    </row>
    <row r="672" spans="1:11" ht="15.75" customHeight="1">
      <c r="A672" t="s">
        <v>3337</v>
      </c>
      <c r="B672">
        <v>1972</v>
      </c>
      <c r="C672" t="s">
        <v>4716</v>
      </c>
      <c r="D672">
        <v>21</v>
      </c>
      <c r="E672">
        <v>0</v>
      </c>
      <c r="F672" s="16">
        <v>5741.67</v>
      </c>
      <c r="G672" t="s">
        <v>4699</v>
      </c>
      <c r="H672" t="s">
        <v>4700</v>
      </c>
      <c r="I672" t="s">
        <v>4709</v>
      </c>
      <c r="J672" s="17">
        <f t="shared" si="20"/>
        <v>26532</v>
      </c>
      <c r="K672">
        <f t="shared" ca="1" si="21"/>
        <v>53</v>
      </c>
    </row>
    <row r="673" spans="1:11" ht="15.75" customHeight="1">
      <c r="A673" t="s">
        <v>3335</v>
      </c>
      <c r="B673">
        <v>1993</v>
      </c>
      <c r="C673" t="s">
        <v>4711</v>
      </c>
      <c r="D673">
        <v>10</v>
      </c>
      <c r="E673">
        <v>0</v>
      </c>
      <c r="F673" s="16">
        <v>5748.13</v>
      </c>
      <c r="G673" t="s">
        <v>4699</v>
      </c>
      <c r="H673" t="s">
        <v>4698</v>
      </c>
      <c r="I673" t="s">
        <v>4727</v>
      </c>
      <c r="J673" s="17">
        <f t="shared" si="20"/>
        <v>34130</v>
      </c>
      <c r="K673">
        <f t="shared" ca="1" si="21"/>
        <v>32</v>
      </c>
    </row>
    <row r="674" spans="1:11" ht="15.75" customHeight="1">
      <c r="A674" t="s">
        <v>3333</v>
      </c>
      <c r="B674">
        <v>1983</v>
      </c>
      <c r="C674" t="s">
        <v>4716</v>
      </c>
      <c r="D674">
        <v>30</v>
      </c>
      <c r="E674">
        <v>0</v>
      </c>
      <c r="F674" s="16">
        <v>5757.41</v>
      </c>
      <c r="G674" t="s">
        <v>4699</v>
      </c>
      <c r="H674" t="s">
        <v>4700</v>
      </c>
      <c r="I674" t="s">
        <v>4720</v>
      </c>
      <c r="J674" s="17">
        <f t="shared" si="20"/>
        <v>30558</v>
      </c>
      <c r="K674">
        <f t="shared" ca="1" si="21"/>
        <v>42</v>
      </c>
    </row>
    <row r="675" spans="1:11" ht="15.75" customHeight="1">
      <c r="A675" t="s">
        <v>3331</v>
      </c>
      <c r="B675">
        <v>2004</v>
      </c>
      <c r="C675" t="s">
        <v>4710</v>
      </c>
      <c r="D675">
        <v>1</v>
      </c>
      <c r="E675">
        <v>0</v>
      </c>
      <c r="F675" s="16">
        <v>5778.71</v>
      </c>
      <c r="G675" t="s">
        <v>4699</v>
      </c>
      <c r="H675" t="s">
        <v>4700</v>
      </c>
      <c r="I675" t="s">
        <v>4731</v>
      </c>
      <c r="J675" s="17">
        <f t="shared" si="20"/>
        <v>38292</v>
      </c>
      <c r="K675">
        <f t="shared" ca="1" si="21"/>
        <v>21</v>
      </c>
    </row>
    <row r="676" spans="1:11" ht="15.75" customHeight="1">
      <c r="A676" t="s">
        <v>3329</v>
      </c>
      <c r="B676">
        <v>1980</v>
      </c>
      <c r="C676" t="s">
        <v>4712</v>
      </c>
      <c r="D676">
        <v>18</v>
      </c>
      <c r="E676">
        <v>2</v>
      </c>
      <c r="F676" s="16">
        <v>5807.06</v>
      </c>
      <c r="G676" t="s">
        <v>4699</v>
      </c>
      <c r="H676" t="s">
        <v>4700</v>
      </c>
      <c r="I676" t="s">
        <v>4709</v>
      </c>
      <c r="J676" s="17">
        <f t="shared" si="20"/>
        <v>29482</v>
      </c>
      <c r="K676">
        <f t="shared" ca="1" si="21"/>
        <v>45</v>
      </c>
    </row>
    <row r="677" spans="1:11" ht="15.75" customHeight="1">
      <c r="A677" t="s">
        <v>3327</v>
      </c>
      <c r="B677">
        <v>1972</v>
      </c>
      <c r="C677" t="s">
        <v>4710</v>
      </c>
      <c r="D677">
        <v>2</v>
      </c>
      <c r="E677">
        <v>0</v>
      </c>
      <c r="F677" s="16">
        <v>5812.9</v>
      </c>
      <c r="G677" t="s">
        <v>4699</v>
      </c>
      <c r="H677" t="s">
        <v>4699</v>
      </c>
      <c r="I677" t="s">
        <v>4709</v>
      </c>
      <c r="J677" s="17">
        <f t="shared" si="20"/>
        <v>26605</v>
      </c>
      <c r="K677">
        <f t="shared" ca="1" si="21"/>
        <v>53</v>
      </c>
    </row>
    <row r="678" spans="1:11" ht="15.75" customHeight="1">
      <c r="A678" t="s">
        <v>3325</v>
      </c>
      <c r="B678">
        <v>2002</v>
      </c>
      <c r="C678" t="s">
        <v>4708</v>
      </c>
      <c r="D678">
        <v>22</v>
      </c>
      <c r="E678">
        <v>0</v>
      </c>
      <c r="F678" s="16">
        <v>5816.58</v>
      </c>
      <c r="G678" t="s">
        <v>4699</v>
      </c>
      <c r="H678" t="s">
        <v>4699</v>
      </c>
      <c r="I678" t="s">
        <v>4730</v>
      </c>
      <c r="J678" s="17">
        <f t="shared" si="20"/>
        <v>37459</v>
      </c>
      <c r="K678">
        <f t="shared" ca="1" si="21"/>
        <v>23</v>
      </c>
    </row>
    <row r="679" spans="1:11" ht="15.75" customHeight="1">
      <c r="A679" t="s">
        <v>3323</v>
      </c>
      <c r="B679">
        <v>1971</v>
      </c>
      <c r="C679" t="s">
        <v>4712</v>
      </c>
      <c r="D679">
        <v>27</v>
      </c>
      <c r="E679">
        <v>0</v>
      </c>
      <c r="F679" s="16">
        <v>5832.6</v>
      </c>
      <c r="G679" t="s">
        <v>4699</v>
      </c>
      <c r="H679" t="s">
        <v>4700</v>
      </c>
      <c r="I679" t="s">
        <v>4713</v>
      </c>
      <c r="J679" s="17">
        <f t="shared" si="20"/>
        <v>26203</v>
      </c>
      <c r="K679">
        <f t="shared" ca="1" si="21"/>
        <v>54</v>
      </c>
    </row>
    <row r="680" spans="1:11" ht="15.75" customHeight="1">
      <c r="A680" t="s">
        <v>3321</v>
      </c>
      <c r="B680">
        <v>1987</v>
      </c>
      <c r="C680" t="s">
        <v>4708</v>
      </c>
      <c r="D680">
        <v>27</v>
      </c>
      <c r="E680">
        <v>2</v>
      </c>
      <c r="F680" s="16">
        <v>5836.52</v>
      </c>
      <c r="G680" t="s">
        <v>4699</v>
      </c>
      <c r="H680" t="s">
        <v>4700</v>
      </c>
      <c r="I680" t="s">
        <v>4709</v>
      </c>
      <c r="J680" s="17">
        <f t="shared" si="20"/>
        <v>31985</v>
      </c>
      <c r="K680">
        <f t="shared" ca="1" si="21"/>
        <v>38</v>
      </c>
    </row>
    <row r="681" spans="1:11" ht="15.75" customHeight="1">
      <c r="A681" t="s">
        <v>3319</v>
      </c>
      <c r="B681">
        <v>1995</v>
      </c>
      <c r="C681" t="s">
        <v>4716</v>
      </c>
      <c r="D681">
        <v>20</v>
      </c>
      <c r="E681">
        <v>0</v>
      </c>
      <c r="F681" s="16">
        <v>5843.99</v>
      </c>
      <c r="G681" t="s">
        <v>4699</v>
      </c>
      <c r="H681" t="s">
        <v>4699</v>
      </c>
      <c r="I681" t="s">
        <v>4723</v>
      </c>
      <c r="J681" s="17">
        <f t="shared" si="20"/>
        <v>34931</v>
      </c>
      <c r="K681">
        <f t="shared" ca="1" si="21"/>
        <v>30</v>
      </c>
    </row>
    <row r="682" spans="1:11" ht="15.75" customHeight="1">
      <c r="A682" t="s">
        <v>3317</v>
      </c>
      <c r="B682">
        <v>1987</v>
      </c>
      <c r="C682" t="s">
        <v>4712</v>
      </c>
      <c r="D682">
        <v>30</v>
      </c>
      <c r="E682">
        <v>2</v>
      </c>
      <c r="F682" s="16">
        <v>5846.92</v>
      </c>
      <c r="G682" t="s">
        <v>4699</v>
      </c>
      <c r="H682" t="s">
        <v>4699</v>
      </c>
      <c r="I682" t="s">
        <v>4709</v>
      </c>
      <c r="J682" s="17">
        <f t="shared" si="20"/>
        <v>32050</v>
      </c>
      <c r="K682">
        <f t="shared" ca="1" si="21"/>
        <v>38</v>
      </c>
    </row>
    <row r="683" spans="1:11" ht="15.75" customHeight="1">
      <c r="A683" t="s">
        <v>3315</v>
      </c>
      <c r="B683">
        <v>1985</v>
      </c>
      <c r="C683" t="s">
        <v>4711</v>
      </c>
      <c r="D683">
        <v>18</v>
      </c>
      <c r="E683">
        <v>3</v>
      </c>
      <c r="F683" s="16">
        <v>5847.24</v>
      </c>
      <c r="G683" t="s">
        <v>4699</v>
      </c>
      <c r="H683" t="s">
        <v>4698</v>
      </c>
      <c r="I683" t="s">
        <v>4709</v>
      </c>
      <c r="J683" s="17">
        <f t="shared" si="20"/>
        <v>31216</v>
      </c>
      <c r="K683">
        <f t="shared" ca="1" si="21"/>
        <v>40</v>
      </c>
    </row>
    <row r="684" spans="1:11" ht="15.75" customHeight="1">
      <c r="A684" t="s">
        <v>3313</v>
      </c>
      <c r="B684">
        <v>1984</v>
      </c>
      <c r="C684" t="s">
        <v>4710</v>
      </c>
      <c r="D684">
        <v>22</v>
      </c>
      <c r="E684">
        <v>1</v>
      </c>
      <c r="F684" s="16">
        <v>5855.9</v>
      </c>
      <c r="G684" t="s">
        <v>4699</v>
      </c>
      <c r="H684" t="s">
        <v>4700</v>
      </c>
      <c r="I684" t="s">
        <v>4713</v>
      </c>
      <c r="J684" s="17">
        <f t="shared" si="20"/>
        <v>31008</v>
      </c>
      <c r="K684">
        <f t="shared" ca="1" si="21"/>
        <v>41</v>
      </c>
    </row>
    <row r="685" spans="1:11" ht="15.75" customHeight="1">
      <c r="A685" t="s">
        <v>3311</v>
      </c>
      <c r="B685">
        <v>1993</v>
      </c>
      <c r="C685" t="s">
        <v>4717</v>
      </c>
      <c r="D685">
        <v>19</v>
      </c>
      <c r="E685">
        <v>0</v>
      </c>
      <c r="F685" s="16">
        <v>5877.02</v>
      </c>
      <c r="G685" t="s">
        <v>4699</v>
      </c>
      <c r="H685" t="s">
        <v>4699</v>
      </c>
      <c r="I685" t="s">
        <v>4727</v>
      </c>
      <c r="J685" s="17">
        <f t="shared" si="20"/>
        <v>34261</v>
      </c>
      <c r="K685">
        <f t="shared" ca="1" si="21"/>
        <v>32</v>
      </c>
    </row>
    <row r="686" spans="1:11" ht="15.75" customHeight="1">
      <c r="A686" t="s">
        <v>3309</v>
      </c>
      <c r="B686">
        <v>1982</v>
      </c>
      <c r="C686" t="s">
        <v>4708</v>
      </c>
      <c r="D686">
        <v>8</v>
      </c>
      <c r="E686">
        <v>0</v>
      </c>
      <c r="F686" s="16">
        <v>5910.94</v>
      </c>
      <c r="G686" t="s">
        <v>4699</v>
      </c>
      <c r="H686" t="s">
        <v>4698</v>
      </c>
      <c r="I686" t="s">
        <v>4718</v>
      </c>
      <c r="J686" s="17">
        <f t="shared" si="20"/>
        <v>30140</v>
      </c>
      <c r="K686">
        <f t="shared" ca="1" si="21"/>
        <v>43</v>
      </c>
    </row>
    <row r="687" spans="1:11" ht="15.75" customHeight="1">
      <c r="A687" t="s">
        <v>3307</v>
      </c>
      <c r="B687">
        <v>1982</v>
      </c>
      <c r="C687" t="s">
        <v>4714</v>
      </c>
      <c r="D687">
        <v>21</v>
      </c>
      <c r="E687">
        <v>0</v>
      </c>
      <c r="F687" s="16">
        <v>5920.1</v>
      </c>
      <c r="G687" t="s">
        <v>4699</v>
      </c>
      <c r="H687" t="s">
        <v>4698</v>
      </c>
      <c r="I687" t="s">
        <v>4709</v>
      </c>
      <c r="J687" s="17">
        <f t="shared" si="20"/>
        <v>30306</v>
      </c>
      <c r="K687">
        <f t="shared" ca="1" si="21"/>
        <v>42</v>
      </c>
    </row>
    <row r="688" spans="1:11" ht="15.75" customHeight="1">
      <c r="A688" t="s">
        <v>3305</v>
      </c>
      <c r="B688">
        <v>1987</v>
      </c>
      <c r="C688" t="s">
        <v>4708</v>
      </c>
      <c r="D688">
        <v>29</v>
      </c>
      <c r="E688">
        <v>3</v>
      </c>
      <c r="F688" s="16">
        <v>5926.85</v>
      </c>
      <c r="G688" t="s">
        <v>4700</v>
      </c>
      <c r="H688" t="s">
        <v>4700</v>
      </c>
      <c r="I688" t="s">
        <v>4718</v>
      </c>
      <c r="J688" s="17">
        <f t="shared" si="20"/>
        <v>31987</v>
      </c>
      <c r="K688">
        <f t="shared" ca="1" si="21"/>
        <v>38</v>
      </c>
    </row>
    <row r="689" spans="1:11" ht="15.75" customHeight="1">
      <c r="A689" t="s">
        <v>3303</v>
      </c>
      <c r="B689">
        <v>1993</v>
      </c>
      <c r="C689" t="s">
        <v>4716</v>
      </c>
      <c r="D689">
        <v>13</v>
      </c>
      <c r="E689">
        <v>0</v>
      </c>
      <c r="F689" s="16">
        <v>5926.93</v>
      </c>
      <c r="G689" t="s">
        <v>4699</v>
      </c>
      <c r="H689" t="s">
        <v>4699</v>
      </c>
      <c r="I689" t="s">
        <v>4723</v>
      </c>
      <c r="J689" s="17">
        <f t="shared" si="20"/>
        <v>34194</v>
      </c>
      <c r="K689">
        <f t="shared" ca="1" si="21"/>
        <v>32</v>
      </c>
    </row>
    <row r="690" spans="1:11" ht="15.75" customHeight="1">
      <c r="A690" t="s">
        <v>3301</v>
      </c>
      <c r="B690">
        <v>1994</v>
      </c>
      <c r="C690" t="s">
        <v>4708</v>
      </c>
      <c r="D690">
        <v>30</v>
      </c>
      <c r="E690">
        <v>0</v>
      </c>
      <c r="F690" s="16">
        <v>5927.65</v>
      </c>
      <c r="G690" t="s">
        <v>4699</v>
      </c>
      <c r="H690" t="s">
        <v>4698</v>
      </c>
      <c r="I690" t="s">
        <v>4713</v>
      </c>
      <c r="J690" s="17">
        <f t="shared" si="20"/>
        <v>34545</v>
      </c>
      <c r="K690">
        <f t="shared" ca="1" si="21"/>
        <v>31</v>
      </c>
    </row>
    <row r="691" spans="1:11" ht="15.75" customHeight="1">
      <c r="A691" t="s">
        <v>3299</v>
      </c>
      <c r="B691">
        <v>1987</v>
      </c>
      <c r="C691" t="s">
        <v>4708</v>
      </c>
      <c r="D691">
        <v>14</v>
      </c>
      <c r="E691">
        <v>3</v>
      </c>
      <c r="F691" s="16">
        <v>5934.38</v>
      </c>
      <c r="G691" t="s">
        <v>4700</v>
      </c>
      <c r="H691" t="s">
        <v>4699</v>
      </c>
      <c r="I691" t="s">
        <v>4709</v>
      </c>
      <c r="J691" s="17">
        <f t="shared" si="20"/>
        <v>31972</v>
      </c>
      <c r="K691">
        <f t="shared" ca="1" si="21"/>
        <v>38</v>
      </c>
    </row>
    <row r="692" spans="1:11" ht="15.75" customHeight="1">
      <c r="A692" t="s">
        <v>3297</v>
      </c>
      <c r="B692">
        <v>2003</v>
      </c>
      <c r="C692" t="s">
        <v>4716</v>
      </c>
      <c r="D692">
        <v>13</v>
      </c>
      <c r="E692">
        <v>0</v>
      </c>
      <c r="F692" s="16">
        <v>5957.35</v>
      </c>
      <c r="G692" t="s">
        <v>4699</v>
      </c>
      <c r="H692" t="s">
        <v>4699</v>
      </c>
      <c r="I692" t="s">
        <v>4713</v>
      </c>
      <c r="J692" s="17">
        <f t="shared" si="20"/>
        <v>37846</v>
      </c>
      <c r="K692">
        <f t="shared" ca="1" si="21"/>
        <v>22</v>
      </c>
    </row>
    <row r="693" spans="1:11" ht="15.75" customHeight="1">
      <c r="A693" t="s">
        <v>3295</v>
      </c>
      <c r="B693">
        <v>2004</v>
      </c>
      <c r="C693" t="s">
        <v>4708</v>
      </c>
      <c r="D693">
        <v>15</v>
      </c>
      <c r="E693">
        <v>0</v>
      </c>
      <c r="F693" s="16">
        <v>5960.91</v>
      </c>
      <c r="G693" t="s">
        <v>4699</v>
      </c>
      <c r="H693" t="s">
        <v>4698</v>
      </c>
      <c r="I693" t="s">
        <v>4730</v>
      </c>
      <c r="J693" s="17">
        <f t="shared" si="20"/>
        <v>38183</v>
      </c>
      <c r="K693">
        <f t="shared" ca="1" si="21"/>
        <v>21</v>
      </c>
    </row>
    <row r="694" spans="1:11" ht="15.75" customHeight="1">
      <c r="A694" t="s">
        <v>3293</v>
      </c>
      <c r="B694">
        <v>1980</v>
      </c>
      <c r="C694" t="s">
        <v>4716</v>
      </c>
      <c r="D694">
        <v>5</v>
      </c>
      <c r="E694">
        <v>0</v>
      </c>
      <c r="F694" s="16">
        <v>5966.89</v>
      </c>
      <c r="G694" t="s">
        <v>4699</v>
      </c>
      <c r="H694" t="s">
        <v>4700</v>
      </c>
      <c r="I694" t="s">
        <v>4709</v>
      </c>
      <c r="J694" s="17">
        <f t="shared" si="20"/>
        <v>29438</v>
      </c>
      <c r="K694">
        <f t="shared" ca="1" si="21"/>
        <v>45</v>
      </c>
    </row>
    <row r="695" spans="1:11" ht="15.75" customHeight="1">
      <c r="A695" t="s">
        <v>3291</v>
      </c>
      <c r="B695">
        <v>1980</v>
      </c>
      <c r="C695" t="s">
        <v>4708</v>
      </c>
      <c r="D695">
        <v>21</v>
      </c>
      <c r="E695">
        <v>0</v>
      </c>
      <c r="F695" s="16">
        <v>5969.72</v>
      </c>
      <c r="G695" t="s">
        <v>4700</v>
      </c>
      <c r="H695" t="s">
        <v>4700</v>
      </c>
      <c r="I695" t="s">
        <v>4718</v>
      </c>
      <c r="J695" s="17">
        <f t="shared" si="20"/>
        <v>29423</v>
      </c>
      <c r="K695">
        <f t="shared" ca="1" si="21"/>
        <v>45</v>
      </c>
    </row>
    <row r="696" spans="1:11" ht="15.75" customHeight="1">
      <c r="A696" t="s">
        <v>3289</v>
      </c>
      <c r="B696">
        <v>1989</v>
      </c>
      <c r="C696" t="s">
        <v>4708</v>
      </c>
      <c r="D696">
        <v>22</v>
      </c>
      <c r="E696">
        <v>3</v>
      </c>
      <c r="F696" s="16">
        <v>5972.38</v>
      </c>
      <c r="G696" t="s">
        <v>4699</v>
      </c>
      <c r="H696" t="s">
        <v>4699</v>
      </c>
      <c r="I696" t="s">
        <v>4718</v>
      </c>
      <c r="J696" s="17">
        <f t="shared" si="20"/>
        <v>32711</v>
      </c>
      <c r="K696">
        <f t="shared" ca="1" si="21"/>
        <v>36</v>
      </c>
    </row>
    <row r="697" spans="1:11" ht="15.75" customHeight="1">
      <c r="A697" t="s">
        <v>3287</v>
      </c>
      <c r="B697">
        <v>1984</v>
      </c>
      <c r="C697" t="s">
        <v>4712</v>
      </c>
      <c r="D697">
        <v>19</v>
      </c>
      <c r="E697">
        <v>1</v>
      </c>
      <c r="F697" s="16">
        <v>5974.38</v>
      </c>
      <c r="G697" t="s">
        <v>4699</v>
      </c>
      <c r="H697" t="s">
        <v>4700</v>
      </c>
      <c r="I697" t="s">
        <v>4709</v>
      </c>
      <c r="J697" s="17">
        <f t="shared" si="20"/>
        <v>30944</v>
      </c>
      <c r="K697">
        <f t="shared" ca="1" si="21"/>
        <v>41</v>
      </c>
    </row>
    <row r="698" spans="1:11" ht="15.75" customHeight="1">
      <c r="A698" t="s">
        <v>3285</v>
      </c>
      <c r="B698">
        <v>1984</v>
      </c>
      <c r="C698" t="s">
        <v>4710</v>
      </c>
      <c r="D698">
        <v>11</v>
      </c>
      <c r="E698">
        <v>1</v>
      </c>
      <c r="F698" s="16">
        <v>5976.83</v>
      </c>
      <c r="G698" t="s">
        <v>4699</v>
      </c>
      <c r="H698" t="s">
        <v>4699</v>
      </c>
      <c r="I698" t="s">
        <v>4709</v>
      </c>
      <c r="J698" s="17">
        <f t="shared" si="20"/>
        <v>30997</v>
      </c>
      <c r="K698">
        <f t="shared" ca="1" si="21"/>
        <v>41</v>
      </c>
    </row>
    <row r="699" spans="1:11" ht="15.75" customHeight="1">
      <c r="A699" t="s">
        <v>3283</v>
      </c>
      <c r="B699">
        <v>1970</v>
      </c>
      <c r="C699" t="s">
        <v>4711</v>
      </c>
      <c r="D699">
        <v>25</v>
      </c>
      <c r="E699">
        <v>0</v>
      </c>
      <c r="F699" s="16">
        <v>5979.66</v>
      </c>
      <c r="G699" t="s">
        <v>4699</v>
      </c>
      <c r="H699" t="s">
        <v>4700</v>
      </c>
      <c r="I699" t="s">
        <v>4709</v>
      </c>
      <c r="J699" s="17">
        <f t="shared" si="20"/>
        <v>25744</v>
      </c>
      <c r="K699">
        <f t="shared" ca="1" si="21"/>
        <v>55</v>
      </c>
    </row>
    <row r="700" spans="1:11" ht="15.75" customHeight="1">
      <c r="A700" t="s">
        <v>3281</v>
      </c>
      <c r="B700">
        <v>1980</v>
      </c>
      <c r="C700" t="s">
        <v>4717</v>
      </c>
      <c r="D700">
        <v>10</v>
      </c>
      <c r="E700">
        <v>0</v>
      </c>
      <c r="F700" s="16">
        <v>5979.73</v>
      </c>
      <c r="G700" t="s">
        <v>4699</v>
      </c>
      <c r="H700" t="s">
        <v>4699</v>
      </c>
      <c r="I700" t="s">
        <v>4718</v>
      </c>
      <c r="J700" s="17">
        <f t="shared" si="20"/>
        <v>29504</v>
      </c>
      <c r="K700">
        <f t="shared" ca="1" si="21"/>
        <v>45</v>
      </c>
    </row>
    <row r="701" spans="1:11" ht="15.75" customHeight="1">
      <c r="A701" t="s">
        <v>3279</v>
      </c>
      <c r="B701">
        <v>1974</v>
      </c>
      <c r="C701" t="s">
        <v>4717</v>
      </c>
      <c r="D701">
        <v>11</v>
      </c>
      <c r="E701">
        <v>0</v>
      </c>
      <c r="F701" s="16">
        <v>5979.99</v>
      </c>
      <c r="G701" t="s">
        <v>4699</v>
      </c>
      <c r="H701" t="s">
        <v>4700</v>
      </c>
      <c r="I701" t="s">
        <v>4709</v>
      </c>
      <c r="J701" s="17">
        <f t="shared" si="20"/>
        <v>27313</v>
      </c>
      <c r="K701">
        <f t="shared" ca="1" si="21"/>
        <v>51</v>
      </c>
    </row>
    <row r="702" spans="1:11" ht="15.75" customHeight="1">
      <c r="A702" t="s">
        <v>3277</v>
      </c>
      <c r="B702">
        <v>1988</v>
      </c>
      <c r="C702" t="s">
        <v>4711</v>
      </c>
      <c r="D702">
        <v>10</v>
      </c>
      <c r="E702">
        <v>2</v>
      </c>
      <c r="F702" s="16">
        <v>5989.52</v>
      </c>
      <c r="G702" t="s">
        <v>4699</v>
      </c>
      <c r="H702" t="s">
        <v>4698</v>
      </c>
      <c r="I702" t="s">
        <v>4713</v>
      </c>
      <c r="J702" s="17">
        <f t="shared" si="20"/>
        <v>32304</v>
      </c>
      <c r="K702">
        <f t="shared" ca="1" si="21"/>
        <v>37</v>
      </c>
    </row>
    <row r="703" spans="1:11" ht="15.75" customHeight="1">
      <c r="A703" t="s">
        <v>3275</v>
      </c>
      <c r="B703">
        <v>1974</v>
      </c>
      <c r="C703" t="s">
        <v>4716</v>
      </c>
      <c r="D703">
        <v>17</v>
      </c>
      <c r="E703">
        <v>0</v>
      </c>
      <c r="F703" s="16">
        <v>5990.17</v>
      </c>
      <c r="G703" t="s">
        <v>4699</v>
      </c>
      <c r="H703" t="s">
        <v>4699</v>
      </c>
      <c r="I703" t="s">
        <v>4709</v>
      </c>
      <c r="J703" s="17">
        <f t="shared" si="20"/>
        <v>27258</v>
      </c>
      <c r="K703">
        <f t="shared" ca="1" si="21"/>
        <v>51</v>
      </c>
    </row>
    <row r="704" spans="1:11" ht="15.75" customHeight="1">
      <c r="A704" t="s">
        <v>3273</v>
      </c>
      <c r="B704">
        <v>1980</v>
      </c>
      <c r="C704" t="s">
        <v>4716</v>
      </c>
      <c r="D704">
        <v>8</v>
      </c>
      <c r="E704">
        <v>2</v>
      </c>
      <c r="F704" s="16">
        <v>5993.62</v>
      </c>
      <c r="G704" t="s">
        <v>4699</v>
      </c>
      <c r="H704" t="s">
        <v>4700</v>
      </c>
      <c r="I704" t="s">
        <v>4709</v>
      </c>
      <c r="J704" s="17">
        <f t="shared" si="20"/>
        <v>29441</v>
      </c>
      <c r="K704">
        <f t="shared" ca="1" si="21"/>
        <v>45</v>
      </c>
    </row>
    <row r="705" spans="1:11" ht="15.75" customHeight="1">
      <c r="A705" t="s">
        <v>3271</v>
      </c>
      <c r="B705">
        <v>1989</v>
      </c>
      <c r="C705" t="s">
        <v>4716</v>
      </c>
      <c r="D705">
        <v>16</v>
      </c>
      <c r="E705">
        <v>4</v>
      </c>
      <c r="F705" s="16">
        <v>6059.17</v>
      </c>
      <c r="G705" t="s">
        <v>4699</v>
      </c>
      <c r="H705" t="s">
        <v>4698</v>
      </c>
      <c r="I705" t="s">
        <v>4718</v>
      </c>
      <c r="J705" s="17">
        <f t="shared" si="20"/>
        <v>32736</v>
      </c>
      <c r="K705">
        <f t="shared" ca="1" si="21"/>
        <v>36</v>
      </c>
    </row>
    <row r="706" spans="1:11" ht="15.75" customHeight="1">
      <c r="A706" t="s">
        <v>3269</v>
      </c>
      <c r="B706">
        <v>1996</v>
      </c>
      <c r="C706" t="s">
        <v>4708</v>
      </c>
      <c r="D706">
        <v>28</v>
      </c>
      <c r="E706">
        <v>0</v>
      </c>
      <c r="F706" s="16">
        <v>6061.8</v>
      </c>
      <c r="G706" t="s">
        <v>4699</v>
      </c>
      <c r="H706" t="s">
        <v>4700</v>
      </c>
      <c r="I706" t="s">
        <v>4713</v>
      </c>
      <c r="J706" s="17">
        <f t="shared" si="20"/>
        <v>35274</v>
      </c>
      <c r="K706">
        <f t="shared" ca="1" si="21"/>
        <v>29</v>
      </c>
    </row>
    <row r="707" spans="1:11" ht="15.75" customHeight="1">
      <c r="A707" t="s">
        <v>3267</v>
      </c>
      <c r="B707">
        <v>1994</v>
      </c>
      <c r="C707" t="s">
        <v>4710</v>
      </c>
      <c r="D707">
        <v>8</v>
      </c>
      <c r="E707">
        <v>0</v>
      </c>
      <c r="F707" s="16">
        <v>6064.37</v>
      </c>
      <c r="G707" t="s">
        <v>4699</v>
      </c>
      <c r="H707" t="s">
        <v>4699</v>
      </c>
      <c r="I707" t="s">
        <v>4718</v>
      </c>
      <c r="J707" s="17">
        <f t="shared" ref="J707:J770" si="22">DATEVALUE(D707&amp;"-"&amp;C707&amp;" -"&amp;B707)</f>
        <v>34646</v>
      </c>
      <c r="K707">
        <f t="shared" ref="K707:K770" ca="1" si="23">DATEDIF(J707,TODAY(),"Y")</f>
        <v>31</v>
      </c>
    </row>
    <row r="708" spans="1:11" ht="15.75" customHeight="1">
      <c r="A708" t="s">
        <v>3265</v>
      </c>
      <c r="B708">
        <v>1984</v>
      </c>
      <c r="C708" t="s">
        <v>4712</v>
      </c>
      <c r="D708">
        <v>21</v>
      </c>
      <c r="E708">
        <v>1</v>
      </c>
      <c r="F708" s="16">
        <v>6067.13</v>
      </c>
      <c r="G708" t="s">
        <v>4700</v>
      </c>
      <c r="H708" t="s">
        <v>4698</v>
      </c>
      <c r="I708" t="s">
        <v>4721</v>
      </c>
      <c r="J708" s="17">
        <f t="shared" si="22"/>
        <v>30946</v>
      </c>
      <c r="K708">
        <f t="shared" ca="1" si="23"/>
        <v>41</v>
      </c>
    </row>
    <row r="709" spans="1:11" ht="15.75" customHeight="1">
      <c r="A709" t="s">
        <v>3263</v>
      </c>
      <c r="B709">
        <v>1979</v>
      </c>
      <c r="C709" t="s">
        <v>4716</v>
      </c>
      <c r="D709">
        <v>8</v>
      </c>
      <c r="E709">
        <v>2</v>
      </c>
      <c r="F709" s="16">
        <v>6074.37</v>
      </c>
      <c r="G709" t="s">
        <v>4699</v>
      </c>
      <c r="H709" t="s">
        <v>4699</v>
      </c>
      <c r="I709" t="s">
        <v>4713</v>
      </c>
      <c r="J709" s="17">
        <f t="shared" si="22"/>
        <v>29075</v>
      </c>
      <c r="K709">
        <f t="shared" ca="1" si="23"/>
        <v>46</v>
      </c>
    </row>
    <row r="710" spans="1:11" ht="15.75" customHeight="1">
      <c r="A710" t="s">
        <v>3261</v>
      </c>
      <c r="B710">
        <v>1984</v>
      </c>
      <c r="C710" t="s">
        <v>4717</v>
      </c>
      <c r="D710">
        <v>14</v>
      </c>
      <c r="E710">
        <v>1</v>
      </c>
      <c r="F710" s="16">
        <v>6079.67</v>
      </c>
      <c r="G710" t="s">
        <v>4698</v>
      </c>
      <c r="H710" t="s">
        <v>4698</v>
      </c>
      <c r="I710" t="s">
        <v>4726</v>
      </c>
      <c r="J710" s="17">
        <f t="shared" si="22"/>
        <v>30969</v>
      </c>
      <c r="K710">
        <f t="shared" ca="1" si="23"/>
        <v>41</v>
      </c>
    </row>
    <row r="711" spans="1:11" ht="15.75" customHeight="1">
      <c r="A711" t="s">
        <v>3259</v>
      </c>
      <c r="B711">
        <v>1984</v>
      </c>
      <c r="C711" t="s">
        <v>4708</v>
      </c>
      <c r="D711">
        <v>25</v>
      </c>
      <c r="E711">
        <v>2</v>
      </c>
      <c r="F711" s="16">
        <v>6082.41</v>
      </c>
      <c r="G711" t="s">
        <v>4698</v>
      </c>
      <c r="H711" t="s">
        <v>4699</v>
      </c>
      <c r="I711" t="s">
        <v>4718</v>
      </c>
      <c r="J711" s="17">
        <f t="shared" si="22"/>
        <v>30888</v>
      </c>
      <c r="K711">
        <f t="shared" ca="1" si="23"/>
        <v>41</v>
      </c>
    </row>
    <row r="712" spans="1:11" ht="15.75" customHeight="1">
      <c r="A712" t="s">
        <v>3257</v>
      </c>
      <c r="B712">
        <v>1970</v>
      </c>
      <c r="C712" t="s">
        <v>4711</v>
      </c>
      <c r="D712">
        <v>9</v>
      </c>
      <c r="E712">
        <v>0</v>
      </c>
      <c r="F712" s="16">
        <v>6098.38</v>
      </c>
      <c r="G712" t="s">
        <v>4699</v>
      </c>
      <c r="H712" t="s">
        <v>4699</v>
      </c>
      <c r="I712" t="s">
        <v>4709</v>
      </c>
      <c r="J712" s="17">
        <f t="shared" si="22"/>
        <v>25728</v>
      </c>
      <c r="K712">
        <f t="shared" ca="1" si="23"/>
        <v>55</v>
      </c>
    </row>
    <row r="713" spans="1:11" ht="15.75" customHeight="1">
      <c r="A713" t="s">
        <v>3255</v>
      </c>
      <c r="B713">
        <v>1995</v>
      </c>
      <c r="C713" t="s">
        <v>4712</v>
      </c>
      <c r="D713">
        <v>9</v>
      </c>
      <c r="E713">
        <v>0</v>
      </c>
      <c r="F713" s="16">
        <v>6111.95</v>
      </c>
      <c r="G713" t="s">
        <v>4699</v>
      </c>
      <c r="H713" t="s">
        <v>4700</v>
      </c>
      <c r="I713" t="s">
        <v>4730</v>
      </c>
      <c r="J713" s="17">
        <f t="shared" si="22"/>
        <v>34951</v>
      </c>
      <c r="K713">
        <f t="shared" ca="1" si="23"/>
        <v>30</v>
      </c>
    </row>
    <row r="714" spans="1:11" ht="15.75" customHeight="1">
      <c r="A714" t="s">
        <v>3253</v>
      </c>
      <c r="B714">
        <v>1985</v>
      </c>
      <c r="C714" t="s">
        <v>4708</v>
      </c>
      <c r="D714">
        <v>21</v>
      </c>
      <c r="E714">
        <v>1</v>
      </c>
      <c r="F714" s="16">
        <v>6112.35</v>
      </c>
      <c r="G714" t="s">
        <v>4699</v>
      </c>
      <c r="H714" t="s">
        <v>4698</v>
      </c>
      <c r="I714" t="s">
        <v>4713</v>
      </c>
      <c r="J714" s="17">
        <f t="shared" si="22"/>
        <v>31249</v>
      </c>
      <c r="K714">
        <f t="shared" ca="1" si="23"/>
        <v>40</v>
      </c>
    </row>
    <row r="715" spans="1:11" ht="15.75" customHeight="1">
      <c r="A715" t="s">
        <v>3251</v>
      </c>
      <c r="B715">
        <v>1991</v>
      </c>
      <c r="C715" t="s">
        <v>4708</v>
      </c>
      <c r="D715">
        <v>25</v>
      </c>
      <c r="E715">
        <v>3</v>
      </c>
      <c r="F715" s="16">
        <v>6113.23</v>
      </c>
      <c r="G715" t="s">
        <v>4699</v>
      </c>
      <c r="H715" t="s">
        <v>4699</v>
      </c>
      <c r="I715" t="s">
        <v>4724</v>
      </c>
      <c r="J715" s="17">
        <f t="shared" si="22"/>
        <v>33444</v>
      </c>
      <c r="K715">
        <f t="shared" ca="1" si="23"/>
        <v>34</v>
      </c>
    </row>
    <row r="716" spans="1:11" ht="15.75" customHeight="1">
      <c r="A716" t="s">
        <v>3249</v>
      </c>
      <c r="B716">
        <v>1983</v>
      </c>
      <c r="C716" t="s">
        <v>4716</v>
      </c>
      <c r="D716">
        <v>11</v>
      </c>
      <c r="E716">
        <v>1</v>
      </c>
      <c r="F716" s="16">
        <v>6117.49</v>
      </c>
      <c r="G716" t="s">
        <v>4699</v>
      </c>
      <c r="H716" t="s">
        <v>4700</v>
      </c>
      <c r="I716" t="s">
        <v>4713</v>
      </c>
      <c r="J716" s="17">
        <f t="shared" si="22"/>
        <v>30539</v>
      </c>
      <c r="K716">
        <f t="shared" ca="1" si="23"/>
        <v>42</v>
      </c>
    </row>
    <row r="717" spans="1:11" ht="15.75" customHeight="1">
      <c r="A717" t="s">
        <v>3247</v>
      </c>
      <c r="B717">
        <v>1983</v>
      </c>
      <c r="C717" t="s">
        <v>4710</v>
      </c>
      <c r="D717">
        <v>16</v>
      </c>
      <c r="E717">
        <v>1</v>
      </c>
      <c r="F717" s="16">
        <v>6123.57</v>
      </c>
      <c r="G717" t="s">
        <v>4700</v>
      </c>
      <c r="H717" t="s">
        <v>4699</v>
      </c>
      <c r="I717" t="s">
        <v>4713</v>
      </c>
      <c r="J717" s="17">
        <f t="shared" si="22"/>
        <v>30636</v>
      </c>
      <c r="K717">
        <f t="shared" ca="1" si="23"/>
        <v>42</v>
      </c>
    </row>
    <row r="718" spans="1:11" ht="15.75" customHeight="1">
      <c r="A718" t="s">
        <v>3245</v>
      </c>
      <c r="B718">
        <v>1990</v>
      </c>
      <c r="C718" t="s">
        <v>4716</v>
      </c>
      <c r="D718">
        <v>18</v>
      </c>
      <c r="E718">
        <v>3</v>
      </c>
      <c r="F718" s="16">
        <v>6128.8</v>
      </c>
      <c r="G718" t="s">
        <v>4699</v>
      </c>
      <c r="H718" t="s">
        <v>4700</v>
      </c>
      <c r="I718" t="s">
        <v>4713</v>
      </c>
      <c r="J718" s="17">
        <f t="shared" si="22"/>
        <v>33103</v>
      </c>
      <c r="K718">
        <f t="shared" ca="1" si="23"/>
        <v>35</v>
      </c>
    </row>
    <row r="719" spans="1:11" ht="15.75" customHeight="1">
      <c r="A719" t="s">
        <v>3243</v>
      </c>
      <c r="B719">
        <v>1969</v>
      </c>
      <c r="C719" t="s">
        <v>4710</v>
      </c>
      <c r="D719">
        <v>9</v>
      </c>
      <c r="E719">
        <v>0</v>
      </c>
      <c r="F719" s="16">
        <v>6138.5</v>
      </c>
      <c r="G719" t="s">
        <v>4699</v>
      </c>
      <c r="H719" t="s">
        <v>4699</v>
      </c>
      <c r="I719" t="s">
        <v>4718</v>
      </c>
      <c r="J719" s="17">
        <f t="shared" si="22"/>
        <v>25516</v>
      </c>
      <c r="K719">
        <f t="shared" ca="1" si="23"/>
        <v>56</v>
      </c>
    </row>
    <row r="720" spans="1:11" ht="15.75" customHeight="1">
      <c r="A720" t="s">
        <v>3241</v>
      </c>
      <c r="B720">
        <v>1978</v>
      </c>
      <c r="C720" t="s">
        <v>4712</v>
      </c>
      <c r="D720">
        <v>5</v>
      </c>
      <c r="E720">
        <v>2</v>
      </c>
      <c r="F720" s="16">
        <v>6138.58</v>
      </c>
      <c r="G720" t="s">
        <v>4699</v>
      </c>
      <c r="H720" t="s">
        <v>4698</v>
      </c>
      <c r="I720" t="s">
        <v>4709</v>
      </c>
      <c r="J720" s="17">
        <f t="shared" si="22"/>
        <v>28738</v>
      </c>
      <c r="K720">
        <f t="shared" ca="1" si="23"/>
        <v>47</v>
      </c>
    </row>
    <row r="721" spans="1:11" ht="15.75" customHeight="1">
      <c r="A721" t="s">
        <v>3239</v>
      </c>
      <c r="B721">
        <v>1976</v>
      </c>
      <c r="C721" t="s">
        <v>4714</v>
      </c>
      <c r="D721">
        <v>12</v>
      </c>
      <c r="E721">
        <v>2</v>
      </c>
      <c r="F721" s="16">
        <v>6139.14</v>
      </c>
      <c r="G721" t="s">
        <v>4699</v>
      </c>
      <c r="H721" t="s">
        <v>4700</v>
      </c>
      <c r="I721" t="s">
        <v>4709</v>
      </c>
      <c r="J721" s="17">
        <f t="shared" si="22"/>
        <v>28106</v>
      </c>
      <c r="K721">
        <f t="shared" ca="1" si="23"/>
        <v>48</v>
      </c>
    </row>
    <row r="722" spans="1:11" ht="15.75" customHeight="1">
      <c r="A722" t="s">
        <v>3237</v>
      </c>
      <c r="B722">
        <v>1970</v>
      </c>
      <c r="C722" t="s">
        <v>4717</v>
      </c>
      <c r="D722">
        <v>14</v>
      </c>
      <c r="E722">
        <v>0</v>
      </c>
      <c r="F722" s="16">
        <v>6147.12</v>
      </c>
      <c r="G722" t="s">
        <v>4699</v>
      </c>
      <c r="H722" t="s">
        <v>4700</v>
      </c>
      <c r="I722" t="s">
        <v>4713</v>
      </c>
      <c r="J722" s="17">
        <f t="shared" si="22"/>
        <v>25855</v>
      </c>
      <c r="K722">
        <f t="shared" ca="1" si="23"/>
        <v>55</v>
      </c>
    </row>
    <row r="723" spans="1:11" ht="15.75" customHeight="1">
      <c r="A723" t="s">
        <v>3235</v>
      </c>
      <c r="B723">
        <v>1973</v>
      </c>
      <c r="C723" t="s">
        <v>4710</v>
      </c>
      <c r="D723">
        <v>6</v>
      </c>
      <c r="E723">
        <v>0</v>
      </c>
      <c r="F723" s="16">
        <v>6152.05</v>
      </c>
      <c r="G723" t="s">
        <v>4699</v>
      </c>
      <c r="H723" t="s">
        <v>4700</v>
      </c>
      <c r="I723" t="s">
        <v>4709</v>
      </c>
      <c r="J723" s="17">
        <f t="shared" si="22"/>
        <v>26974</v>
      </c>
      <c r="K723">
        <f t="shared" ca="1" si="23"/>
        <v>52</v>
      </c>
    </row>
    <row r="724" spans="1:11" ht="15.75" customHeight="1">
      <c r="A724" t="s">
        <v>3233</v>
      </c>
      <c r="B724">
        <v>1985</v>
      </c>
      <c r="C724" t="s">
        <v>4717</v>
      </c>
      <c r="D724">
        <v>15</v>
      </c>
      <c r="E724">
        <v>3</v>
      </c>
      <c r="F724" s="16">
        <v>6159.57</v>
      </c>
      <c r="G724" t="s">
        <v>4699</v>
      </c>
      <c r="H724" t="s">
        <v>4698</v>
      </c>
      <c r="I724" t="s">
        <v>4713</v>
      </c>
      <c r="J724" s="17">
        <f t="shared" si="22"/>
        <v>31335</v>
      </c>
      <c r="K724">
        <f t="shared" ca="1" si="23"/>
        <v>40</v>
      </c>
    </row>
    <row r="725" spans="1:11" ht="15.75" customHeight="1">
      <c r="A725" t="s">
        <v>3231</v>
      </c>
      <c r="B725">
        <v>1984</v>
      </c>
      <c r="C725" t="s">
        <v>4717</v>
      </c>
      <c r="D725">
        <v>6</v>
      </c>
      <c r="E725">
        <v>3</v>
      </c>
      <c r="F725" s="16">
        <v>6170.96</v>
      </c>
      <c r="G725" t="s">
        <v>4699</v>
      </c>
      <c r="H725" t="s">
        <v>4698</v>
      </c>
      <c r="I725" t="s">
        <v>4709</v>
      </c>
      <c r="J725" s="17">
        <f t="shared" si="22"/>
        <v>30961</v>
      </c>
      <c r="K725">
        <f t="shared" ca="1" si="23"/>
        <v>41</v>
      </c>
    </row>
    <row r="726" spans="1:11" ht="15.75" customHeight="1">
      <c r="A726" t="s">
        <v>3229</v>
      </c>
      <c r="B726">
        <v>1985</v>
      </c>
      <c r="C726" t="s">
        <v>4716</v>
      </c>
      <c r="D726">
        <v>9</v>
      </c>
      <c r="E726">
        <v>3</v>
      </c>
      <c r="F726" s="16">
        <v>6183.32</v>
      </c>
      <c r="G726" t="s">
        <v>4699</v>
      </c>
      <c r="H726" t="s">
        <v>4699</v>
      </c>
      <c r="I726" t="s">
        <v>4713</v>
      </c>
      <c r="J726" s="17">
        <f t="shared" si="22"/>
        <v>31268</v>
      </c>
      <c r="K726">
        <f t="shared" ca="1" si="23"/>
        <v>40</v>
      </c>
    </row>
    <row r="727" spans="1:11" ht="15.75" customHeight="1">
      <c r="A727" t="s">
        <v>3227</v>
      </c>
      <c r="B727">
        <v>1970</v>
      </c>
      <c r="C727" t="s">
        <v>4717</v>
      </c>
      <c r="D727">
        <v>5</v>
      </c>
      <c r="E727">
        <v>0</v>
      </c>
      <c r="F727" s="16">
        <v>6183.46</v>
      </c>
      <c r="G727" t="s">
        <v>4699</v>
      </c>
      <c r="H727" t="s">
        <v>4699</v>
      </c>
      <c r="I727" t="s">
        <v>4713</v>
      </c>
      <c r="J727" s="17">
        <f t="shared" si="22"/>
        <v>25846</v>
      </c>
      <c r="K727">
        <f t="shared" ca="1" si="23"/>
        <v>55</v>
      </c>
    </row>
    <row r="728" spans="1:11" ht="15.75" customHeight="1">
      <c r="A728" t="s">
        <v>3225</v>
      </c>
      <c r="B728">
        <v>1988</v>
      </c>
      <c r="C728" t="s">
        <v>4710</v>
      </c>
      <c r="D728">
        <v>1</v>
      </c>
      <c r="E728">
        <v>3</v>
      </c>
      <c r="F728" s="16">
        <v>6184.3</v>
      </c>
      <c r="G728" t="s">
        <v>4699</v>
      </c>
      <c r="H728" t="s">
        <v>4700</v>
      </c>
      <c r="I728" t="s">
        <v>4709</v>
      </c>
      <c r="J728" s="17">
        <f t="shared" si="22"/>
        <v>32448</v>
      </c>
      <c r="K728">
        <f t="shared" ca="1" si="23"/>
        <v>37</v>
      </c>
    </row>
    <row r="729" spans="1:11" ht="15.75" customHeight="1">
      <c r="A729" t="s">
        <v>3223</v>
      </c>
      <c r="B729">
        <v>1981</v>
      </c>
      <c r="C729" t="s">
        <v>4710</v>
      </c>
      <c r="D729">
        <v>22</v>
      </c>
      <c r="E729">
        <v>0</v>
      </c>
      <c r="F729" s="16">
        <v>6185.32</v>
      </c>
      <c r="G729" t="s">
        <v>4699</v>
      </c>
      <c r="H729" t="s">
        <v>4698</v>
      </c>
      <c r="I729" t="s">
        <v>4709</v>
      </c>
      <c r="J729" s="17">
        <f t="shared" si="22"/>
        <v>29912</v>
      </c>
      <c r="K729">
        <f t="shared" ca="1" si="23"/>
        <v>44</v>
      </c>
    </row>
    <row r="730" spans="1:11" ht="15.75" customHeight="1">
      <c r="A730" t="s">
        <v>3221</v>
      </c>
      <c r="B730">
        <v>1981</v>
      </c>
      <c r="C730" t="s">
        <v>4717</v>
      </c>
      <c r="D730">
        <v>1</v>
      </c>
      <c r="E730">
        <v>0</v>
      </c>
      <c r="F730" s="16">
        <v>6186.13</v>
      </c>
      <c r="G730" t="s">
        <v>4699</v>
      </c>
      <c r="H730" t="s">
        <v>4700</v>
      </c>
      <c r="I730" t="s">
        <v>4718</v>
      </c>
      <c r="J730" s="17">
        <f t="shared" si="22"/>
        <v>29860</v>
      </c>
      <c r="K730">
        <f t="shared" ca="1" si="23"/>
        <v>44</v>
      </c>
    </row>
    <row r="731" spans="1:11" ht="15.75" customHeight="1">
      <c r="A731" t="s">
        <v>3219</v>
      </c>
      <c r="B731">
        <v>1988</v>
      </c>
      <c r="C731" t="s">
        <v>4717</v>
      </c>
      <c r="D731">
        <v>23</v>
      </c>
      <c r="E731">
        <v>3</v>
      </c>
      <c r="F731" s="16">
        <v>6196.45</v>
      </c>
      <c r="G731" t="s">
        <v>4699</v>
      </c>
      <c r="H731" t="s">
        <v>4698</v>
      </c>
      <c r="I731" t="s">
        <v>4718</v>
      </c>
      <c r="J731" s="17">
        <f t="shared" si="22"/>
        <v>32439</v>
      </c>
      <c r="K731">
        <f t="shared" ca="1" si="23"/>
        <v>37</v>
      </c>
    </row>
    <row r="732" spans="1:11" ht="15.75" customHeight="1">
      <c r="A732" t="s">
        <v>3217</v>
      </c>
      <c r="B732">
        <v>1985</v>
      </c>
      <c r="C732" t="s">
        <v>4708</v>
      </c>
      <c r="D732">
        <v>22</v>
      </c>
      <c r="E732">
        <v>2</v>
      </c>
      <c r="F732" s="16">
        <v>6198.75</v>
      </c>
      <c r="G732" t="s">
        <v>4699</v>
      </c>
      <c r="H732" t="s">
        <v>4698</v>
      </c>
      <c r="I732" t="s">
        <v>4713</v>
      </c>
      <c r="J732" s="17">
        <f t="shared" si="22"/>
        <v>31250</v>
      </c>
      <c r="K732">
        <f t="shared" ca="1" si="23"/>
        <v>40</v>
      </c>
    </row>
    <row r="733" spans="1:11" ht="15.75" customHeight="1">
      <c r="A733" t="s">
        <v>4697</v>
      </c>
      <c r="B733">
        <v>1985</v>
      </c>
      <c r="C733" t="s">
        <v>4714</v>
      </c>
      <c r="D733">
        <v>20</v>
      </c>
      <c r="E733">
        <v>2</v>
      </c>
      <c r="F733" s="16">
        <v>6203.9</v>
      </c>
      <c r="G733" t="s">
        <v>4698</v>
      </c>
      <c r="H733" t="s">
        <v>4699</v>
      </c>
      <c r="I733" t="s">
        <v>4713</v>
      </c>
      <c r="J733" s="17">
        <f t="shared" si="22"/>
        <v>31401</v>
      </c>
      <c r="K733">
        <f t="shared" ca="1" si="23"/>
        <v>39</v>
      </c>
    </row>
    <row r="734" spans="1:11" ht="15.75" customHeight="1">
      <c r="A734" t="s">
        <v>3215</v>
      </c>
      <c r="B734">
        <v>1985</v>
      </c>
      <c r="C734" t="s">
        <v>4712</v>
      </c>
      <c r="D734">
        <v>22</v>
      </c>
      <c r="E734">
        <v>2</v>
      </c>
      <c r="F734" s="16">
        <v>6203.9</v>
      </c>
      <c r="G734" t="s">
        <v>4699</v>
      </c>
      <c r="H734" t="s">
        <v>4699</v>
      </c>
      <c r="I734" t="s">
        <v>4713</v>
      </c>
      <c r="J734" s="17">
        <f t="shared" si="22"/>
        <v>31312</v>
      </c>
      <c r="K734">
        <f t="shared" ca="1" si="23"/>
        <v>40</v>
      </c>
    </row>
    <row r="735" spans="1:11" ht="15.75" customHeight="1">
      <c r="A735" t="s">
        <v>3213</v>
      </c>
      <c r="B735">
        <v>1999</v>
      </c>
      <c r="C735" t="s">
        <v>4712</v>
      </c>
      <c r="D735">
        <v>10</v>
      </c>
      <c r="E735">
        <v>0</v>
      </c>
      <c r="F735" s="16">
        <v>6207.26</v>
      </c>
      <c r="G735" t="s">
        <v>4699</v>
      </c>
      <c r="H735" t="s">
        <v>4699</v>
      </c>
      <c r="I735" t="s">
        <v>4730</v>
      </c>
      <c r="J735" s="17">
        <f t="shared" si="22"/>
        <v>36413</v>
      </c>
      <c r="K735">
        <f t="shared" ca="1" si="23"/>
        <v>26</v>
      </c>
    </row>
    <row r="736" spans="1:11" ht="15.75" customHeight="1">
      <c r="A736" t="s">
        <v>3211</v>
      </c>
      <c r="B736">
        <v>1992</v>
      </c>
      <c r="C736" t="s">
        <v>4716</v>
      </c>
      <c r="D736">
        <v>12</v>
      </c>
      <c r="E736">
        <v>0</v>
      </c>
      <c r="F736" s="16">
        <v>6208.5</v>
      </c>
      <c r="G736" t="s">
        <v>4699</v>
      </c>
      <c r="H736" t="s">
        <v>4698</v>
      </c>
      <c r="I736" t="s">
        <v>4727</v>
      </c>
      <c r="J736" s="17">
        <f t="shared" si="22"/>
        <v>33828</v>
      </c>
      <c r="K736">
        <f t="shared" ca="1" si="23"/>
        <v>33</v>
      </c>
    </row>
    <row r="737" spans="1:11" ht="15.75" customHeight="1">
      <c r="A737" t="s">
        <v>3209</v>
      </c>
      <c r="B737">
        <v>1972</v>
      </c>
      <c r="C737" t="s">
        <v>4711</v>
      </c>
      <c r="D737">
        <v>29</v>
      </c>
      <c r="E737">
        <v>0</v>
      </c>
      <c r="F737" s="16">
        <v>6219.93</v>
      </c>
      <c r="G737" t="s">
        <v>4699</v>
      </c>
      <c r="H737" t="s">
        <v>4699</v>
      </c>
      <c r="I737" t="s">
        <v>4709</v>
      </c>
      <c r="J737" s="17">
        <f t="shared" si="22"/>
        <v>26479</v>
      </c>
      <c r="K737">
        <f t="shared" ca="1" si="23"/>
        <v>53</v>
      </c>
    </row>
    <row r="738" spans="1:11" ht="15.75" customHeight="1">
      <c r="A738" t="s">
        <v>3207</v>
      </c>
      <c r="B738">
        <v>1978</v>
      </c>
      <c r="C738" t="s">
        <v>4712</v>
      </c>
      <c r="D738">
        <v>19</v>
      </c>
      <c r="E738">
        <v>2</v>
      </c>
      <c r="F738" s="16">
        <v>6236.95</v>
      </c>
      <c r="G738" t="s">
        <v>4699</v>
      </c>
      <c r="H738" t="s">
        <v>4699</v>
      </c>
      <c r="I738" t="s">
        <v>4709</v>
      </c>
      <c r="J738" s="17">
        <f t="shared" si="22"/>
        <v>28752</v>
      </c>
      <c r="K738">
        <f t="shared" ca="1" si="23"/>
        <v>47</v>
      </c>
    </row>
    <row r="739" spans="1:11" ht="15.75" customHeight="1">
      <c r="A739" t="s">
        <v>3205</v>
      </c>
      <c r="B739">
        <v>1983</v>
      </c>
      <c r="C739" t="s">
        <v>4716</v>
      </c>
      <c r="D739">
        <v>11</v>
      </c>
      <c r="E739">
        <v>1</v>
      </c>
      <c r="F739" s="16">
        <v>6238.3</v>
      </c>
      <c r="G739" t="s">
        <v>4699</v>
      </c>
      <c r="H739" t="s">
        <v>4698</v>
      </c>
      <c r="I739" t="s">
        <v>4718</v>
      </c>
      <c r="J739" s="17">
        <f t="shared" si="22"/>
        <v>30539</v>
      </c>
      <c r="K739">
        <f t="shared" ca="1" si="23"/>
        <v>42</v>
      </c>
    </row>
    <row r="740" spans="1:11" ht="15.75" customHeight="1">
      <c r="A740" t="s">
        <v>3203</v>
      </c>
      <c r="B740">
        <v>1979</v>
      </c>
      <c r="C740" t="s">
        <v>4717</v>
      </c>
      <c r="D740">
        <v>10</v>
      </c>
      <c r="E740">
        <v>0</v>
      </c>
      <c r="F740" s="16">
        <v>6250.44</v>
      </c>
      <c r="G740" t="s">
        <v>4699</v>
      </c>
      <c r="H740" t="s">
        <v>4698</v>
      </c>
      <c r="I740" t="s">
        <v>4718</v>
      </c>
      <c r="J740" s="17">
        <f t="shared" si="22"/>
        <v>29138</v>
      </c>
      <c r="K740">
        <f t="shared" ca="1" si="23"/>
        <v>46</v>
      </c>
    </row>
    <row r="741" spans="1:11" ht="15.75" customHeight="1">
      <c r="A741" t="s">
        <v>3201</v>
      </c>
      <c r="B741">
        <v>1972</v>
      </c>
      <c r="C741" t="s">
        <v>4710</v>
      </c>
      <c r="D741">
        <v>11</v>
      </c>
      <c r="E741">
        <v>0</v>
      </c>
      <c r="F741" s="16">
        <v>6253.85</v>
      </c>
      <c r="G741" t="s">
        <v>4699</v>
      </c>
      <c r="H741" t="s">
        <v>4699</v>
      </c>
      <c r="I741" t="s">
        <v>4709</v>
      </c>
      <c r="J741" s="17">
        <f t="shared" si="22"/>
        <v>26614</v>
      </c>
      <c r="K741">
        <f t="shared" ca="1" si="23"/>
        <v>53</v>
      </c>
    </row>
    <row r="742" spans="1:11" ht="15.75" customHeight="1">
      <c r="A742" t="s">
        <v>3199</v>
      </c>
      <c r="B742">
        <v>1972</v>
      </c>
      <c r="C742" t="s">
        <v>4712</v>
      </c>
      <c r="D742">
        <v>8</v>
      </c>
      <c r="E742">
        <v>0</v>
      </c>
      <c r="F742" s="16">
        <v>6254.13</v>
      </c>
      <c r="G742" t="s">
        <v>4699</v>
      </c>
      <c r="H742" t="s">
        <v>4699</v>
      </c>
      <c r="I742" t="s">
        <v>4713</v>
      </c>
      <c r="J742" s="17">
        <f t="shared" si="22"/>
        <v>26550</v>
      </c>
      <c r="K742">
        <f t="shared" ca="1" si="23"/>
        <v>53</v>
      </c>
    </row>
    <row r="743" spans="1:11" ht="15.75" customHeight="1">
      <c r="A743" t="s">
        <v>3197</v>
      </c>
      <c r="B743">
        <v>1970</v>
      </c>
      <c r="C743" t="s">
        <v>4717</v>
      </c>
      <c r="D743">
        <v>11</v>
      </c>
      <c r="E743">
        <v>0</v>
      </c>
      <c r="F743" s="16">
        <v>6255.38</v>
      </c>
      <c r="G743" t="s">
        <v>4699</v>
      </c>
      <c r="H743" t="s">
        <v>4699</v>
      </c>
      <c r="I743" t="s">
        <v>4709</v>
      </c>
      <c r="J743" s="17">
        <f t="shared" si="22"/>
        <v>25852</v>
      </c>
      <c r="K743">
        <f t="shared" ca="1" si="23"/>
        <v>55</v>
      </c>
    </row>
    <row r="744" spans="1:11" ht="15.75" customHeight="1">
      <c r="A744" t="s">
        <v>3195</v>
      </c>
      <c r="B744">
        <v>1995</v>
      </c>
      <c r="C744" t="s">
        <v>4717</v>
      </c>
      <c r="D744">
        <v>17</v>
      </c>
      <c r="E744">
        <v>0</v>
      </c>
      <c r="F744" s="16">
        <v>6261.2</v>
      </c>
      <c r="G744" t="s">
        <v>4699</v>
      </c>
      <c r="H744" t="s">
        <v>4698</v>
      </c>
      <c r="I744" t="s">
        <v>4730</v>
      </c>
      <c r="J744" s="17">
        <f t="shared" si="22"/>
        <v>34989</v>
      </c>
      <c r="K744">
        <f t="shared" ca="1" si="23"/>
        <v>30</v>
      </c>
    </row>
    <row r="745" spans="1:11" ht="15.75" customHeight="1">
      <c r="A745" t="s">
        <v>3193</v>
      </c>
      <c r="B745">
        <v>1984</v>
      </c>
      <c r="C745" t="s">
        <v>4712</v>
      </c>
      <c r="D745">
        <v>25</v>
      </c>
      <c r="E745">
        <v>3</v>
      </c>
      <c r="F745" s="16">
        <v>6269.33</v>
      </c>
      <c r="G745" t="s">
        <v>4699</v>
      </c>
      <c r="H745" t="s">
        <v>4698</v>
      </c>
      <c r="I745" t="s">
        <v>4709</v>
      </c>
      <c r="J745" s="17">
        <f t="shared" si="22"/>
        <v>30950</v>
      </c>
      <c r="K745">
        <f t="shared" ca="1" si="23"/>
        <v>41</v>
      </c>
    </row>
    <row r="746" spans="1:11" ht="15.75" customHeight="1">
      <c r="A746" t="s">
        <v>3191</v>
      </c>
      <c r="B746">
        <v>1981</v>
      </c>
      <c r="C746" t="s">
        <v>4711</v>
      </c>
      <c r="D746">
        <v>30</v>
      </c>
      <c r="E746">
        <v>1</v>
      </c>
      <c r="F746" s="16">
        <v>6272.48</v>
      </c>
      <c r="G746" t="s">
        <v>4698</v>
      </c>
      <c r="H746" t="s">
        <v>4700</v>
      </c>
      <c r="I746" t="s">
        <v>4709</v>
      </c>
      <c r="J746" s="17">
        <f t="shared" si="22"/>
        <v>29767</v>
      </c>
      <c r="K746">
        <f t="shared" ca="1" si="23"/>
        <v>44</v>
      </c>
    </row>
    <row r="747" spans="1:11" ht="15.75" customHeight="1">
      <c r="A747" t="s">
        <v>3189</v>
      </c>
      <c r="B747">
        <v>1993</v>
      </c>
      <c r="C747" t="s">
        <v>4717</v>
      </c>
      <c r="D747">
        <v>16</v>
      </c>
      <c r="E747">
        <v>0</v>
      </c>
      <c r="F747" s="16">
        <v>6276.3</v>
      </c>
      <c r="G747" t="s">
        <v>4699</v>
      </c>
      <c r="H747" t="s">
        <v>4698</v>
      </c>
      <c r="I747" t="s">
        <v>4723</v>
      </c>
      <c r="J747" s="17">
        <f t="shared" si="22"/>
        <v>34258</v>
      </c>
      <c r="K747">
        <f t="shared" ca="1" si="23"/>
        <v>32</v>
      </c>
    </row>
    <row r="748" spans="1:11" ht="15.75" customHeight="1">
      <c r="A748" t="s">
        <v>3187</v>
      </c>
      <c r="B748">
        <v>1981</v>
      </c>
      <c r="C748" t="s">
        <v>4710</v>
      </c>
      <c r="D748">
        <v>24</v>
      </c>
      <c r="E748">
        <v>1</v>
      </c>
      <c r="F748" s="16">
        <v>6282.24</v>
      </c>
      <c r="G748" t="s">
        <v>4699</v>
      </c>
      <c r="H748" t="s">
        <v>4698</v>
      </c>
      <c r="I748" t="s">
        <v>4718</v>
      </c>
      <c r="J748" s="17">
        <f t="shared" si="22"/>
        <v>29914</v>
      </c>
      <c r="K748">
        <f t="shared" ca="1" si="23"/>
        <v>44</v>
      </c>
    </row>
    <row r="749" spans="1:11" ht="15.75" customHeight="1">
      <c r="A749" t="s">
        <v>3185</v>
      </c>
      <c r="B749">
        <v>1981</v>
      </c>
      <c r="C749" t="s">
        <v>4716</v>
      </c>
      <c r="D749">
        <v>26</v>
      </c>
      <c r="E749">
        <v>1</v>
      </c>
      <c r="F749" s="16">
        <v>6289.75</v>
      </c>
      <c r="G749" t="s">
        <v>4699</v>
      </c>
      <c r="H749" t="s">
        <v>4700</v>
      </c>
      <c r="I749" t="s">
        <v>4709</v>
      </c>
      <c r="J749" s="17">
        <f t="shared" si="22"/>
        <v>29824</v>
      </c>
      <c r="K749">
        <f t="shared" ca="1" si="23"/>
        <v>44</v>
      </c>
    </row>
    <row r="750" spans="1:11" ht="15.75" customHeight="1">
      <c r="A750" t="s">
        <v>3183</v>
      </c>
      <c r="B750">
        <v>1996</v>
      </c>
      <c r="C750" t="s">
        <v>4708</v>
      </c>
      <c r="D750">
        <v>4</v>
      </c>
      <c r="E750">
        <v>0</v>
      </c>
      <c r="F750" s="16">
        <v>6293.63</v>
      </c>
      <c r="G750" t="s">
        <v>4699</v>
      </c>
      <c r="H750" t="s">
        <v>4700</v>
      </c>
      <c r="I750" t="s">
        <v>4727</v>
      </c>
      <c r="J750" s="17">
        <f t="shared" si="22"/>
        <v>35250</v>
      </c>
      <c r="K750">
        <f t="shared" ca="1" si="23"/>
        <v>29</v>
      </c>
    </row>
    <row r="751" spans="1:11" ht="15.75" customHeight="1">
      <c r="A751" t="s">
        <v>3181</v>
      </c>
      <c r="B751">
        <v>1974</v>
      </c>
      <c r="C751" t="s">
        <v>4712</v>
      </c>
      <c r="D751">
        <v>17</v>
      </c>
      <c r="E751">
        <v>0</v>
      </c>
      <c r="F751" s="16">
        <v>6302.23</v>
      </c>
      <c r="G751" t="s">
        <v>4699</v>
      </c>
      <c r="H751" t="s">
        <v>4698</v>
      </c>
      <c r="I751" t="s">
        <v>4709</v>
      </c>
      <c r="J751" s="17">
        <f t="shared" si="22"/>
        <v>27289</v>
      </c>
      <c r="K751">
        <f t="shared" ca="1" si="23"/>
        <v>51</v>
      </c>
    </row>
    <row r="752" spans="1:11" ht="15.75" customHeight="1">
      <c r="A752" t="s">
        <v>3179</v>
      </c>
      <c r="B752">
        <v>1969</v>
      </c>
      <c r="C752" t="s">
        <v>4712</v>
      </c>
      <c r="D752">
        <v>4</v>
      </c>
      <c r="E752">
        <v>0</v>
      </c>
      <c r="F752" s="16">
        <v>6305.61</v>
      </c>
      <c r="G752" t="s">
        <v>4699</v>
      </c>
      <c r="H752" t="s">
        <v>4699</v>
      </c>
      <c r="I752" t="s">
        <v>4713</v>
      </c>
      <c r="J752" s="17">
        <f t="shared" si="22"/>
        <v>25450</v>
      </c>
      <c r="K752">
        <f t="shared" ca="1" si="23"/>
        <v>56</v>
      </c>
    </row>
    <row r="753" spans="1:11" ht="15.75" customHeight="1">
      <c r="A753" t="s">
        <v>3177</v>
      </c>
      <c r="B753">
        <v>2004</v>
      </c>
      <c r="C753" t="s">
        <v>4708</v>
      </c>
      <c r="D753">
        <v>27</v>
      </c>
      <c r="E753">
        <v>0</v>
      </c>
      <c r="F753" s="16">
        <v>6311.11</v>
      </c>
      <c r="G753" t="s">
        <v>4699</v>
      </c>
      <c r="H753" t="s">
        <v>4699</v>
      </c>
      <c r="I753" t="s">
        <v>4718</v>
      </c>
      <c r="J753" s="17">
        <f t="shared" si="22"/>
        <v>38195</v>
      </c>
      <c r="K753">
        <f t="shared" ca="1" si="23"/>
        <v>21</v>
      </c>
    </row>
    <row r="754" spans="1:11" ht="15.75" customHeight="1">
      <c r="A754" t="s">
        <v>3175</v>
      </c>
      <c r="B754">
        <v>1985</v>
      </c>
      <c r="C754" t="s">
        <v>4710</v>
      </c>
      <c r="D754">
        <v>19</v>
      </c>
      <c r="E754">
        <v>2</v>
      </c>
      <c r="F754" s="16">
        <v>6311.95</v>
      </c>
      <c r="G754" t="s">
        <v>4699</v>
      </c>
      <c r="H754" t="s">
        <v>4698</v>
      </c>
      <c r="I754" t="s">
        <v>4718</v>
      </c>
      <c r="J754" s="17">
        <f t="shared" si="22"/>
        <v>31370</v>
      </c>
      <c r="K754">
        <f t="shared" ca="1" si="23"/>
        <v>40</v>
      </c>
    </row>
    <row r="755" spans="1:11" ht="15.75" customHeight="1">
      <c r="A755" t="s">
        <v>3173</v>
      </c>
      <c r="B755">
        <v>1985</v>
      </c>
      <c r="C755" t="s">
        <v>4714</v>
      </c>
      <c r="D755">
        <v>15</v>
      </c>
      <c r="E755">
        <v>2</v>
      </c>
      <c r="F755" s="16">
        <v>6313.76</v>
      </c>
      <c r="G755" t="s">
        <v>4699</v>
      </c>
      <c r="H755" t="s">
        <v>4698</v>
      </c>
      <c r="I755" t="s">
        <v>4709</v>
      </c>
      <c r="J755" s="17">
        <f t="shared" si="22"/>
        <v>31396</v>
      </c>
      <c r="K755">
        <f t="shared" ca="1" si="23"/>
        <v>39</v>
      </c>
    </row>
    <row r="756" spans="1:11" ht="15.75" customHeight="1">
      <c r="A756" t="s">
        <v>3171</v>
      </c>
      <c r="B756">
        <v>1990</v>
      </c>
      <c r="C756" t="s">
        <v>4716</v>
      </c>
      <c r="D756">
        <v>13</v>
      </c>
      <c r="E756">
        <v>3</v>
      </c>
      <c r="F756" s="16">
        <v>6334.34</v>
      </c>
      <c r="G756" t="s">
        <v>4699</v>
      </c>
      <c r="H756" t="s">
        <v>4699</v>
      </c>
      <c r="I756" t="s">
        <v>4724</v>
      </c>
      <c r="J756" s="17">
        <f t="shared" si="22"/>
        <v>33098</v>
      </c>
      <c r="K756">
        <f t="shared" ca="1" si="23"/>
        <v>35</v>
      </c>
    </row>
    <row r="757" spans="1:11" ht="15.75" customHeight="1">
      <c r="A757" t="s">
        <v>3169</v>
      </c>
      <c r="B757">
        <v>1986</v>
      </c>
      <c r="C757" t="s">
        <v>4712</v>
      </c>
      <c r="D757">
        <v>25</v>
      </c>
      <c r="E757">
        <v>3</v>
      </c>
      <c r="F757" s="16">
        <v>6335.64</v>
      </c>
      <c r="G757" t="s">
        <v>4699</v>
      </c>
      <c r="H757" t="s">
        <v>4699</v>
      </c>
      <c r="I757" t="s">
        <v>4709</v>
      </c>
      <c r="J757" s="17">
        <f t="shared" si="22"/>
        <v>31680</v>
      </c>
      <c r="K757">
        <f t="shared" ca="1" si="23"/>
        <v>39</v>
      </c>
    </row>
    <row r="758" spans="1:11" ht="15.75" customHeight="1">
      <c r="A758" t="s">
        <v>3167</v>
      </c>
      <c r="B758">
        <v>1983</v>
      </c>
      <c r="C758" t="s">
        <v>4717</v>
      </c>
      <c r="D758">
        <v>21</v>
      </c>
      <c r="E758">
        <v>2</v>
      </c>
      <c r="F758" s="16">
        <v>6338.08</v>
      </c>
      <c r="G758" t="s">
        <v>4699</v>
      </c>
      <c r="H758" t="s">
        <v>4698</v>
      </c>
      <c r="I758" t="s">
        <v>4709</v>
      </c>
      <c r="J758" s="17">
        <f t="shared" si="22"/>
        <v>30610</v>
      </c>
      <c r="K758">
        <f t="shared" ca="1" si="23"/>
        <v>42</v>
      </c>
    </row>
    <row r="759" spans="1:11" ht="15.75" customHeight="1">
      <c r="A759" t="s">
        <v>3165</v>
      </c>
      <c r="B759">
        <v>1983</v>
      </c>
      <c r="C759" t="s">
        <v>4716</v>
      </c>
      <c r="D759">
        <v>19</v>
      </c>
      <c r="E759">
        <v>2</v>
      </c>
      <c r="F759" s="16">
        <v>6356.27</v>
      </c>
      <c r="G759" t="s">
        <v>4700</v>
      </c>
      <c r="H759" t="s">
        <v>4699</v>
      </c>
      <c r="I759" t="s">
        <v>4709</v>
      </c>
      <c r="J759" s="17">
        <f t="shared" si="22"/>
        <v>30547</v>
      </c>
      <c r="K759">
        <f t="shared" ca="1" si="23"/>
        <v>42</v>
      </c>
    </row>
    <row r="760" spans="1:11" ht="15.75" customHeight="1">
      <c r="A760" t="s">
        <v>3163</v>
      </c>
      <c r="B760">
        <v>1980</v>
      </c>
      <c r="C760" t="s">
        <v>4717</v>
      </c>
      <c r="D760">
        <v>30</v>
      </c>
      <c r="E760">
        <v>0</v>
      </c>
      <c r="F760" s="16">
        <v>6358.78</v>
      </c>
      <c r="G760" t="s">
        <v>4699</v>
      </c>
      <c r="H760" t="s">
        <v>4698</v>
      </c>
      <c r="I760" t="s">
        <v>4713</v>
      </c>
      <c r="J760" s="17">
        <f t="shared" si="22"/>
        <v>29524</v>
      </c>
      <c r="K760">
        <f t="shared" ca="1" si="23"/>
        <v>45</v>
      </c>
    </row>
    <row r="761" spans="1:11" ht="15.75" customHeight="1">
      <c r="A761" t="s">
        <v>3161</v>
      </c>
      <c r="B761">
        <v>1989</v>
      </c>
      <c r="C761" t="s">
        <v>4711</v>
      </c>
      <c r="D761">
        <v>24</v>
      </c>
      <c r="E761">
        <v>3</v>
      </c>
      <c r="F761" s="16">
        <v>6360.99</v>
      </c>
      <c r="G761" t="s">
        <v>4699</v>
      </c>
      <c r="H761" t="s">
        <v>4699</v>
      </c>
      <c r="I761" t="s">
        <v>4713</v>
      </c>
      <c r="J761" s="17">
        <f t="shared" si="22"/>
        <v>32683</v>
      </c>
      <c r="K761">
        <f t="shared" ca="1" si="23"/>
        <v>36</v>
      </c>
    </row>
    <row r="762" spans="1:11" ht="15.75" customHeight="1">
      <c r="A762" t="s">
        <v>3159</v>
      </c>
      <c r="B762">
        <v>1996</v>
      </c>
      <c r="C762" t="s">
        <v>4708</v>
      </c>
      <c r="D762">
        <v>7</v>
      </c>
      <c r="E762">
        <v>0</v>
      </c>
      <c r="F762" s="16">
        <v>6361.47</v>
      </c>
      <c r="G762" t="s">
        <v>4699</v>
      </c>
      <c r="H762" t="s">
        <v>4700</v>
      </c>
      <c r="I762" t="s">
        <v>4727</v>
      </c>
      <c r="J762" s="17">
        <f t="shared" si="22"/>
        <v>35253</v>
      </c>
      <c r="K762">
        <f t="shared" ca="1" si="23"/>
        <v>29</v>
      </c>
    </row>
    <row r="763" spans="1:11" ht="15.75" customHeight="1">
      <c r="A763" t="s">
        <v>3157</v>
      </c>
      <c r="B763">
        <v>1970</v>
      </c>
      <c r="C763" t="s">
        <v>4710</v>
      </c>
      <c r="D763">
        <v>9</v>
      </c>
      <c r="E763">
        <v>0</v>
      </c>
      <c r="F763" s="16">
        <v>6367.31</v>
      </c>
      <c r="G763" t="s">
        <v>4699</v>
      </c>
      <c r="H763" t="s">
        <v>4698</v>
      </c>
      <c r="I763" t="s">
        <v>4709</v>
      </c>
      <c r="J763" s="17">
        <f t="shared" si="22"/>
        <v>25881</v>
      </c>
      <c r="K763">
        <f t="shared" ca="1" si="23"/>
        <v>55</v>
      </c>
    </row>
    <row r="764" spans="1:11" ht="15.75" customHeight="1">
      <c r="A764" t="s">
        <v>3155</v>
      </c>
      <c r="B764">
        <v>1984</v>
      </c>
      <c r="C764" t="s">
        <v>4716</v>
      </c>
      <c r="D764">
        <v>13</v>
      </c>
      <c r="E764">
        <v>1</v>
      </c>
      <c r="F764" s="16">
        <v>6373.56</v>
      </c>
      <c r="G764" t="s">
        <v>4699</v>
      </c>
      <c r="H764" t="s">
        <v>4698</v>
      </c>
      <c r="I764" t="s">
        <v>4713</v>
      </c>
      <c r="J764" s="17">
        <f t="shared" si="22"/>
        <v>30907</v>
      </c>
      <c r="K764">
        <f t="shared" ca="1" si="23"/>
        <v>41</v>
      </c>
    </row>
    <row r="765" spans="1:11" ht="15.75" customHeight="1">
      <c r="A765" t="s">
        <v>3153</v>
      </c>
      <c r="B765">
        <v>1976</v>
      </c>
      <c r="C765" t="s">
        <v>4710</v>
      </c>
      <c r="D765">
        <v>18</v>
      </c>
      <c r="E765">
        <v>2</v>
      </c>
      <c r="F765" s="16">
        <v>6374.16</v>
      </c>
      <c r="G765" t="s">
        <v>4699</v>
      </c>
      <c r="H765" t="s">
        <v>4699</v>
      </c>
      <c r="I765" t="s">
        <v>4709</v>
      </c>
      <c r="J765" s="17">
        <f t="shared" si="22"/>
        <v>28082</v>
      </c>
      <c r="K765">
        <f t="shared" ca="1" si="23"/>
        <v>49</v>
      </c>
    </row>
    <row r="766" spans="1:11" ht="15.75" customHeight="1">
      <c r="A766" t="s">
        <v>3151</v>
      </c>
      <c r="B766">
        <v>1982</v>
      </c>
      <c r="C766" t="s">
        <v>4716</v>
      </c>
      <c r="D766">
        <v>6</v>
      </c>
      <c r="E766">
        <v>1</v>
      </c>
      <c r="F766" s="16">
        <v>6389.38</v>
      </c>
      <c r="G766" t="s">
        <v>4698</v>
      </c>
      <c r="H766" t="s">
        <v>4699</v>
      </c>
      <c r="I766" t="s">
        <v>4713</v>
      </c>
      <c r="J766" s="17">
        <f t="shared" si="22"/>
        <v>30169</v>
      </c>
      <c r="K766">
        <f t="shared" ca="1" si="23"/>
        <v>43</v>
      </c>
    </row>
    <row r="767" spans="1:11" ht="15.75" customHeight="1">
      <c r="A767" t="s">
        <v>3149</v>
      </c>
      <c r="B767">
        <v>1997</v>
      </c>
      <c r="C767" t="s">
        <v>4716</v>
      </c>
      <c r="D767">
        <v>16</v>
      </c>
      <c r="E767">
        <v>0</v>
      </c>
      <c r="F767" s="16">
        <v>6389.53</v>
      </c>
      <c r="G767" t="s">
        <v>4699</v>
      </c>
      <c r="H767" t="s">
        <v>4699</v>
      </c>
      <c r="I767" t="s">
        <v>4727</v>
      </c>
      <c r="J767" s="17">
        <f t="shared" si="22"/>
        <v>35658</v>
      </c>
      <c r="K767">
        <f t="shared" ca="1" si="23"/>
        <v>28</v>
      </c>
    </row>
    <row r="768" spans="1:11" ht="15.75" customHeight="1">
      <c r="A768" t="s">
        <v>3147</v>
      </c>
      <c r="B768">
        <v>1982</v>
      </c>
      <c r="C768" t="s">
        <v>4717</v>
      </c>
      <c r="D768">
        <v>28</v>
      </c>
      <c r="E768">
        <v>1</v>
      </c>
      <c r="F768" s="16">
        <v>6393.6</v>
      </c>
      <c r="G768" t="s">
        <v>4699</v>
      </c>
      <c r="H768" t="s">
        <v>4698</v>
      </c>
      <c r="I768" t="s">
        <v>4713</v>
      </c>
      <c r="J768" s="17">
        <f t="shared" si="22"/>
        <v>30252</v>
      </c>
      <c r="K768">
        <f t="shared" ca="1" si="23"/>
        <v>43</v>
      </c>
    </row>
    <row r="769" spans="1:11" ht="15.75" customHeight="1">
      <c r="A769" t="s">
        <v>3145</v>
      </c>
      <c r="B769">
        <v>1987</v>
      </c>
      <c r="C769" t="s">
        <v>4712</v>
      </c>
      <c r="D769">
        <v>9</v>
      </c>
      <c r="E769">
        <v>2</v>
      </c>
      <c r="F769" s="16">
        <v>6402.29</v>
      </c>
      <c r="G769" t="s">
        <v>4699</v>
      </c>
      <c r="H769" t="s">
        <v>4700</v>
      </c>
      <c r="I769" t="s">
        <v>4724</v>
      </c>
      <c r="J769" s="17">
        <f t="shared" si="22"/>
        <v>32029</v>
      </c>
      <c r="K769">
        <f t="shared" ca="1" si="23"/>
        <v>38</v>
      </c>
    </row>
    <row r="770" spans="1:11" ht="15.75" customHeight="1">
      <c r="A770" t="s">
        <v>3143</v>
      </c>
      <c r="B770">
        <v>1985</v>
      </c>
      <c r="C770" t="s">
        <v>4714</v>
      </c>
      <c r="D770">
        <v>10</v>
      </c>
      <c r="E770">
        <v>2</v>
      </c>
      <c r="F770" s="16">
        <v>6406.41</v>
      </c>
      <c r="G770" t="s">
        <v>4698</v>
      </c>
      <c r="H770" t="s">
        <v>4700</v>
      </c>
      <c r="I770" t="s">
        <v>4726</v>
      </c>
      <c r="J770" s="17">
        <f t="shared" si="22"/>
        <v>31391</v>
      </c>
      <c r="K770">
        <f t="shared" ca="1" si="23"/>
        <v>39</v>
      </c>
    </row>
    <row r="771" spans="1:11" ht="15.75" customHeight="1">
      <c r="A771" t="s">
        <v>3141</v>
      </c>
      <c r="B771">
        <v>1970</v>
      </c>
      <c r="C771" t="s">
        <v>4716</v>
      </c>
      <c r="D771">
        <v>20</v>
      </c>
      <c r="E771">
        <v>0</v>
      </c>
      <c r="F771" s="16">
        <v>6407.05</v>
      </c>
      <c r="G771" t="s">
        <v>4699</v>
      </c>
      <c r="H771" t="s">
        <v>4698</v>
      </c>
      <c r="I771" t="s">
        <v>4709</v>
      </c>
      <c r="J771" s="17">
        <f t="shared" ref="J771:J834" si="24">DATEVALUE(D771&amp;"-"&amp;C771&amp;" -"&amp;B771)</f>
        <v>25800</v>
      </c>
      <c r="K771">
        <f t="shared" ref="K771:K834" ca="1" si="25">DATEDIF(J771,TODAY(),"Y")</f>
        <v>55</v>
      </c>
    </row>
    <row r="772" spans="1:11" ht="15.75" customHeight="1">
      <c r="A772" t="s">
        <v>3139</v>
      </c>
      <c r="B772">
        <v>1971</v>
      </c>
      <c r="C772" t="s">
        <v>4716</v>
      </c>
      <c r="D772">
        <v>22</v>
      </c>
      <c r="E772">
        <v>0</v>
      </c>
      <c r="F772" s="16">
        <v>6412.34</v>
      </c>
      <c r="G772" t="s">
        <v>4699</v>
      </c>
      <c r="H772" t="s">
        <v>4700</v>
      </c>
      <c r="I772" t="s">
        <v>4709</v>
      </c>
      <c r="J772" s="17">
        <f t="shared" si="24"/>
        <v>26167</v>
      </c>
      <c r="K772">
        <f t="shared" ca="1" si="25"/>
        <v>54</v>
      </c>
    </row>
    <row r="773" spans="1:11" ht="15.75" customHeight="1">
      <c r="A773" t="s">
        <v>3137</v>
      </c>
      <c r="B773">
        <v>1987</v>
      </c>
      <c r="C773" t="s">
        <v>4712</v>
      </c>
      <c r="D773">
        <v>4</v>
      </c>
      <c r="E773">
        <v>3</v>
      </c>
      <c r="F773" s="16">
        <v>6414.18</v>
      </c>
      <c r="G773" t="s">
        <v>4699</v>
      </c>
      <c r="H773" t="s">
        <v>4699</v>
      </c>
      <c r="I773" t="s">
        <v>4718</v>
      </c>
      <c r="J773" s="17">
        <f t="shared" si="24"/>
        <v>32024</v>
      </c>
      <c r="K773">
        <f t="shared" ca="1" si="25"/>
        <v>38</v>
      </c>
    </row>
    <row r="774" spans="1:11" ht="15.75" customHeight="1">
      <c r="A774" t="s">
        <v>3135</v>
      </c>
      <c r="B774">
        <v>1976</v>
      </c>
      <c r="C774" t="s">
        <v>4714</v>
      </c>
      <c r="D774">
        <v>30</v>
      </c>
      <c r="E774">
        <v>2</v>
      </c>
      <c r="F774" s="16">
        <v>6417.28</v>
      </c>
      <c r="G774" t="s">
        <v>4699</v>
      </c>
      <c r="H774" t="s">
        <v>4700</v>
      </c>
      <c r="I774" t="s">
        <v>4709</v>
      </c>
      <c r="J774" s="17">
        <f t="shared" si="24"/>
        <v>28124</v>
      </c>
      <c r="K774">
        <f t="shared" ca="1" si="25"/>
        <v>48</v>
      </c>
    </row>
    <row r="775" spans="1:11" ht="15.75" customHeight="1">
      <c r="A775" t="s">
        <v>3133</v>
      </c>
      <c r="B775">
        <v>1975</v>
      </c>
      <c r="C775" t="s">
        <v>4716</v>
      </c>
      <c r="D775">
        <v>5</v>
      </c>
      <c r="E775">
        <v>1</v>
      </c>
      <c r="F775" s="16">
        <v>6423.48</v>
      </c>
      <c r="G775" t="s">
        <v>4699</v>
      </c>
      <c r="H775" t="s">
        <v>4700</v>
      </c>
      <c r="I775" t="s">
        <v>4709</v>
      </c>
      <c r="J775" s="17">
        <f t="shared" si="24"/>
        <v>27611</v>
      </c>
      <c r="K775">
        <f t="shared" ca="1" si="25"/>
        <v>50</v>
      </c>
    </row>
    <row r="776" spans="1:11" ht="15.75" customHeight="1">
      <c r="A776" t="s">
        <v>3131</v>
      </c>
      <c r="B776">
        <v>1985</v>
      </c>
      <c r="C776" t="s">
        <v>4708</v>
      </c>
      <c r="D776">
        <v>22</v>
      </c>
      <c r="E776">
        <v>3</v>
      </c>
      <c r="F776" s="16">
        <v>6435.62</v>
      </c>
      <c r="G776" t="s">
        <v>4700</v>
      </c>
      <c r="H776" t="s">
        <v>4699</v>
      </c>
      <c r="I776" t="s">
        <v>4709</v>
      </c>
      <c r="J776" s="17">
        <f t="shared" si="24"/>
        <v>31250</v>
      </c>
      <c r="K776">
        <f t="shared" ca="1" si="25"/>
        <v>40</v>
      </c>
    </row>
    <row r="777" spans="1:11" ht="15.75" customHeight="1">
      <c r="A777" t="s">
        <v>3129</v>
      </c>
      <c r="B777">
        <v>1984</v>
      </c>
      <c r="C777" t="s">
        <v>4716</v>
      </c>
      <c r="D777">
        <v>26</v>
      </c>
      <c r="E777">
        <v>2</v>
      </c>
      <c r="F777" s="16">
        <v>6455.86</v>
      </c>
      <c r="G777" t="s">
        <v>4700</v>
      </c>
      <c r="H777" t="s">
        <v>4700</v>
      </c>
      <c r="I777" t="s">
        <v>4713</v>
      </c>
      <c r="J777" s="17">
        <f t="shared" si="24"/>
        <v>30920</v>
      </c>
      <c r="K777">
        <f t="shared" ca="1" si="25"/>
        <v>41</v>
      </c>
    </row>
    <row r="778" spans="1:11" ht="15.75" customHeight="1">
      <c r="A778" t="s">
        <v>3127</v>
      </c>
      <c r="B778">
        <v>1984</v>
      </c>
      <c r="C778" t="s">
        <v>4710</v>
      </c>
      <c r="D778">
        <v>1</v>
      </c>
      <c r="E778">
        <v>2</v>
      </c>
      <c r="F778" s="16">
        <v>6457.84</v>
      </c>
      <c r="G778" t="s">
        <v>4699</v>
      </c>
      <c r="H778" t="s">
        <v>4700</v>
      </c>
      <c r="I778" t="s">
        <v>4713</v>
      </c>
      <c r="J778" s="17">
        <f t="shared" si="24"/>
        <v>30987</v>
      </c>
      <c r="K778">
        <f t="shared" ca="1" si="25"/>
        <v>41</v>
      </c>
    </row>
    <row r="779" spans="1:11" ht="15.75" customHeight="1">
      <c r="A779" t="s">
        <v>3125</v>
      </c>
      <c r="B779">
        <v>1981</v>
      </c>
      <c r="C779" t="s">
        <v>4708</v>
      </c>
      <c r="D779">
        <v>27</v>
      </c>
      <c r="E779">
        <v>1</v>
      </c>
      <c r="F779" s="16">
        <v>6473.15</v>
      </c>
      <c r="G779" t="s">
        <v>4699</v>
      </c>
      <c r="H779" t="s">
        <v>4699</v>
      </c>
      <c r="I779" t="s">
        <v>4709</v>
      </c>
      <c r="J779" s="17">
        <f t="shared" si="24"/>
        <v>29794</v>
      </c>
      <c r="K779">
        <f t="shared" ca="1" si="25"/>
        <v>44</v>
      </c>
    </row>
    <row r="780" spans="1:11" ht="15.75" customHeight="1">
      <c r="A780" t="s">
        <v>3123</v>
      </c>
      <c r="B780">
        <v>1980</v>
      </c>
      <c r="C780" t="s">
        <v>4711</v>
      </c>
      <c r="D780">
        <v>8</v>
      </c>
      <c r="E780">
        <v>0</v>
      </c>
      <c r="F780" s="16">
        <v>6474.01</v>
      </c>
      <c r="G780" t="s">
        <v>4699</v>
      </c>
      <c r="H780" t="s">
        <v>4700</v>
      </c>
      <c r="I780" t="s">
        <v>4718</v>
      </c>
      <c r="J780" s="17">
        <f t="shared" si="24"/>
        <v>29380</v>
      </c>
      <c r="K780">
        <f t="shared" ca="1" si="25"/>
        <v>45</v>
      </c>
    </row>
    <row r="781" spans="1:11" ht="15.75" customHeight="1">
      <c r="A781" t="s">
        <v>3121</v>
      </c>
      <c r="B781">
        <v>1970</v>
      </c>
      <c r="C781" t="s">
        <v>4714</v>
      </c>
      <c r="D781">
        <v>1</v>
      </c>
      <c r="E781">
        <v>0</v>
      </c>
      <c r="F781" s="16">
        <v>6481.67</v>
      </c>
      <c r="G781" t="s">
        <v>4699</v>
      </c>
      <c r="H781" t="s">
        <v>4699</v>
      </c>
      <c r="I781" t="s">
        <v>4709</v>
      </c>
      <c r="J781" s="17">
        <f t="shared" si="24"/>
        <v>25903</v>
      </c>
      <c r="K781">
        <f t="shared" ca="1" si="25"/>
        <v>54</v>
      </c>
    </row>
    <row r="782" spans="1:11" ht="15.75" customHeight="1">
      <c r="A782" t="s">
        <v>3119</v>
      </c>
      <c r="B782">
        <v>1982</v>
      </c>
      <c r="C782" t="s">
        <v>4717</v>
      </c>
      <c r="D782">
        <v>9</v>
      </c>
      <c r="E782">
        <v>1</v>
      </c>
      <c r="F782" s="16">
        <v>6496.89</v>
      </c>
      <c r="G782" t="s">
        <v>4699</v>
      </c>
      <c r="H782" t="s">
        <v>4700</v>
      </c>
      <c r="I782" t="s">
        <v>4718</v>
      </c>
      <c r="J782" s="17">
        <f t="shared" si="24"/>
        <v>30233</v>
      </c>
      <c r="K782">
        <f t="shared" ca="1" si="25"/>
        <v>43</v>
      </c>
    </row>
    <row r="783" spans="1:11" ht="15.75" customHeight="1">
      <c r="A783" t="s">
        <v>3117</v>
      </c>
      <c r="B783">
        <v>1982</v>
      </c>
      <c r="C783" t="s">
        <v>4716</v>
      </c>
      <c r="D783">
        <v>28</v>
      </c>
      <c r="E783">
        <v>1</v>
      </c>
      <c r="F783" s="16">
        <v>6500.24</v>
      </c>
      <c r="G783" t="s">
        <v>4699</v>
      </c>
      <c r="H783" t="s">
        <v>4699</v>
      </c>
      <c r="I783" t="s">
        <v>4709</v>
      </c>
      <c r="J783" s="17">
        <f t="shared" si="24"/>
        <v>30191</v>
      </c>
      <c r="K783">
        <f t="shared" ca="1" si="25"/>
        <v>43</v>
      </c>
    </row>
    <row r="784" spans="1:11" ht="15.75" customHeight="1">
      <c r="A784" t="s">
        <v>3115</v>
      </c>
      <c r="B784">
        <v>1994</v>
      </c>
      <c r="C784" t="s">
        <v>4708</v>
      </c>
      <c r="D784">
        <v>7</v>
      </c>
      <c r="E784">
        <v>0</v>
      </c>
      <c r="F784" s="16">
        <v>6512.24</v>
      </c>
      <c r="G784" t="s">
        <v>4699</v>
      </c>
      <c r="H784" t="s">
        <v>4698</v>
      </c>
      <c r="I784" t="s">
        <v>4727</v>
      </c>
      <c r="J784" s="17">
        <f t="shared" si="24"/>
        <v>34522</v>
      </c>
      <c r="K784">
        <f t="shared" ca="1" si="25"/>
        <v>31</v>
      </c>
    </row>
    <row r="785" spans="1:11" ht="15.75" customHeight="1">
      <c r="A785" t="s">
        <v>3113</v>
      </c>
      <c r="B785">
        <v>1976</v>
      </c>
      <c r="C785" t="s">
        <v>4717</v>
      </c>
      <c r="D785">
        <v>23</v>
      </c>
      <c r="E785">
        <v>2</v>
      </c>
      <c r="F785" s="16">
        <v>6529.21</v>
      </c>
      <c r="G785" t="s">
        <v>4699</v>
      </c>
      <c r="H785" t="s">
        <v>4698</v>
      </c>
      <c r="I785" t="s">
        <v>4709</v>
      </c>
      <c r="J785" s="17">
        <f t="shared" si="24"/>
        <v>28056</v>
      </c>
      <c r="K785">
        <f t="shared" ca="1" si="25"/>
        <v>49</v>
      </c>
    </row>
    <row r="786" spans="1:11" ht="15.75" customHeight="1">
      <c r="A786" t="s">
        <v>3111</v>
      </c>
      <c r="B786">
        <v>1982</v>
      </c>
      <c r="C786" t="s">
        <v>4716</v>
      </c>
      <c r="D786">
        <v>12</v>
      </c>
      <c r="E786">
        <v>3</v>
      </c>
      <c r="F786" s="16">
        <v>6532.04</v>
      </c>
      <c r="G786" t="s">
        <v>4699</v>
      </c>
      <c r="H786" t="s">
        <v>4698</v>
      </c>
      <c r="I786" t="s">
        <v>4709</v>
      </c>
      <c r="J786" s="17">
        <f t="shared" si="24"/>
        <v>30175</v>
      </c>
      <c r="K786">
        <f t="shared" ca="1" si="25"/>
        <v>43</v>
      </c>
    </row>
    <row r="787" spans="1:11" ht="15.75" customHeight="1">
      <c r="A787" t="s">
        <v>3109</v>
      </c>
      <c r="B787">
        <v>1982</v>
      </c>
      <c r="C787" t="s">
        <v>4717</v>
      </c>
      <c r="D787">
        <v>2</v>
      </c>
      <c r="E787">
        <v>3</v>
      </c>
      <c r="F787" s="16">
        <v>6536.68</v>
      </c>
      <c r="G787" t="s">
        <v>4699</v>
      </c>
      <c r="H787" t="s">
        <v>4699</v>
      </c>
      <c r="I787" t="s">
        <v>4713</v>
      </c>
      <c r="J787" s="17">
        <f t="shared" si="24"/>
        <v>30226</v>
      </c>
      <c r="K787">
        <f t="shared" ca="1" si="25"/>
        <v>43</v>
      </c>
    </row>
    <row r="788" spans="1:11" ht="15.75" customHeight="1">
      <c r="A788" t="s">
        <v>3107</v>
      </c>
      <c r="B788">
        <v>1969</v>
      </c>
      <c r="C788" t="s">
        <v>4714</v>
      </c>
      <c r="D788">
        <v>3</v>
      </c>
      <c r="E788">
        <v>0</v>
      </c>
      <c r="F788" s="16">
        <v>6546.16</v>
      </c>
      <c r="G788" t="s">
        <v>4699</v>
      </c>
      <c r="H788" t="s">
        <v>4700</v>
      </c>
      <c r="I788" t="s">
        <v>4709</v>
      </c>
      <c r="J788" s="17">
        <f t="shared" si="24"/>
        <v>25540</v>
      </c>
      <c r="K788">
        <f t="shared" ca="1" si="25"/>
        <v>55</v>
      </c>
    </row>
    <row r="789" spans="1:11" ht="15.75" customHeight="1">
      <c r="A789" t="s">
        <v>3105</v>
      </c>
      <c r="B789">
        <v>1986</v>
      </c>
      <c r="C789" t="s">
        <v>4714</v>
      </c>
      <c r="D789">
        <v>18</v>
      </c>
      <c r="E789">
        <v>3</v>
      </c>
      <c r="F789" s="16">
        <v>6548.2</v>
      </c>
      <c r="G789" t="s">
        <v>4699</v>
      </c>
      <c r="H789" t="s">
        <v>4700</v>
      </c>
      <c r="I789" t="s">
        <v>4713</v>
      </c>
      <c r="J789" s="17">
        <f t="shared" si="24"/>
        <v>31764</v>
      </c>
      <c r="K789">
        <f t="shared" ca="1" si="25"/>
        <v>38</v>
      </c>
    </row>
    <row r="790" spans="1:11" ht="15.75" customHeight="1">
      <c r="A790" t="s">
        <v>3103</v>
      </c>
      <c r="B790">
        <v>1989</v>
      </c>
      <c r="C790" t="s">
        <v>4716</v>
      </c>
      <c r="D790">
        <v>6</v>
      </c>
      <c r="E790">
        <v>3</v>
      </c>
      <c r="F790" s="16">
        <v>6551.75</v>
      </c>
      <c r="G790" t="s">
        <v>4699</v>
      </c>
      <c r="H790" t="s">
        <v>4699</v>
      </c>
      <c r="I790" t="s">
        <v>4724</v>
      </c>
      <c r="J790" s="17">
        <f t="shared" si="24"/>
        <v>32726</v>
      </c>
      <c r="K790">
        <f t="shared" ca="1" si="25"/>
        <v>36</v>
      </c>
    </row>
    <row r="791" spans="1:11" ht="15.75" customHeight="1">
      <c r="A791" t="s">
        <v>3101</v>
      </c>
      <c r="B791">
        <v>1968</v>
      </c>
      <c r="C791" t="s">
        <v>4714</v>
      </c>
      <c r="D791">
        <v>11</v>
      </c>
      <c r="E791">
        <v>0</v>
      </c>
      <c r="F791" s="16">
        <v>6552.01</v>
      </c>
      <c r="G791" t="s">
        <v>4700</v>
      </c>
      <c r="H791" t="s">
        <v>4699</v>
      </c>
      <c r="I791" t="s">
        <v>4709</v>
      </c>
      <c r="J791" s="17">
        <f t="shared" si="24"/>
        <v>25183</v>
      </c>
      <c r="K791">
        <f t="shared" ca="1" si="25"/>
        <v>56</v>
      </c>
    </row>
    <row r="792" spans="1:11" ht="15.75" customHeight="1">
      <c r="A792" t="s">
        <v>3099</v>
      </c>
      <c r="B792">
        <v>1984</v>
      </c>
      <c r="C792" t="s">
        <v>4712</v>
      </c>
      <c r="D792">
        <v>20</v>
      </c>
      <c r="E792">
        <v>1</v>
      </c>
      <c r="F792" s="16">
        <v>6555.07</v>
      </c>
      <c r="G792" t="s">
        <v>4699</v>
      </c>
      <c r="H792" t="s">
        <v>4699</v>
      </c>
      <c r="I792" t="s">
        <v>4724</v>
      </c>
      <c r="J792" s="17">
        <f t="shared" si="24"/>
        <v>30945</v>
      </c>
      <c r="K792">
        <f t="shared" ca="1" si="25"/>
        <v>41</v>
      </c>
    </row>
    <row r="793" spans="1:11" ht="15.75" customHeight="1">
      <c r="A793" t="s">
        <v>3097</v>
      </c>
      <c r="B793">
        <v>1981</v>
      </c>
      <c r="C793" t="s">
        <v>4708</v>
      </c>
      <c r="D793">
        <v>20</v>
      </c>
      <c r="E793">
        <v>0</v>
      </c>
      <c r="F793" s="16">
        <v>6571.02</v>
      </c>
      <c r="G793" t="s">
        <v>4699</v>
      </c>
      <c r="H793" t="s">
        <v>4698</v>
      </c>
      <c r="I793" t="s">
        <v>4713</v>
      </c>
      <c r="J793" s="17">
        <f t="shared" si="24"/>
        <v>29787</v>
      </c>
      <c r="K793">
        <f t="shared" ca="1" si="25"/>
        <v>44</v>
      </c>
    </row>
    <row r="794" spans="1:11" ht="15.75" customHeight="1">
      <c r="A794" t="s">
        <v>3095</v>
      </c>
      <c r="B794">
        <v>1984</v>
      </c>
      <c r="C794" t="s">
        <v>4717</v>
      </c>
      <c r="D794">
        <v>5</v>
      </c>
      <c r="E794">
        <v>2</v>
      </c>
      <c r="F794" s="16">
        <v>6571.54</v>
      </c>
      <c r="G794" t="s">
        <v>4699</v>
      </c>
      <c r="H794" t="s">
        <v>4700</v>
      </c>
      <c r="I794" t="s">
        <v>4718</v>
      </c>
      <c r="J794" s="17">
        <f t="shared" si="24"/>
        <v>30960</v>
      </c>
      <c r="K794">
        <f t="shared" ca="1" si="25"/>
        <v>41</v>
      </c>
    </row>
    <row r="795" spans="1:11" ht="15.75" customHeight="1">
      <c r="A795" t="s">
        <v>3093</v>
      </c>
      <c r="B795">
        <v>1982</v>
      </c>
      <c r="C795" t="s">
        <v>4710</v>
      </c>
      <c r="D795">
        <v>22</v>
      </c>
      <c r="E795">
        <v>2</v>
      </c>
      <c r="F795" s="16">
        <v>6593.51</v>
      </c>
      <c r="G795" t="s">
        <v>4699</v>
      </c>
      <c r="H795" t="s">
        <v>4698</v>
      </c>
      <c r="I795" t="s">
        <v>4709</v>
      </c>
      <c r="J795" s="17">
        <f t="shared" si="24"/>
        <v>30277</v>
      </c>
      <c r="K795">
        <f t="shared" ca="1" si="25"/>
        <v>43</v>
      </c>
    </row>
    <row r="796" spans="1:11" ht="15.75" customHeight="1">
      <c r="A796" t="s">
        <v>3091</v>
      </c>
      <c r="B796">
        <v>1982</v>
      </c>
      <c r="C796" t="s">
        <v>4714</v>
      </c>
      <c r="D796">
        <v>29</v>
      </c>
      <c r="E796">
        <v>1</v>
      </c>
      <c r="F796" s="16">
        <v>6600.21</v>
      </c>
      <c r="G796" t="s">
        <v>4700</v>
      </c>
      <c r="H796" t="s">
        <v>4699</v>
      </c>
      <c r="I796" t="s">
        <v>4721</v>
      </c>
      <c r="J796" s="17">
        <f t="shared" si="24"/>
        <v>30314</v>
      </c>
      <c r="K796">
        <f t="shared" ca="1" si="25"/>
        <v>42</v>
      </c>
    </row>
    <row r="797" spans="1:11" ht="15.75" customHeight="1">
      <c r="A797" t="s">
        <v>3089</v>
      </c>
      <c r="B797">
        <v>1982</v>
      </c>
      <c r="C797" t="s">
        <v>4710</v>
      </c>
      <c r="D797">
        <v>7</v>
      </c>
      <c r="E797">
        <v>2</v>
      </c>
      <c r="F797" s="16">
        <v>6600.36</v>
      </c>
      <c r="G797" t="s">
        <v>4699</v>
      </c>
      <c r="H797" t="s">
        <v>4700</v>
      </c>
      <c r="I797" t="s">
        <v>4718</v>
      </c>
      <c r="J797" s="17">
        <f t="shared" si="24"/>
        <v>30262</v>
      </c>
      <c r="K797">
        <f t="shared" ca="1" si="25"/>
        <v>43</v>
      </c>
    </row>
    <row r="798" spans="1:11" ht="15.75" customHeight="1">
      <c r="A798" t="s">
        <v>3087</v>
      </c>
      <c r="B798">
        <v>1982</v>
      </c>
      <c r="C798" t="s">
        <v>4716</v>
      </c>
      <c r="D798">
        <v>28</v>
      </c>
      <c r="E798">
        <v>1</v>
      </c>
      <c r="F798" s="16">
        <v>6610.11</v>
      </c>
      <c r="G798" t="s">
        <v>4700</v>
      </c>
      <c r="H798" t="s">
        <v>4699</v>
      </c>
      <c r="I798" t="s">
        <v>4719</v>
      </c>
      <c r="J798" s="17">
        <f t="shared" si="24"/>
        <v>30191</v>
      </c>
      <c r="K798">
        <f t="shared" ca="1" si="25"/>
        <v>43</v>
      </c>
    </row>
    <row r="799" spans="1:11" ht="15.75" customHeight="1">
      <c r="A799" t="s">
        <v>3085</v>
      </c>
      <c r="B799">
        <v>1973</v>
      </c>
      <c r="C799" t="s">
        <v>4716</v>
      </c>
      <c r="D799">
        <v>29</v>
      </c>
      <c r="E799">
        <v>0</v>
      </c>
      <c r="F799" s="16">
        <v>6630.31</v>
      </c>
      <c r="G799" t="s">
        <v>4699</v>
      </c>
      <c r="H799" t="s">
        <v>4698</v>
      </c>
      <c r="I799" t="s">
        <v>4709</v>
      </c>
      <c r="J799" s="17">
        <f t="shared" si="24"/>
        <v>26905</v>
      </c>
      <c r="K799">
        <f t="shared" ca="1" si="25"/>
        <v>52</v>
      </c>
    </row>
    <row r="800" spans="1:11" ht="15.75" customHeight="1">
      <c r="A800" t="s">
        <v>3083</v>
      </c>
      <c r="B800">
        <v>2003</v>
      </c>
      <c r="C800" t="s">
        <v>4712</v>
      </c>
      <c r="D800">
        <v>4</v>
      </c>
      <c r="E800">
        <v>0</v>
      </c>
      <c r="F800" s="16">
        <v>6638.16</v>
      </c>
      <c r="G800" t="s">
        <v>4699</v>
      </c>
      <c r="H800" t="s">
        <v>4698</v>
      </c>
      <c r="I800" t="s">
        <v>4713</v>
      </c>
      <c r="J800" s="17">
        <f t="shared" si="24"/>
        <v>37868</v>
      </c>
      <c r="K800">
        <f t="shared" ca="1" si="25"/>
        <v>22</v>
      </c>
    </row>
    <row r="801" spans="1:11" ht="15.75" customHeight="1">
      <c r="A801" t="s">
        <v>3081</v>
      </c>
      <c r="B801">
        <v>1990</v>
      </c>
      <c r="C801" t="s">
        <v>4711</v>
      </c>
      <c r="D801">
        <v>6</v>
      </c>
      <c r="E801">
        <v>3</v>
      </c>
      <c r="F801" s="16">
        <v>6639.3</v>
      </c>
      <c r="G801" t="s">
        <v>4699</v>
      </c>
      <c r="H801" t="s">
        <v>4699</v>
      </c>
      <c r="I801" t="s">
        <v>4727</v>
      </c>
      <c r="J801" s="17">
        <f t="shared" si="24"/>
        <v>33030</v>
      </c>
      <c r="K801">
        <f t="shared" ca="1" si="25"/>
        <v>35</v>
      </c>
    </row>
    <row r="802" spans="1:11" ht="15.75" customHeight="1">
      <c r="A802" t="s">
        <v>3079</v>
      </c>
      <c r="B802">
        <v>1984</v>
      </c>
      <c r="C802" t="s">
        <v>4714</v>
      </c>
      <c r="D802">
        <v>8</v>
      </c>
      <c r="E802">
        <v>2</v>
      </c>
      <c r="F802" s="16">
        <v>6640.54</v>
      </c>
      <c r="G802" t="s">
        <v>4699</v>
      </c>
      <c r="H802" t="s">
        <v>4700</v>
      </c>
      <c r="I802" t="s">
        <v>4720</v>
      </c>
      <c r="J802" s="17">
        <f t="shared" si="24"/>
        <v>31024</v>
      </c>
      <c r="K802">
        <f t="shared" ca="1" si="25"/>
        <v>40</v>
      </c>
    </row>
    <row r="803" spans="1:11" ht="15.75" customHeight="1">
      <c r="A803" t="s">
        <v>3077</v>
      </c>
      <c r="B803">
        <v>1970</v>
      </c>
      <c r="C803" t="s">
        <v>4710</v>
      </c>
      <c r="D803">
        <v>8</v>
      </c>
      <c r="E803">
        <v>0</v>
      </c>
      <c r="F803" s="16">
        <v>6651.26</v>
      </c>
      <c r="G803" t="s">
        <v>4699</v>
      </c>
      <c r="H803" t="s">
        <v>4700</v>
      </c>
      <c r="I803" t="s">
        <v>4709</v>
      </c>
      <c r="J803" s="17">
        <f t="shared" si="24"/>
        <v>25880</v>
      </c>
      <c r="K803">
        <f t="shared" ca="1" si="25"/>
        <v>55</v>
      </c>
    </row>
    <row r="804" spans="1:11" ht="15.75" customHeight="1">
      <c r="A804" t="s">
        <v>3075</v>
      </c>
      <c r="B804">
        <v>1984</v>
      </c>
      <c r="C804" t="s">
        <v>4708</v>
      </c>
      <c r="D804">
        <v>1</v>
      </c>
      <c r="E804">
        <v>3</v>
      </c>
      <c r="F804" s="16">
        <v>6652.53</v>
      </c>
      <c r="G804" t="s">
        <v>4700</v>
      </c>
      <c r="H804" t="s">
        <v>4699</v>
      </c>
      <c r="I804" t="s">
        <v>4709</v>
      </c>
      <c r="J804" s="17">
        <f t="shared" si="24"/>
        <v>30864</v>
      </c>
      <c r="K804">
        <f t="shared" ca="1" si="25"/>
        <v>41</v>
      </c>
    </row>
    <row r="805" spans="1:11" ht="15.75" customHeight="1">
      <c r="A805" t="s">
        <v>3073</v>
      </c>
      <c r="B805">
        <v>1989</v>
      </c>
      <c r="C805" t="s">
        <v>4710</v>
      </c>
      <c r="D805">
        <v>19</v>
      </c>
      <c r="E805">
        <v>5</v>
      </c>
      <c r="F805" s="16">
        <v>6653.79</v>
      </c>
      <c r="G805" t="s">
        <v>4699</v>
      </c>
      <c r="H805" t="s">
        <v>4698</v>
      </c>
      <c r="I805" t="s">
        <v>4709</v>
      </c>
      <c r="J805" s="17">
        <f t="shared" si="24"/>
        <v>32831</v>
      </c>
      <c r="K805">
        <f t="shared" ca="1" si="25"/>
        <v>36</v>
      </c>
    </row>
    <row r="806" spans="1:11" ht="15.75" customHeight="1">
      <c r="A806" t="s">
        <v>3071</v>
      </c>
      <c r="B806">
        <v>1982</v>
      </c>
      <c r="C806" t="s">
        <v>4712</v>
      </c>
      <c r="D806">
        <v>27</v>
      </c>
      <c r="E806">
        <v>3</v>
      </c>
      <c r="F806" s="16">
        <v>6664.32</v>
      </c>
      <c r="G806" t="s">
        <v>4699</v>
      </c>
      <c r="H806" t="s">
        <v>4699</v>
      </c>
      <c r="I806" t="s">
        <v>4709</v>
      </c>
      <c r="J806" s="17">
        <f t="shared" si="24"/>
        <v>30221</v>
      </c>
      <c r="K806">
        <f t="shared" ca="1" si="25"/>
        <v>43</v>
      </c>
    </row>
    <row r="807" spans="1:11" ht="15.75" customHeight="1">
      <c r="A807" t="s">
        <v>3069</v>
      </c>
      <c r="B807">
        <v>1981</v>
      </c>
      <c r="C807" t="s">
        <v>4712</v>
      </c>
      <c r="D807">
        <v>17</v>
      </c>
      <c r="E807">
        <v>1</v>
      </c>
      <c r="F807" s="16">
        <v>6664.69</v>
      </c>
      <c r="G807" t="s">
        <v>4700</v>
      </c>
      <c r="H807" t="s">
        <v>4698</v>
      </c>
      <c r="I807" t="s">
        <v>4713</v>
      </c>
      <c r="J807" s="17">
        <f t="shared" si="24"/>
        <v>29846</v>
      </c>
      <c r="K807">
        <f t="shared" ca="1" si="25"/>
        <v>44</v>
      </c>
    </row>
    <row r="808" spans="1:11" ht="15.75" customHeight="1">
      <c r="A808" t="s">
        <v>3067</v>
      </c>
      <c r="B808">
        <v>1989</v>
      </c>
      <c r="C808" t="s">
        <v>4717</v>
      </c>
      <c r="D808">
        <v>20</v>
      </c>
      <c r="E808">
        <v>5</v>
      </c>
      <c r="F808" s="16">
        <v>6666.24</v>
      </c>
      <c r="G808" t="s">
        <v>4700</v>
      </c>
      <c r="H808" t="s">
        <v>4698</v>
      </c>
      <c r="I808" t="s">
        <v>4718</v>
      </c>
      <c r="J808" s="17">
        <f t="shared" si="24"/>
        <v>32801</v>
      </c>
      <c r="K808">
        <f t="shared" ca="1" si="25"/>
        <v>36</v>
      </c>
    </row>
    <row r="809" spans="1:11" ht="15.75" customHeight="1">
      <c r="A809" t="s">
        <v>3065</v>
      </c>
      <c r="B809">
        <v>1985</v>
      </c>
      <c r="C809" t="s">
        <v>4708</v>
      </c>
      <c r="D809">
        <v>9</v>
      </c>
      <c r="E809">
        <v>2</v>
      </c>
      <c r="F809" s="16">
        <v>6686.43</v>
      </c>
      <c r="G809" t="s">
        <v>4699</v>
      </c>
      <c r="H809" t="s">
        <v>4700</v>
      </c>
      <c r="I809" t="s">
        <v>4713</v>
      </c>
      <c r="J809" s="17">
        <f t="shared" si="24"/>
        <v>31237</v>
      </c>
      <c r="K809">
        <f t="shared" ca="1" si="25"/>
        <v>40</v>
      </c>
    </row>
    <row r="810" spans="1:11" ht="15.75" customHeight="1">
      <c r="A810" t="s">
        <v>3063</v>
      </c>
      <c r="B810">
        <v>1968</v>
      </c>
      <c r="C810" t="s">
        <v>4708</v>
      </c>
      <c r="D810">
        <v>13</v>
      </c>
      <c r="E810">
        <v>0</v>
      </c>
      <c r="F810" s="16">
        <v>6700.56</v>
      </c>
      <c r="G810" t="s">
        <v>4700</v>
      </c>
      <c r="H810" t="s">
        <v>4698</v>
      </c>
      <c r="I810" t="s">
        <v>4713</v>
      </c>
      <c r="J810" s="17">
        <f t="shared" si="24"/>
        <v>25032</v>
      </c>
      <c r="K810">
        <f t="shared" ca="1" si="25"/>
        <v>57</v>
      </c>
    </row>
    <row r="811" spans="1:11" ht="15.75" customHeight="1">
      <c r="A811" t="s">
        <v>3061</v>
      </c>
      <c r="B811">
        <v>1971</v>
      </c>
      <c r="C811" t="s">
        <v>4714</v>
      </c>
      <c r="D811">
        <v>12</v>
      </c>
      <c r="E811">
        <v>0</v>
      </c>
      <c r="F811" s="16">
        <v>6706.47</v>
      </c>
      <c r="G811" t="s">
        <v>4699</v>
      </c>
      <c r="H811" t="s">
        <v>4698</v>
      </c>
      <c r="I811" t="s">
        <v>4709</v>
      </c>
      <c r="J811" s="17">
        <f t="shared" si="24"/>
        <v>26279</v>
      </c>
      <c r="K811">
        <f t="shared" ca="1" si="25"/>
        <v>53</v>
      </c>
    </row>
    <row r="812" spans="1:11" ht="15.75" customHeight="1">
      <c r="A812" t="s">
        <v>3059</v>
      </c>
      <c r="B812">
        <v>1983</v>
      </c>
      <c r="C812" t="s">
        <v>4711</v>
      </c>
      <c r="D812">
        <v>12</v>
      </c>
      <c r="E812">
        <v>2</v>
      </c>
      <c r="F812" s="16">
        <v>6710.19</v>
      </c>
      <c r="G812" t="s">
        <v>4700</v>
      </c>
      <c r="H812" t="s">
        <v>4700</v>
      </c>
      <c r="I812" t="s">
        <v>4713</v>
      </c>
      <c r="J812" s="17">
        <f t="shared" si="24"/>
        <v>30479</v>
      </c>
      <c r="K812">
        <f t="shared" ca="1" si="25"/>
        <v>42</v>
      </c>
    </row>
    <row r="813" spans="1:11" ht="15.75" customHeight="1">
      <c r="A813" t="s">
        <v>3057</v>
      </c>
      <c r="B813">
        <v>1994</v>
      </c>
      <c r="C813" t="s">
        <v>4711</v>
      </c>
      <c r="D813">
        <v>13</v>
      </c>
      <c r="E813">
        <v>0</v>
      </c>
      <c r="F813" s="16">
        <v>6721.37</v>
      </c>
      <c r="G813" t="s">
        <v>4699</v>
      </c>
      <c r="H813" t="s">
        <v>4698</v>
      </c>
      <c r="I813" t="s">
        <v>4713</v>
      </c>
      <c r="J813" s="17">
        <f t="shared" si="24"/>
        <v>34498</v>
      </c>
      <c r="K813">
        <f t="shared" ca="1" si="25"/>
        <v>31</v>
      </c>
    </row>
    <row r="814" spans="1:11" ht="15.75" customHeight="1">
      <c r="A814" t="s">
        <v>3055</v>
      </c>
      <c r="B814">
        <v>1978</v>
      </c>
      <c r="C814" t="s">
        <v>4717</v>
      </c>
      <c r="D814">
        <v>21</v>
      </c>
      <c r="E814">
        <v>2</v>
      </c>
      <c r="F814" s="16">
        <v>6737.98</v>
      </c>
      <c r="G814" t="s">
        <v>4699</v>
      </c>
      <c r="H814" t="s">
        <v>4700</v>
      </c>
      <c r="I814" t="s">
        <v>4709</v>
      </c>
      <c r="J814" s="17">
        <f t="shared" si="24"/>
        <v>28784</v>
      </c>
      <c r="K814">
        <f t="shared" ca="1" si="25"/>
        <v>47</v>
      </c>
    </row>
    <row r="815" spans="1:11" ht="15.75" customHeight="1">
      <c r="A815" t="s">
        <v>3053</v>
      </c>
      <c r="B815">
        <v>1968</v>
      </c>
      <c r="C815" t="s">
        <v>4708</v>
      </c>
      <c r="D815">
        <v>18</v>
      </c>
      <c r="E815">
        <v>0</v>
      </c>
      <c r="F815" s="16">
        <v>6738.84</v>
      </c>
      <c r="G815" t="s">
        <v>4700</v>
      </c>
      <c r="H815" t="s">
        <v>4698</v>
      </c>
      <c r="I815" t="s">
        <v>4713</v>
      </c>
      <c r="J815" s="17">
        <f t="shared" si="24"/>
        <v>25037</v>
      </c>
      <c r="K815">
        <f t="shared" ca="1" si="25"/>
        <v>57</v>
      </c>
    </row>
    <row r="816" spans="1:11" ht="15.75" customHeight="1">
      <c r="A816" t="s">
        <v>3051</v>
      </c>
      <c r="B816">
        <v>1986</v>
      </c>
      <c r="C816" t="s">
        <v>4716</v>
      </c>
      <c r="D816">
        <v>7</v>
      </c>
      <c r="E816">
        <v>3</v>
      </c>
      <c r="F816" s="16">
        <v>6746.74</v>
      </c>
      <c r="G816" t="s">
        <v>4700</v>
      </c>
      <c r="H816" t="s">
        <v>4699</v>
      </c>
      <c r="I816" t="s">
        <v>4721</v>
      </c>
      <c r="J816" s="17">
        <f t="shared" si="24"/>
        <v>31631</v>
      </c>
      <c r="K816">
        <f t="shared" ca="1" si="25"/>
        <v>39</v>
      </c>
    </row>
    <row r="817" spans="1:11" ht="15.75" customHeight="1">
      <c r="A817" t="s">
        <v>3049</v>
      </c>
      <c r="B817">
        <v>1986</v>
      </c>
      <c r="C817" t="s">
        <v>4711</v>
      </c>
      <c r="D817">
        <v>5</v>
      </c>
      <c r="E817">
        <v>3</v>
      </c>
      <c r="F817" s="16">
        <v>6748.59</v>
      </c>
      <c r="G817" t="s">
        <v>4700</v>
      </c>
      <c r="H817" t="s">
        <v>4698</v>
      </c>
      <c r="I817" t="s">
        <v>4721</v>
      </c>
      <c r="J817" s="17">
        <f t="shared" si="24"/>
        <v>31568</v>
      </c>
      <c r="K817">
        <f t="shared" ca="1" si="25"/>
        <v>39</v>
      </c>
    </row>
    <row r="818" spans="1:11" ht="15.75" customHeight="1">
      <c r="A818" t="s">
        <v>3047</v>
      </c>
      <c r="B818">
        <v>1970</v>
      </c>
      <c r="C818" t="s">
        <v>4711</v>
      </c>
      <c r="D818">
        <v>17</v>
      </c>
      <c r="E818">
        <v>0</v>
      </c>
      <c r="F818" s="16">
        <v>6749.63</v>
      </c>
      <c r="G818" t="s">
        <v>4699</v>
      </c>
      <c r="H818" t="s">
        <v>4698</v>
      </c>
      <c r="I818" t="s">
        <v>4709</v>
      </c>
      <c r="J818" s="17">
        <f t="shared" si="24"/>
        <v>25736</v>
      </c>
      <c r="K818">
        <f t="shared" ca="1" si="25"/>
        <v>55</v>
      </c>
    </row>
    <row r="819" spans="1:11" ht="15.75" customHeight="1">
      <c r="A819" t="s">
        <v>3045</v>
      </c>
      <c r="B819">
        <v>1966</v>
      </c>
      <c r="C819" t="s">
        <v>4714</v>
      </c>
      <c r="D819">
        <v>9</v>
      </c>
      <c r="E819">
        <v>0</v>
      </c>
      <c r="F819" s="16">
        <v>6750.27</v>
      </c>
      <c r="G819" t="s">
        <v>4700</v>
      </c>
      <c r="H819" t="s">
        <v>4699</v>
      </c>
      <c r="I819" t="s">
        <v>4709</v>
      </c>
      <c r="J819" s="17">
        <f t="shared" si="24"/>
        <v>24450</v>
      </c>
      <c r="K819">
        <f t="shared" ca="1" si="25"/>
        <v>58</v>
      </c>
    </row>
    <row r="820" spans="1:11" ht="15.75" customHeight="1">
      <c r="A820" t="s">
        <v>3043</v>
      </c>
      <c r="B820">
        <v>1988</v>
      </c>
      <c r="C820" t="s">
        <v>4717</v>
      </c>
      <c r="D820">
        <v>10</v>
      </c>
      <c r="E820">
        <v>3</v>
      </c>
      <c r="F820" s="16">
        <v>6753.04</v>
      </c>
      <c r="G820" t="s">
        <v>4699</v>
      </c>
      <c r="H820" t="s">
        <v>4699</v>
      </c>
      <c r="I820" t="s">
        <v>4724</v>
      </c>
      <c r="J820" s="17">
        <f t="shared" si="24"/>
        <v>32426</v>
      </c>
      <c r="K820">
        <f t="shared" ca="1" si="25"/>
        <v>37</v>
      </c>
    </row>
    <row r="821" spans="1:11" ht="15.75" customHeight="1">
      <c r="A821" t="s">
        <v>3041</v>
      </c>
      <c r="B821">
        <v>1981</v>
      </c>
      <c r="C821" t="s">
        <v>4712</v>
      </c>
      <c r="D821">
        <v>21</v>
      </c>
      <c r="E821">
        <v>1</v>
      </c>
      <c r="F821" s="16">
        <v>6770.19</v>
      </c>
      <c r="G821" t="s">
        <v>4699</v>
      </c>
      <c r="H821" t="s">
        <v>4700</v>
      </c>
      <c r="I821" t="s">
        <v>4709</v>
      </c>
      <c r="J821" s="17">
        <f t="shared" si="24"/>
        <v>29850</v>
      </c>
      <c r="K821">
        <f t="shared" ca="1" si="25"/>
        <v>44</v>
      </c>
    </row>
    <row r="822" spans="1:11" ht="15.75" customHeight="1">
      <c r="A822" t="s">
        <v>3039</v>
      </c>
      <c r="B822">
        <v>1981</v>
      </c>
      <c r="C822" t="s">
        <v>4712</v>
      </c>
      <c r="D822">
        <v>3</v>
      </c>
      <c r="E822">
        <v>1</v>
      </c>
      <c r="F822" s="16">
        <v>6775.96</v>
      </c>
      <c r="G822" t="s">
        <v>4699</v>
      </c>
      <c r="H822" t="s">
        <v>4700</v>
      </c>
      <c r="I822" t="s">
        <v>4718</v>
      </c>
      <c r="J822" s="17">
        <f t="shared" si="24"/>
        <v>29832</v>
      </c>
      <c r="K822">
        <f t="shared" ca="1" si="25"/>
        <v>44</v>
      </c>
    </row>
    <row r="823" spans="1:11" ht="15.75" customHeight="1">
      <c r="A823" t="s">
        <v>3037</v>
      </c>
      <c r="B823">
        <v>1981</v>
      </c>
      <c r="C823" t="s">
        <v>4717</v>
      </c>
      <c r="D823">
        <v>8</v>
      </c>
      <c r="E823">
        <v>1</v>
      </c>
      <c r="F823" s="16">
        <v>6781.35</v>
      </c>
      <c r="G823" t="s">
        <v>4699</v>
      </c>
      <c r="H823" t="s">
        <v>4698</v>
      </c>
      <c r="I823" t="s">
        <v>4709</v>
      </c>
      <c r="J823" s="17">
        <f t="shared" si="24"/>
        <v>29867</v>
      </c>
      <c r="K823">
        <f t="shared" ca="1" si="25"/>
        <v>44</v>
      </c>
    </row>
    <row r="824" spans="1:11" ht="15.75" customHeight="1">
      <c r="A824" t="s">
        <v>3035</v>
      </c>
      <c r="B824">
        <v>1980</v>
      </c>
      <c r="C824" t="s">
        <v>4710</v>
      </c>
      <c r="D824">
        <v>23</v>
      </c>
      <c r="E824">
        <v>2</v>
      </c>
      <c r="F824" s="16">
        <v>6781.52</v>
      </c>
      <c r="G824" t="s">
        <v>4699</v>
      </c>
      <c r="H824" t="s">
        <v>4699</v>
      </c>
      <c r="I824" t="s">
        <v>4709</v>
      </c>
      <c r="J824" s="17">
        <f t="shared" si="24"/>
        <v>29548</v>
      </c>
      <c r="K824">
        <f t="shared" ca="1" si="25"/>
        <v>45</v>
      </c>
    </row>
    <row r="825" spans="1:11" ht="15.75" customHeight="1">
      <c r="A825" t="s">
        <v>3033</v>
      </c>
      <c r="B825">
        <v>1985</v>
      </c>
      <c r="C825" t="s">
        <v>4714</v>
      </c>
      <c r="D825">
        <v>24</v>
      </c>
      <c r="E825">
        <v>3</v>
      </c>
      <c r="F825" s="16">
        <v>6796.86</v>
      </c>
      <c r="G825" t="s">
        <v>4700</v>
      </c>
      <c r="H825" t="s">
        <v>4700</v>
      </c>
      <c r="I825" t="s">
        <v>4713</v>
      </c>
      <c r="J825" s="17">
        <f t="shared" si="24"/>
        <v>31405</v>
      </c>
      <c r="K825">
        <f t="shared" ca="1" si="25"/>
        <v>39</v>
      </c>
    </row>
    <row r="826" spans="1:11" ht="15.75" customHeight="1">
      <c r="A826" t="s">
        <v>3031</v>
      </c>
      <c r="B826">
        <v>1991</v>
      </c>
      <c r="C826" t="s">
        <v>4711</v>
      </c>
      <c r="D826">
        <v>29</v>
      </c>
      <c r="E826">
        <v>5</v>
      </c>
      <c r="F826" s="16">
        <v>6799.46</v>
      </c>
      <c r="G826" t="s">
        <v>4698</v>
      </c>
      <c r="H826" t="s">
        <v>4699</v>
      </c>
      <c r="I826" t="s">
        <v>4726</v>
      </c>
      <c r="J826" s="17">
        <f t="shared" si="24"/>
        <v>33418</v>
      </c>
      <c r="K826">
        <f t="shared" ca="1" si="25"/>
        <v>34</v>
      </c>
    </row>
    <row r="827" spans="1:11" ht="15.75" customHeight="1">
      <c r="A827" t="s">
        <v>3029</v>
      </c>
      <c r="B827">
        <v>1975</v>
      </c>
      <c r="C827" t="s">
        <v>4716</v>
      </c>
      <c r="D827">
        <v>17</v>
      </c>
      <c r="E827">
        <v>1</v>
      </c>
      <c r="F827" s="16">
        <v>6809.46</v>
      </c>
      <c r="G827" t="s">
        <v>4699</v>
      </c>
      <c r="H827" t="s">
        <v>4698</v>
      </c>
      <c r="I827" t="s">
        <v>4713</v>
      </c>
      <c r="J827" s="17">
        <f t="shared" si="24"/>
        <v>27623</v>
      </c>
      <c r="K827">
        <f t="shared" ca="1" si="25"/>
        <v>50</v>
      </c>
    </row>
    <row r="828" spans="1:11" ht="15.75" customHeight="1">
      <c r="A828" t="s">
        <v>3027</v>
      </c>
      <c r="B828">
        <v>1994</v>
      </c>
      <c r="C828" t="s">
        <v>4708</v>
      </c>
      <c r="D828">
        <v>8</v>
      </c>
      <c r="E828">
        <v>0</v>
      </c>
      <c r="F828" s="16">
        <v>6827.69</v>
      </c>
      <c r="G828" t="s">
        <v>4699</v>
      </c>
      <c r="H828" t="s">
        <v>4699</v>
      </c>
      <c r="I828" t="s">
        <v>4727</v>
      </c>
      <c r="J828" s="17">
        <f t="shared" si="24"/>
        <v>34523</v>
      </c>
      <c r="K828">
        <f t="shared" ca="1" si="25"/>
        <v>31</v>
      </c>
    </row>
    <row r="829" spans="1:11" ht="15.75" customHeight="1">
      <c r="A829" t="s">
        <v>3025</v>
      </c>
      <c r="B829">
        <v>1979</v>
      </c>
      <c r="C829" t="s">
        <v>4708</v>
      </c>
      <c r="D829">
        <v>15</v>
      </c>
      <c r="E829">
        <v>0</v>
      </c>
      <c r="F829" s="16">
        <v>6837.37</v>
      </c>
      <c r="G829" t="s">
        <v>4700</v>
      </c>
      <c r="H829" t="s">
        <v>4698</v>
      </c>
      <c r="I829" t="s">
        <v>4721</v>
      </c>
      <c r="J829" s="17">
        <f t="shared" si="24"/>
        <v>29051</v>
      </c>
      <c r="K829">
        <f t="shared" ca="1" si="25"/>
        <v>46</v>
      </c>
    </row>
    <row r="830" spans="1:11" ht="15.75" customHeight="1">
      <c r="A830" t="s">
        <v>3023</v>
      </c>
      <c r="B830">
        <v>2000</v>
      </c>
      <c r="C830" t="s">
        <v>4710</v>
      </c>
      <c r="D830">
        <v>30</v>
      </c>
      <c r="E830">
        <v>0</v>
      </c>
      <c r="F830" s="16">
        <v>6842.28</v>
      </c>
      <c r="G830" t="s">
        <v>4699</v>
      </c>
      <c r="H830" t="s">
        <v>4698</v>
      </c>
      <c r="I830" t="s">
        <v>4713</v>
      </c>
      <c r="J830" s="17">
        <f t="shared" si="24"/>
        <v>36860</v>
      </c>
      <c r="K830">
        <f t="shared" ca="1" si="25"/>
        <v>24</v>
      </c>
    </row>
    <row r="831" spans="1:11" ht="15.75" customHeight="1">
      <c r="A831" t="s">
        <v>3021</v>
      </c>
      <c r="B831">
        <v>1977</v>
      </c>
      <c r="C831" t="s">
        <v>4711</v>
      </c>
      <c r="D831">
        <v>15</v>
      </c>
      <c r="E831">
        <v>2</v>
      </c>
      <c r="F831" s="16">
        <v>6843.17</v>
      </c>
      <c r="G831" t="s">
        <v>4699</v>
      </c>
      <c r="H831" t="s">
        <v>4698</v>
      </c>
      <c r="I831" t="s">
        <v>4709</v>
      </c>
      <c r="J831" s="17">
        <f t="shared" si="24"/>
        <v>28291</v>
      </c>
      <c r="K831">
        <f t="shared" ca="1" si="25"/>
        <v>48</v>
      </c>
    </row>
    <row r="832" spans="1:11" ht="15.75" customHeight="1">
      <c r="A832" t="s">
        <v>3019</v>
      </c>
      <c r="B832">
        <v>1979</v>
      </c>
      <c r="C832" t="s">
        <v>4710</v>
      </c>
      <c r="D832">
        <v>4</v>
      </c>
      <c r="E832">
        <v>1</v>
      </c>
      <c r="F832" s="16">
        <v>6849.03</v>
      </c>
      <c r="G832" t="s">
        <v>4699</v>
      </c>
      <c r="H832" t="s">
        <v>4699</v>
      </c>
      <c r="I832" t="s">
        <v>4718</v>
      </c>
      <c r="J832" s="17">
        <f t="shared" si="24"/>
        <v>29163</v>
      </c>
      <c r="K832">
        <f t="shared" ca="1" si="25"/>
        <v>46</v>
      </c>
    </row>
    <row r="833" spans="1:11" ht="15.75" customHeight="1">
      <c r="A833" t="s">
        <v>3017</v>
      </c>
      <c r="B833">
        <v>1981</v>
      </c>
      <c r="C833" t="s">
        <v>4711</v>
      </c>
      <c r="D833">
        <v>19</v>
      </c>
      <c r="E833">
        <v>1</v>
      </c>
      <c r="F833" s="16">
        <v>6858.48</v>
      </c>
      <c r="G833" t="s">
        <v>4699</v>
      </c>
      <c r="H833" t="s">
        <v>4699</v>
      </c>
      <c r="I833" t="s">
        <v>4720</v>
      </c>
      <c r="J833" s="17">
        <f t="shared" si="24"/>
        <v>29756</v>
      </c>
      <c r="K833">
        <f t="shared" ca="1" si="25"/>
        <v>44</v>
      </c>
    </row>
    <row r="834" spans="1:11" ht="15.75" customHeight="1">
      <c r="A834" t="s">
        <v>3015</v>
      </c>
      <c r="B834">
        <v>1978</v>
      </c>
      <c r="C834" t="s">
        <v>4716</v>
      </c>
      <c r="D834">
        <v>5</v>
      </c>
      <c r="E834">
        <v>2</v>
      </c>
      <c r="F834" s="16">
        <v>6863.49</v>
      </c>
      <c r="G834" t="s">
        <v>4699</v>
      </c>
      <c r="H834" t="s">
        <v>4698</v>
      </c>
      <c r="I834" t="s">
        <v>4709</v>
      </c>
      <c r="J834" s="17">
        <f t="shared" si="24"/>
        <v>28707</v>
      </c>
      <c r="K834">
        <f t="shared" ca="1" si="25"/>
        <v>47</v>
      </c>
    </row>
    <row r="835" spans="1:11" ht="15.75" customHeight="1">
      <c r="A835" t="s">
        <v>3013</v>
      </c>
      <c r="B835">
        <v>1969</v>
      </c>
      <c r="C835" t="s">
        <v>4717</v>
      </c>
      <c r="D835">
        <v>23</v>
      </c>
      <c r="E835">
        <v>0</v>
      </c>
      <c r="F835" s="16">
        <v>6868.39</v>
      </c>
      <c r="G835" t="s">
        <v>4699</v>
      </c>
      <c r="H835" t="s">
        <v>4699</v>
      </c>
      <c r="I835" t="s">
        <v>4709</v>
      </c>
      <c r="J835" s="17">
        <f t="shared" ref="J835:J898" si="26">DATEVALUE(D835&amp;"-"&amp;C835&amp;" -"&amp;B835)</f>
        <v>25499</v>
      </c>
      <c r="K835">
        <f t="shared" ref="K835:K898" ca="1" si="27">DATEDIF(J835,TODAY(),"Y")</f>
        <v>56</v>
      </c>
    </row>
    <row r="836" spans="1:11" ht="15.75" customHeight="1">
      <c r="A836" t="s">
        <v>3011</v>
      </c>
      <c r="B836">
        <v>1981</v>
      </c>
      <c r="C836" t="s">
        <v>4711</v>
      </c>
      <c r="D836">
        <v>23</v>
      </c>
      <c r="E836">
        <v>2</v>
      </c>
      <c r="F836" s="16">
        <v>6875.96</v>
      </c>
      <c r="G836" t="s">
        <v>4699</v>
      </c>
      <c r="H836" t="s">
        <v>4699</v>
      </c>
      <c r="I836" t="s">
        <v>4718</v>
      </c>
      <c r="J836" s="17">
        <f t="shared" si="26"/>
        <v>29760</v>
      </c>
      <c r="K836">
        <f t="shared" ca="1" si="27"/>
        <v>44</v>
      </c>
    </row>
    <row r="837" spans="1:11" ht="15.75" customHeight="1">
      <c r="A837" t="s">
        <v>3009</v>
      </c>
      <c r="B837">
        <v>2004</v>
      </c>
      <c r="C837" t="s">
        <v>4714</v>
      </c>
      <c r="D837">
        <v>24</v>
      </c>
      <c r="E837">
        <v>0</v>
      </c>
      <c r="F837" s="16">
        <v>6876.53</v>
      </c>
      <c r="G837" t="s">
        <v>4699</v>
      </c>
      <c r="H837" t="s">
        <v>4698</v>
      </c>
      <c r="I837" t="s">
        <v>4713</v>
      </c>
      <c r="J837" s="17">
        <f t="shared" si="26"/>
        <v>38345</v>
      </c>
      <c r="K837">
        <f t="shared" ca="1" si="27"/>
        <v>20</v>
      </c>
    </row>
    <row r="838" spans="1:11" ht="15.75" customHeight="1">
      <c r="A838" t="s">
        <v>3007</v>
      </c>
      <c r="B838">
        <v>1985</v>
      </c>
      <c r="C838" t="s">
        <v>4712</v>
      </c>
      <c r="D838">
        <v>10</v>
      </c>
      <c r="E838">
        <v>2</v>
      </c>
      <c r="F838" s="16">
        <v>6877.98</v>
      </c>
      <c r="G838" t="s">
        <v>4699</v>
      </c>
      <c r="H838" t="s">
        <v>4698</v>
      </c>
      <c r="I838" t="s">
        <v>4724</v>
      </c>
      <c r="J838" s="17">
        <f t="shared" si="26"/>
        <v>31300</v>
      </c>
      <c r="K838">
        <f t="shared" ca="1" si="27"/>
        <v>40</v>
      </c>
    </row>
    <row r="839" spans="1:11" ht="15.75" customHeight="1">
      <c r="A839" t="s">
        <v>3005</v>
      </c>
      <c r="B839">
        <v>1989</v>
      </c>
      <c r="C839" t="s">
        <v>4714</v>
      </c>
      <c r="D839">
        <v>21</v>
      </c>
      <c r="E839">
        <v>3</v>
      </c>
      <c r="F839" s="16">
        <v>6895.19</v>
      </c>
      <c r="G839" t="s">
        <v>4699</v>
      </c>
      <c r="H839" t="s">
        <v>4700</v>
      </c>
      <c r="I839" t="s">
        <v>4724</v>
      </c>
      <c r="J839" s="17">
        <f t="shared" si="26"/>
        <v>32863</v>
      </c>
      <c r="K839">
        <f t="shared" ca="1" si="27"/>
        <v>35</v>
      </c>
    </row>
    <row r="840" spans="1:11" ht="15.75" customHeight="1">
      <c r="A840" t="s">
        <v>3003</v>
      </c>
      <c r="B840">
        <v>1984</v>
      </c>
      <c r="C840" t="s">
        <v>4712</v>
      </c>
      <c r="D840">
        <v>5</v>
      </c>
      <c r="E840">
        <v>2</v>
      </c>
      <c r="F840" s="16">
        <v>6933.24</v>
      </c>
      <c r="G840" t="s">
        <v>4699</v>
      </c>
      <c r="H840" t="s">
        <v>4700</v>
      </c>
      <c r="I840" t="s">
        <v>4713</v>
      </c>
      <c r="J840" s="17">
        <f t="shared" si="26"/>
        <v>30930</v>
      </c>
      <c r="K840">
        <f t="shared" ca="1" si="27"/>
        <v>41</v>
      </c>
    </row>
    <row r="841" spans="1:11" ht="15.75" customHeight="1">
      <c r="A841" t="s">
        <v>3001</v>
      </c>
      <c r="B841">
        <v>1978</v>
      </c>
      <c r="C841" t="s">
        <v>4710</v>
      </c>
      <c r="D841">
        <v>29</v>
      </c>
      <c r="E841">
        <v>2</v>
      </c>
      <c r="F841" s="16">
        <v>6938.11</v>
      </c>
      <c r="G841" t="s">
        <v>4699</v>
      </c>
      <c r="H841" t="s">
        <v>4699</v>
      </c>
      <c r="I841" t="s">
        <v>4709</v>
      </c>
      <c r="J841" s="17">
        <f t="shared" si="26"/>
        <v>28823</v>
      </c>
      <c r="K841">
        <f t="shared" ca="1" si="27"/>
        <v>46</v>
      </c>
    </row>
    <row r="842" spans="1:11" ht="15.75" customHeight="1">
      <c r="A842" t="s">
        <v>2999</v>
      </c>
      <c r="B842">
        <v>1980</v>
      </c>
      <c r="C842" t="s">
        <v>4716</v>
      </c>
      <c r="D842">
        <v>30</v>
      </c>
      <c r="E842">
        <v>1</v>
      </c>
      <c r="F842" s="16">
        <v>6940.91</v>
      </c>
      <c r="G842" t="s">
        <v>4699</v>
      </c>
      <c r="H842" t="s">
        <v>4699</v>
      </c>
      <c r="I842" t="s">
        <v>4713</v>
      </c>
      <c r="J842" s="17">
        <f t="shared" si="26"/>
        <v>29463</v>
      </c>
      <c r="K842">
        <f t="shared" ca="1" si="27"/>
        <v>45</v>
      </c>
    </row>
    <row r="843" spans="1:11" ht="15.75" customHeight="1">
      <c r="A843" t="s">
        <v>2997</v>
      </c>
      <c r="B843">
        <v>1980</v>
      </c>
      <c r="C843" t="s">
        <v>4717</v>
      </c>
      <c r="D843">
        <v>5</v>
      </c>
      <c r="E843">
        <v>2</v>
      </c>
      <c r="F843" s="16">
        <v>6940.94</v>
      </c>
      <c r="G843" t="s">
        <v>4699</v>
      </c>
      <c r="H843" t="s">
        <v>4700</v>
      </c>
      <c r="I843" t="s">
        <v>4709</v>
      </c>
      <c r="J843" s="17">
        <f t="shared" si="26"/>
        <v>29499</v>
      </c>
      <c r="K843">
        <f t="shared" ca="1" si="27"/>
        <v>45</v>
      </c>
    </row>
    <row r="844" spans="1:11" ht="15.75" customHeight="1">
      <c r="A844" t="s">
        <v>2995</v>
      </c>
      <c r="B844">
        <v>1978</v>
      </c>
      <c r="C844" t="s">
        <v>4714</v>
      </c>
      <c r="D844">
        <v>15</v>
      </c>
      <c r="E844">
        <v>0</v>
      </c>
      <c r="F844" s="16">
        <v>6948.7</v>
      </c>
      <c r="G844" t="s">
        <v>4698</v>
      </c>
      <c r="H844" t="s">
        <v>4699</v>
      </c>
      <c r="I844" t="s">
        <v>4713</v>
      </c>
      <c r="J844" s="17">
        <f t="shared" si="26"/>
        <v>28839</v>
      </c>
      <c r="K844">
        <f t="shared" ca="1" si="27"/>
        <v>46</v>
      </c>
    </row>
    <row r="845" spans="1:11" ht="15.75" customHeight="1">
      <c r="A845" t="s">
        <v>2993</v>
      </c>
      <c r="B845">
        <v>1980</v>
      </c>
      <c r="C845" t="s">
        <v>4716</v>
      </c>
      <c r="D845">
        <v>18</v>
      </c>
      <c r="E845">
        <v>2</v>
      </c>
      <c r="F845" s="16">
        <v>6951.12</v>
      </c>
      <c r="G845" t="s">
        <v>4699</v>
      </c>
      <c r="H845" t="s">
        <v>4699</v>
      </c>
      <c r="I845" t="s">
        <v>4709</v>
      </c>
      <c r="J845" s="17">
        <f t="shared" si="26"/>
        <v>29451</v>
      </c>
      <c r="K845">
        <f t="shared" ca="1" si="27"/>
        <v>45</v>
      </c>
    </row>
    <row r="846" spans="1:11" ht="15.75" customHeight="1">
      <c r="A846" t="s">
        <v>2991</v>
      </c>
      <c r="B846">
        <v>1975</v>
      </c>
      <c r="C846" t="s">
        <v>4711</v>
      </c>
      <c r="D846">
        <v>3</v>
      </c>
      <c r="E846">
        <v>1</v>
      </c>
      <c r="F846" s="16">
        <v>6965.21</v>
      </c>
      <c r="G846" t="s">
        <v>4699</v>
      </c>
      <c r="H846" t="s">
        <v>4700</v>
      </c>
      <c r="I846" t="s">
        <v>4709</v>
      </c>
      <c r="J846" s="17">
        <f t="shared" si="26"/>
        <v>27548</v>
      </c>
      <c r="K846">
        <f t="shared" ca="1" si="27"/>
        <v>50</v>
      </c>
    </row>
    <row r="847" spans="1:11" ht="15.75" customHeight="1">
      <c r="A847" t="s">
        <v>2989</v>
      </c>
      <c r="B847">
        <v>1985</v>
      </c>
      <c r="C847" t="s">
        <v>4714</v>
      </c>
      <c r="D847">
        <v>10</v>
      </c>
      <c r="E847">
        <v>3</v>
      </c>
      <c r="F847" s="16">
        <v>6985.51</v>
      </c>
      <c r="G847" t="s">
        <v>4699</v>
      </c>
      <c r="H847" t="s">
        <v>4699</v>
      </c>
      <c r="I847" t="s">
        <v>4720</v>
      </c>
      <c r="J847" s="17">
        <f t="shared" si="26"/>
        <v>31391</v>
      </c>
      <c r="K847">
        <f t="shared" ca="1" si="27"/>
        <v>39</v>
      </c>
    </row>
    <row r="848" spans="1:11" ht="15.75" customHeight="1">
      <c r="A848" t="s">
        <v>2987</v>
      </c>
      <c r="B848">
        <v>1982</v>
      </c>
      <c r="C848" t="s">
        <v>4717</v>
      </c>
      <c r="D848">
        <v>18</v>
      </c>
      <c r="E848">
        <v>2</v>
      </c>
      <c r="F848" s="16">
        <v>6986.7</v>
      </c>
      <c r="G848" t="s">
        <v>4700</v>
      </c>
      <c r="H848" t="s">
        <v>4698</v>
      </c>
      <c r="I848" t="s">
        <v>4713</v>
      </c>
      <c r="J848" s="17">
        <f t="shared" si="26"/>
        <v>30242</v>
      </c>
      <c r="K848">
        <f t="shared" ca="1" si="27"/>
        <v>43</v>
      </c>
    </row>
    <row r="849" spans="1:11" ht="15.75" customHeight="1">
      <c r="A849" t="s">
        <v>2985</v>
      </c>
      <c r="B849">
        <v>1982</v>
      </c>
      <c r="C849" t="s">
        <v>4712</v>
      </c>
      <c r="D849">
        <v>1</v>
      </c>
      <c r="E849">
        <v>3</v>
      </c>
      <c r="F849" s="16">
        <v>6989.95</v>
      </c>
      <c r="G849" t="s">
        <v>4699</v>
      </c>
      <c r="H849" t="s">
        <v>4698</v>
      </c>
      <c r="I849" t="s">
        <v>4709</v>
      </c>
      <c r="J849" s="17">
        <f t="shared" si="26"/>
        <v>30195</v>
      </c>
      <c r="K849">
        <f t="shared" ca="1" si="27"/>
        <v>43</v>
      </c>
    </row>
    <row r="850" spans="1:11" ht="15.75" customHeight="1">
      <c r="A850" t="s">
        <v>2983</v>
      </c>
      <c r="B850">
        <v>1969</v>
      </c>
      <c r="C850" t="s">
        <v>4708</v>
      </c>
      <c r="D850">
        <v>6</v>
      </c>
      <c r="E850">
        <v>0</v>
      </c>
      <c r="F850" s="16">
        <v>7003.1</v>
      </c>
      <c r="G850" t="s">
        <v>4699</v>
      </c>
      <c r="H850" t="s">
        <v>4700</v>
      </c>
      <c r="I850" t="s">
        <v>4709</v>
      </c>
      <c r="J850" s="17">
        <f t="shared" si="26"/>
        <v>25390</v>
      </c>
      <c r="K850">
        <f t="shared" ca="1" si="27"/>
        <v>56</v>
      </c>
    </row>
    <row r="851" spans="1:11" ht="15.75" customHeight="1">
      <c r="A851" t="s">
        <v>2981</v>
      </c>
      <c r="B851">
        <v>1978</v>
      </c>
      <c r="C851" t="s">
        <v>4711</v>
      </c>
      <c r="D851">
        <v>2</v>
      </c>
      <c r="E851">
        <v>2</v>
      </c>
      <c r="F851" s="16">
        <v>7033.08</v>
      </c>
      <c r="G851" t="s">
        <v>4699</v>
      </c>
      <c r="H851" t="s">
        <v>4699</v>
      </c>
      <c r="I851" t="s">
        <v>4709</v>
      </c>
      <c r="J851" s="17">
        <f t="shared" si="26"/>
        <v>28643</v>
      </c>
      <c r="K851">
        <f t="shared" ca="1" si="27"/>
        <v>47</v>
      </c>
    </row>
    <row r="852" spans="1:11" ht="15.75" customHeight="1">
      <c r="A852" t="s">
        <v>2979</v>
      </c>
      <c r="B852">
        <v>1995</v>
      </c>
      <c r="C852" t="s">
        <v>4717</v>
      </c>
      <c r="D852">
        <v>29</v>
      </c>
      <c r="E852">
        <v>0</v>
      </c>
      <c r="F852" s="16">
        <v>7042.11</v>
      </c>
      <c r="G852" t="s">
        <v>4699</v>
      </c>
      <c r="H852" t="s">
        <v>4700</v>
      </c>
      <c r="I852" t="s">
        <v>4713</v>
      </c>
      <c r="J852" s="17">
        <f t="shared" si="26"/>
        <v>35001</v>
      </c>
      <c r="K852">
        <f t="shared" ca="1" si="27"/>
        <v>30</v>
      </c>
    </row>
    <row r="853" spans="1:11" ht="15.75" customHeight="1">
      <c r="A853" t="s">
        <v>2977</v>
      </c>
      <c r="B853">
        <v>1980</v>
      </c>
      <c r="C853" t="s">
        <v>4708</v>
      </c>
      <c r="D853">
        <v>26</v>
      </c>
      <c r="E853">
        <v>1</v>
      </c>
      <c r="F853" s="16">
        <v>7045.5</v>
      </c>
      <c r="G853" t="s">
        <v>4699</v>
      </c>
      <c r="H853" t="s">
        <v>4698</v>
      </c>
      <c r="I853" t="s">
        <v>4718</v>
      </c>
      <c r="J853" s="17">
        <f t="shared" si="26"/>
        <v>29428</v>
      </c>
      <c r="K853">
        <f t="shared" ca="1" si="27"/>
        <v>45</v>
      </c>
    </row>
    <row r="854" spans="1:11" ht="15.75" customHeight="1">
      <c r="A854" t="s">
        <v>2975</v>
      </c>
      <c r="B854">
        <v>1980</v>
      </c>
      <c r="C854" t="s">
        <v>4717</v>
      </c>
      <c r="D854">
        <v>22</v>
      </c>
      <c r="E854">
        <v>1</v>
      </c>
      <c r="F854" s="16">
        <v>7046.72</v>
      </c>
      <c r="G854" t="s">
        <v>4699</v>
      </c>
      <c r="H854" t="s">
        <v>4700</v>
      </c>
      <c r="I854" t="s">
        <v>4709</v>
      </c>
      <c r="J854" s="17">
        <f t="shared" si="26"/>
        <v>29516</v>
      </c>
      <c r="K854">
        <f t="shared" ca="1" si="27"/>
        <v>45</v>
      </c>
    </row>
    <row r="855" spans="1:11" ht="15.75" customHeight="1">
      <c r="A855" t="s">
        <v>2973</v>
      </c>
      <c r="B855">
        <v>1980</v>
      </c>
      <c r="C855" t="s">
        <v>4708</v>
      </c>
      <c r="D855">
        <v>21</v>
      </c>
      <c r="E855">
        <v>0</v>
      </c>
      <c r="F855" s="16">
        <v>7050.02</v>
      </c>
      <c r="G855" t="s">
        <v>4699</v>
      </c>
      <c r="H855" t="s">
        <v>4698</v>
      </c>
      <c r="I855" t="s">
        <v>4724</v>
      </c>
      <c r="J855" s="17">
        <f t="shared" si="26"/>
        <v>29423</v>
      </c>
      <c r="K855">
        <f t="shared" ca="1" si="27"/>
        <v>45</v>
      </c>
    </row>
    <row r="856" spans="1:11" ht="15.75" customHeight="1">
      <c r="A856" t="s">
        <v>2971</v>
      </c>
      <c r="B856">
        <v>1980</v>
      </c>
      <c r="C856" t="s">
        <v>4711</v>
      </c>
      <c r="D856">
        <v>28</v>
      </c>
      <c r="E856">
        <v>1</v>
      </c>
      <c r="F856" s="16">
        <v>7050.64</v>
      </c>
      <c r="G856" t="s">
        <v>4699</v>
      </c>
      <c r="H856" t="s">
        <v>4700</v>
      </c>
      <c r="I856" t="s">
        <v>4718</v>
      </c>
      <c r="J856" s="17">
        <f t="shared" si="26"/>
        <v>29400</v>
      </c>
      <c r="K856">
        <f t="shared" ca="1" si="27"/>
        <v>45</v>
      </c>
    </row>
    <row r="857" spans="1:11" ht="15.75" customHeight="1">
      <c r="A857" t="s">
        <v>2969</v>
      </c>
      <c r="B857">
        <v>1978</v>
      </c>
      <c r="C857" t="s">
        <v>4711</v>
      </c>
      <c r="D857">
        <v>24</v>
      </c>
      <c r="E857">
        <v>2</v>
      </c>
      <c r="F857" s="16">
        <v>7054.41</v>
      </c>
      <c r="G857" t="s">
        <v>4699</v>
      </c>
      <c r="H857" t="s">
        <v>4699</v>
      </c>
      <c r="I857" t="s">
        <v>4709</v>
      </c>
      <c r="J857" s="17">
        <f t="shared" si="26"/>
        <v>28665</v>
      </c>
      <c r="K857">
        <f t="shared" ca="1" si="27"/>
        <v>47</v>
      </c>
    </row>
    <row r="858" spans="1:11" ht="15.75" customHeight="1">
      <c r="A858" t="s">
        <v>2967</v>
      </c>
      <c r="B858">
        <v>1982</v>
      </c>
      <c r="C858" t="s">
        <v>4717</v>
      </c>
      <c r="D858">
        <v>6</v>
      </c>
      <c r="E858">
        <v>1</v>
      </c>
      <c r="F858" s="16">
        <v>7077.19</v>
      </c>
      <c r="G858" t="s">
        <v>4699</v>
      </c>
      <c r="H858" t="s">
        <v>4700</v>
      </c>
      <c r="I858" t="s">
        <v>4724</v>
      </c>
      <c r="J858" s="17">
        <f t="shared" si="26"/>
        <v>30230</v>
      </c>
      <c r="K858">
        <f t="shared" ca="1" si="27"/>
        <v>43</v>
      </c>
    </row>
    <row r="859" spans="1:11" ht="15.75" customHeight="1">
      <c r="A859" t="s">
        <v>2965</v>
      </c>
      <c r="B859">
        <v>1992</v>
      </c>
      <c r="C859" t="s">
        <v>4711</v>
      </c>
      <c r="D859">
        <v>18</v>
      </c>
      <c r="E859">
        <v>0</v>
      </c>
      <c r="F859" s="16">
        <v>7096.98</v>
      </c>
      <c r="G859" t="s">
        <v>4699</v>
      </c>
      <c r="H859" t="s">
        <v>4699</v>
      </c>
      <c r="I859" t="s">
        <v>4713</v>
      </c>
      <c r="J859" s="17">
        <f t="shared" si="26"/>
        <v>33773</v>
      </c>
      <c r="K859">
        <f t="shared" ca="1" si="27"/>
        <v>33</v>
      </c>
    </row>
    <row r="860" spans="1:11" ht="15.75" customHeight="1">
      <c r="A860" t="s">
        <v>2963</v>
      </c>
      <c r="B860">
        <v>1987</v>
      </c>
      <c r="C860" t="s">
        <v>4716</v>
      </c>
      <c r="D860">
        <v>11</v>
      </c>
      <c r="E860">
        <v>3</v>
      </c>
      <c r="F860" s="16">
        <v>7106.81</v>
      </c>
      <c r="G860" t="s">
        <v>4699</v>
      </c>
      <c r="H860" t="s">
        <v>4698</v>
      </c>
      <c r="I860" t="s">
        <v>4713</v>
      </c>
      <c r="J860" s="17">
        <f t="shared" si="26"/>
        <v>32000</v>
      </c>
      <c r="K860">
        <f t="shared" ca="1" si="27"/>
        <v>38</v>
      </c>
    </row>
    <row r="861" spans="1:11" ht="15.75" customHeight="1">
      <c r="A861" t="s">
        <v>2961</v>
      </c>
      <c r="B861">
        <v>1968</v>
      </c>
      <c r="C861" t="s">
        <v>4711</v>
      </c>
      <c r="D861">
        <v>29</v>
      </c>
      <c r="E861">
        <v>0</v>
      </c>
      <c r="F861" s="16">
        <v>7125.25</v>
      </c>
      <c r="G861" t="s">
        <v>4700</v>
      </c>
      <c r="H861" t="s">
        <v>4699</v>
      </c>
      <c r="I861" t="s">
        <v>4709</v>
      </c>
      <c r="J861" s="17">
        <f t="shared" si="26"/>
        <v>25018</v>
      </c>
      <c r="K861">
        <f t="shared" ca="1" si="27"/>
        <v>57</v>
      </c>
    </row>
    <row r="862" spans="1:11" ht="15.75" customHeight="1">
      <c r="A862" t="s">
        <v>2959</v>
      </c>
      <c r="B862">
        <v>1993</v>
      </c>
      <c r="C862" t="s">
        <v>4716</v>
      </c>
      <c r="D862">
        <v>1</v>
      </c>
      <c r="E862">
        <v>0</v>
      </c>
      <c r="F862" s="16">
        <v>7128.64</v>
      </c>
      <c r="G862" t="s">
        <v>4699</v>
      </c>
      <c r="H862" t="s">
        <v>4699</v>
      </c>
      <c r="I862" t="s">
        <v>4727</v>
      </c>
      <c r="J862" s="17">
        <f t="shared" si="26"/>
        <v>34182</v>
      </c>
      <c r="K862">
        <f t="shared" ca="1" si="27"/>
        <v>32</v>
      </c>
    </row>
    <row r="863" spans="1:11" ht="15.75" customHeight="1">
      <c r="A863" t="s">
        <v>2957</v>
      </c>
      <c r="B863">
        <v>1984</v>
      </c>
      <c r="C863" t="s">
        <v>4708</v>
      </c>
      <c r="D863">
        <v>7</v>
      </c>
      <c r="E863">
        <v>2</v>
      </c>
      <c r="F863" s="16">
        <v>7133.9</v>
      </c>
      <c r="G863" t="s">
        <v>4699</v>
      </c>
      <c r="H863" t="s">
        <v>4698</v>
      </c>
      <c r="I863" t="s">
        <v>4724</v>
      </c>
      <c r="J863" s="17">
        <f t="shared" si="26"/>
        <v>30870</v>
      </c>
      <c r="K863">
        <f t="shared" ca="1" si="27"/>
        <v>41</v>
      </c>
    </row>
    <row r="864" spans="1:11" ht="15.75" customHeight="1">
      <c r="A864" t="s">
        <v>2955</v>
      </c>
      <c r="B864">
        <v>1999</v>
      </c>
      <c r="C864" t="s">
        <v>4716</v>
      </c>
      <c r="D864">
        <v>8</v>
      </c>
      <c r="E864">
        <v>0</v>
      </c>
      <c r="F864" s="16">
        <v>7144.4</v>
      </c>
      <c r="G864" t="s">
        <v>4699</v>
      </c>
      <c r="H864" t="s">
        <v>4698</v>
      </c>
      <c r="I864" t="s">
        <v>4731</v>
      </c>
      <c r="J864" s="17">
        <f t="shared" si="26"/>
        <v>36380</v>
      </c>
      <c r="K864">
        <f t="shared" ca="1" si="27"/>
        <v>26</v>
      </c>
    </row>
    <row r="865" spans="1:11" ht="15.75" customHeight="1">
      <c r="A865" t="s">
        <v>2953</v>
      </c>
      <c r="B865">
        <v>1984</v>
      </c>
      <c r="C865" t="s">
        <v>4710</v>
      </c>
      <c r="D865">
        <v>21</v>
      </c>
      <c r="E865">
        <v>2</v>
      </c>
      <c r="F865" s="16">
        <v>7144.86</v>
      </c>
      <c r="G865" t="s">
        <v>4699</v>
      </c>
      <c r="H865" t="s">
        <v>4699</v>
      </c>
      <c r="I865" t="s">
        <v>4724</v>
      </c>
      <c r="J865" s="17">
        <f t="shared" si="26"/>
        <v>31007</v>
      </c>
      <c r="K865">
        <f t="shared" ca="1" si="27"/>
        <v>41</v>
      </c>
    </row>
    <row r="866" spans="1:11" ht="15.75" customHeight="1">
      <c r="A866" t="s">
        <v>2951</v>
      </c>
      <c r="B866">
        <v>1976</v>
      </c>
      <c r="C866" t="s">
        <v>4711</v>
      </c>
      <c r="D866">
        <v>24</v>
      </c>
      <c r="E866">
        <v>0</v>
      </c>
      <c r="F866" s="16">
        <v>7147.11</v>
      </c>
      <c r="G866" t="s">
        <v>4700</v>
      </c>
      <c r="H866" t="s">
        <v>4699</v>
      </c>
      <c r="I866" t="s">
        <v>4718</v>
      </c>
      <c r="J866" s="17">
        <f t="shared" si="26"/>
        <v>27935</v>
      </c>
      <c r="K866">
        <f t="shared" ca="1" si="27"/>
        <v>49</v>
      </c>
    </row>
    <row r="867" spans="1:11" ht="15.75" customHeight="1">
      <c r="A867" t="s">
        <v>2949</v>
      </c>
      <c r="B867">
        <v>1978</v>
      </c>
      <c r="C867" t="s">
        <v>4708</v>
      </c>
      <c r="D867">
        <v>30</v>
      </c>
      <c r="E867">
        <v>1</v>
      </c>
      <c r="F867" s="16">
        <v>7147.47</v>
      </c>
      <c r="G867" t="s">
        <v>4699</v>
      </c>
      <c r="H867" t="s">
        <v>4700</v>
      </c>
      <c r="I867" t="s">
        <v>4709</v>
      </c>
      <c r="J867" s="17">
        <f t="shared" si="26"/>
        <v>28701</v>
      </c>
      <c r="K867">
        <f t="shared" ca="1" si="27"/>
        <v>47</v>
      </c>
    </row>
    <row r="868" spans="1:11" ht="15.75" customHeight="1">
      <c r="A868" t="s">
        <v>2947</v>
      </c>
      <c r="B868">
        <v>1984</v>
      </c>
      <c r="C868" t="s">
        <v>4711</v>
      </c>
      <c r="D868">
        <v>29</v>
      </c>
      <c r="E868">
        <v>3</v>
      </c>
      <c r="F868" s="16">
        <v>7151.09</v>
      </c>
      <c r="G868" t="s">
        <v>4699</v>
      </c>
      <c r="H868" t="s">
        <v>4699</v>
      </c>
      <c r="I868" t="s">
        <v>4718</v>
      </c>
      <c r="J868" s="17">
        <f t="shared" si="26"/>
        <v>30862</v>
      </c>
      <c r="K868">
        <f t="shared" ca="1" si="27"/>
        <v>41</v>
      </c>
    </row>
    <row r="869" spans="1:11" ht="15.75" customHeight="1">
      <c r="A869" t="s">
        <v>2945</v>
      </c>
      <c r="B869">
        <v>1978</v>
      </c>
      <c r="C869" t="s">
        <v>4712</v>
      </c>
      <c r="D869">
        <v>6</v>
      </c>
      <c r="E869">
        <v>1</v>
      </c>
      <c r="F869" s="16">
        <v>7152.67</v>
      </c>
      <c r="G869" t="s">
        <v>4700</v>
      </c>
      <c r="H869" t="s">
        <v>4699</v>
      </c>
      <c r="I869" t="s">
        <v>4709</v>
      </c>
      <c r="J869" s="17">
        <f t="shared" si="26"/>
        <v>28739</v>
      </c>
      <c r="K869">
        <f t="shared" ca="1" si="27"/>
        <v>47</v>
      </c>
    </row>
    <row r="870" spans="1:11" ht="15.75" customHeight="1">
      <c r="A870" t="s">
        <v>2943</v>
      </c>
      <c r="B870">
        <v>1981</v>
      </c>
      <c r="C870" t="s">
        <v>4708</v>
      </c>
      <c r="D870">
        <v>17</v>
      </c>
      <c r="E870">
        <v>1</v>
      </c>
      <c r="F870" s="16">
        <v>7153.55</v>
      </c>
      <c r="G870" t="s">
        <v>4699</v>
      </c>
      <c r="H870" t="s">
        <v>4698</v>
      </c>
      <c r="I870" t="s">
        <v>4713</v>
      </c>
      <c r="J870" s="17">
        <f t="shared" si="26"/>
        <v>29784</v>
      </c>
      <c r="K870">
        <f t="shared" ca="1" si="27"/>
        <v>44</v>
      </c>
    </row>
    <row r="871" spans="1:11" ht="15.75" customHeight="1">
      <c r="A871" t="s">
        <v>2941</v>
      </c>
      <c r="B871">
        <v>1980</v>
      </c>
      <c r="C871" t="s">
        <v>4711</v>
      </c>
      <c r="D871">
        <v>22</v>
      </c>
      <c r="E871">
        <v>2</v>
      </c>
      <c r="F871" s="16">
        <v>7160.09</v>
      </c>
      <c r="G871" t="s">
        <v>4699</v>
      </c>
      <c r="H871" t="s">
        <v>4699</v>
      </c>
      <c r="I871" t="s">
        <v>4718</v>
      </c>
      <c r="J871" s="17">
        <f t="shared" si="26"/>
        <v>29394</v>
      </c>
      <c r="K871">
        <f t="shared" ca="1" si="27"/>
        <v>45</v>
      </c>
    </row>
    <row r="872" spans="1:11" ht="15.75" customHeight="1">
      <c r="A872" t="s">
        <v>2939</v>
      </c>
      <c r="B872">
        <v>1980</v>
      </c>
      <c r="C872" t="s">
        <v>4717</v>
      </c>
      <c r="D872">
        <v>7</v>
      </c>
      <c r="E872">
        <v>2</v>
      </c>
      <c r="F872" s="16">
        <v>7160.33</v>
      </c>
      <c r="G872" t="s">
        <v>4699</v>
      </c>
      <c r="H872" t="s">
        <v>4698</v>
      </c>
      <c r="I872" t="s">
        <v>4709</v>
      </c>
      <c r="J872" s="17">
        <f t="shared" si="26"/>
        <v>29501</v>
      </c>
      <c r="K872">
        <f t="shared" ca="1" si="27"/>
        <v>45</v>
      </c>
    </row>
    <row r="873" spans="1:11" ht="15.75" customHeight="1">
      <c r="A873" t="s">
        <v>2937</v>
      </c>
      <c r="B873">
        <v>1980</v>
      </c>
      <c r="C873" t="s">
        <v>4712</v>
      </c>
      <c r="D873">
        <v>30</v>
      </c>
      <c r="E873">
        <v>2</v>
      </c>
      <c r="F873" s="16">
        <v>7162.01</v>
      </c>
      <c r="G873" t="s">
        <v>4699</v>
      </c>
      <c r="H873" t="s">
        <v>4700</v>
      </c>
      <c r="I873" t="s">
        <v>4709</v>
      </c>
      <c r="J873" s="17">
        <f t="shared" si="26"/>
        <v>29494</v>
      </c>
      <c r="K873">
        <f t="shared" ca="1" si="27"/>
        <v>45</v>
      </c>
    </row>
    <row r="874" spans="1:11" ht="15.75" customHeight="1">
      <c r="A874" t="s">
        <v>2935</v>
      </c>
      <c r="B874">
        <v>1982</v>
      </c>
      <c r="C874" t="s">
        <v>4716</v>
      </c>
      <c r="D874">
        <v>16</v>
      </c>
      <c r="E874">
        <v>2</v>
      </c>
      <c r="F874" s="16">
        <v>7173.36</v>
      </c>
      <c r="G874" t="s">
        <v>4700</v>
      </c>
      <c r="H874" t="s">
        <v>4699</v>
      </c>
      <c r="I874" t="s">
        <v>4721</v>
      </c>
      <c r="J874" s="17">
        <f t="shared" si="26"/>
        <v>30179</v>
      </c>
      <c r="K874">
        <f t="shared" ca="1" si="27"/>
        <v>43</v>
      </c>
    </row>
    <row r="875" spans="1:11" ht="15.75" customHeight="1">
      <c r="A875" t="s">
        <v>2933</v>
      </c>
      <c r="B875">
        <v>1975</v>
      </c>
      <c r="C875" t="s">
        <v>4708</v>
      </c>
      <c r="D875">
        <v>19</v>
      </c>
      <c r="E875">
        <v>1</v>
      </c>
      <c r="F875" s="16">
        <v>7175.51</v>
      </c>
      <c r="G875" t="s">
        <v>4699</v>
      </c>
      <c r="H875" t="s">
        <v>4700</v>
      </c>
      <c r="I875" t="s">
        <v>4709</v>
      </c>
      <c r="J875" s="17">
        <f t="shared" si="26"/>
        <v>27594</v>
      </c>
      <c r="K875">
        <f t="shared" ca="1" si="27"/>
        <v>50</v>
      </c>
    </row>
    <row r="876" spans="1:11" ht="15.75" customHeight="1">
      <c r="A876" t="s">
        <v>2931</v>
      </c>
      <c r="B876">
        <v>1968</v>
      </c>
      <c r="C876" t="s">
        <v>4716</v>
      </c>
      <c r="D876">
        <v>26</v>
      </c>
      <c r="E876">
        <v>0</v>
      </c>
      <c r="F876" s="16">
        <v>7179.52</v>
      </c>
      <c r="G876" t="s">
        <v>4700</v>
      </c>
      <c r="H876" t="s">
        <v>4700</v>
      </c>
      <c r="I876" t="s">
        <v>4709</v>
      </c>
      <c r="J876" s="17">
        <f t="shared" si="26"/>
        <v>25076</v>
      </c>
      <c r="K876">
        <f t="shared" ca="1" si="27"/>
        <v>57</v>
      </c>
    </row>
    <row r="877" spans="1:11" ht="15.75" customHeight="1">
      <c r="A877" t="s">
        <v>2929</v>
      </c>
      <c r="B877">
        <v>1982</v>
      </c>
      <c r="C877" t="s">
        <v>4712</v>
      </c>
      <c r="D877">
        <v>14</v>
      </c>
      <c r="E877">
        <v>3</v>
      </c>
      <c r="F877" s="16">
        <v>7196.87</v>
      </c>
      <c r="G877" t="s">
        <v>4700</v>
      </c>
      <c r="H877" t="s">
        <v>4699</v>
      </c>
      <c r="I877" t="s">
        <v>4718</v>
      </c>
      <c r="J877" s="17">
        <f t="shared" si="26"/>
        <v>30208</v>
      </c>
      <c r="K877">
        <f t="shared" ca="1" si="27"/>
        <v>43</v>
      </c>
    </row>
    <row r="878" spans="1:11" ht="15.75" customHeight="1">
      <c r="A878" t="s">
        <v>2927</v>
      </c>
      <c r="B878">
        <v>1983</v>
      </c>
      <c r="C878" t="s">
        <v>4716</v>
      </c>
      <c r="D878">
        <v>11</v>
      </c>
      <c r="E878">
        <v>2</v>
      </c>
      <c r="F878" s="16">
        <v>7201.7</v>
      </c>
      <c r="G878" t="s">
        <v>4699</v>
      </c>
      <c r="H878" t="s">
        <v>4700</v>
      </c>
      <c r="I878" t="s">
        <v>4713</v>
      </c>
      <c r="J878" s="17">
        <f t="shared" si="26"/>
        <v>30539</v>
      </c>
      <c r="K878">
        <f t="shared" ca="1" si="27"/>
        <v>42</v>
      </c>
    </row>
    <row r="879" spans="1:11" ht="15.75" customHeight="1">
      <c r="A879" t="s">
        <v>2925</v>
      </c>
      <c r="B879">
        <v>1983</v>
      </c>
      <c r="C879" t="s">
        <v>4710</v>
      </c>
      <c r="D879">
        <v>21</v>
      </c>
      <c r="E879">
        <v>2</v>
      </c>
      <c r="F879" s="16">
        <v>7209.49</v>
      </c>
      <c r="G879" t="s">
        <v>4699</v>
      </c>
      <c r="H879" t="s">
        <v>4700</v>
      </c>
      <c r="I879" t="s">
        <v>4713</v>
      </c>
      <c r="J879" s="17">
        <f t="shared" si="26"/>
        <v>30641</v>
      </c>
      <c r="K879">
        <f t="shared" ca="1" si="27"/>
        <v>42</v>
      </c>
    </row>
    <row r="880" spans="1:11" ht="15.75" customHeight="1">
      <c r="A880" t="s">
        <v>2923</v>
      </c>
      <c r="B880">
        <v>1991</v>
      </c>
      <c r="C880" t="s">
        <v>4711</v>
      </c>
      <c r="D880">
        <v>28</v>
      </c>
      <c r="E880">
        <v>3</v>
      </c>
      <c r="F880" s="16">
        <v>7220.25</v>
      </c>
      <c r="G880" t="s">
        <v>4699</v>
      </c>
      <c r="H880" t="s">
        <v>4699</v>
      </c>
      <c r="I880" t="s">
        <v>4727</v>
      </c>
      <c r="J880" s="17">
        <f t="shared" si="26"/>
        <v>33417</v>
      </c>
      <c r="K880">
        <f t="shared" ca="1" si="27"/>
        <v>34</v>
      </c>
    </row>
    <row r="881" spans="1:11" ht="15.75" customHeight="1">
      <c r="A881" t="s">
        <v>2921</v>
      </c>
      <c r="B881">
        <v>1977</v>
      </c>
      <c r="C881" t="s">
        <v>4712</v>
      </c>
      <c r="D881">
        <v>15</v>
      </c>
      <c r="E881">
        <v>0</v>
      </c>
      <c r="F881" s="16">
        <v>7222.79</v>
      </c>
      <c r="G881" t="s">
        <v>4700</v>
      </c>
      <c r="H881" t="s">
        <v>4700</v>
      </c>
      <c r="I881" t="s">
        <v>4713</v>
      </c>
      <c r="J881" s="17">
        <f t="shared" si="26"/>
        <v>28383</v>
      </c>
      <c r="K881">
        <f t="shared" ca="1" si="27"/>
        <v>48</v>
      </c>
    </row>
    <row r="882" spans="1:11" ht="15.75" customHeight="1">
      <c r="A882" t="s">
        <v>2919</v>
      </c>
      <c r="B882">
        <v>1986</v>
      </c>
      <c r="C882" t="s">
        <v>4708</v>
      </c>
      <c r="D882">
        <v>13</v>
      </c>
      <c r="E882">
        <v>3</v>
      </c>
      <c r="F882" s="16">
        <v>7228.22</v>
      </c>
      <c r="G882" t="s">
        <v>4699</v>
      </c>
      <c r="H882" t="s">
        <v>4698</v>
      </c>
      <c r="I882" t="s">
        <v>4724</v>
      </c>
      <c r="J882" s="17">
        <f t="shared" si="26"/>
        <v>31606</v>
      </c>
      <c r="K882">
        <f t="shared" ca="1" si="27"/>
        <v>39</v>
      </c>
    </row>
    <row r="883" spans="1:11" ht="15.75" customHeight="1">
      <c r="A883" t="s">
        <v>2917</v>
      </c>
      <c r="B883">
        <v>1986</v>
      </c>
      <c r="C883" t="s">
        <v>4712</v>
      </c>
      <c r="D883">
        <v>2</v>
      </c>
      <c r="E883">
        <v>4</v>
      </c>
      <c r="F883" s="16">
        <v>7243.81</v>
      </c>
      <c r="G883" t="s">
        <v>4699</v>
      </c>
      <c r="H883" t="s">
        <v>4700</v>
      </c>
      <c r="I883" t="s">
        <v>4709</v>
      </c>
      <c r="J883" s="17">
        <f t="shared" si="26"/>
        <v>31657</v>
      </c>
      <c r="K883">
        <f t="shared" ca="1" si="27"/>
        <v>39</v>
      </c>
    </row>
    <row r="884" spans="1:11" ht="15.75" customHeight="1">
      <c r="A884" t="s">
        <v>2915</v>
      </c>
      <c r="B884">
        <v>1982</v>
      </c>
      <c r="C884" t="s">
        <v>4708</v>
      </c>
      <c r="D884">
        <v>24</v>
      </c>
      <c r="E884">
        <v>3</v>
      </c>
      <c r="F884" s="16">
        <v>7248.71</v>
      </c>
      <c r="G884" t="s">
        <v>4699</v>
      </c>
      <c r="H884" t="s">
        <v>4698</v>
      </c>
      <c r="I884" t="s">
        <v>4709</v>
      </c>
      <c r="J884" s="17">
        <f t="shared" si="26"/>
        <v>30156</v>
      </c>
      <c r="K884">
        <f t="shared" ca="1" si="27"/>
        <v>43</v>
      </c>
    </row>
    <row r="885" spans="1:11" ht="15.75" customHeight="1">
      <c r="A885" t="s">
        <v>2913</v>
      </c>
      <c r="B885">
        <v>1981</v>
      </c>
      <c r="C885" t="s">
        <v>4716</v>
      </c>
      <c r="D885">
        <v>14</v>
      </c>
      <c r="E885">
        <v>2</v>
      </c>
      <c r="F885" s="16">
        <v>7256.72</v>
      </c>
      <c r="G885" t="s">
        <v>4700</v>
      </c>
      <c r="H885" t="s">
        <v>4699</v>
      </c>
      <c r="I885" t="s">
        <v>4713</v>
      </c>
      <c r="J885" s="17">
        <f t="shared" si="26"/>
        <v>29812</v>
      </c>
      <c r="K885">
        <f t="shared" ca="1" si="27"/>
        <v>44</v>
      </c>
    </row>
    <row r="886" spans="1:11" ht="15.75" customHeight="1">
      <c r="A886" t="s">
        <v>2911</v>
      </c>
      <c r="B886">
        <v>1981</v>
      </c>
      <c r="C886" t="s">
        <v>4711</v>
      </c>
      <c r="D886">
        <v>13</v>
      </c>
      <c r="E886">
        <v>2</v>
      </c>
      <c r="F886" s="16">
        <v>7261.74</v>
      </c>
      <c r="G886" t="s">
        <v>4700</v>
      </c>
      <c r="H886" t="s">
        <v>4700</v>
      </c>
      <c r="I886" t="s">
        <v>4713</v>
      </c>
      <c r="J886" s="17">
        <f t="shared" si="26"/>
        <v>29750</v>
      </c>
      <c r="K886">
        <f t="shared" ca="1" si="27"/>
        <v>44</v>
      </c>
    </row>
    <row r="887" spans="1:11" ht="15.75" customHeight="1">
      <c r="A887" t="s">
        <v>2909</v>
      </c>
      <c r="B887">
        <v>1973</v>
      </c>
      <c r="C887" t="s">
        <v>4717</v>
      </c>
      <c r="D887">
        <v>25</v>
      </c>
      <c r="E887">
        <v>0</v>
      </c>
      <c r="F887" s="16">
        <v>7265.58</v>
      </c>
      <c r="G887" t="s">
        <v>4699</v>
      </c>
      <c r="H887" t="s">
        <v>4699</v>
      </c>
      <c r="I887" t="s">
        <v>4709</v>
      </c>
      <c r="J887" s="17">
        <f t="shared" si="26"/>
        <v>26962</v>
      </c>
      <c r="K887">
        <f t="shared" ca="1" si="27"/>
        <v>52</v>
      </c>
    </row>
    <row r="888" spans="1:11" ht="15.75" customHeight="1">
      <c r="A888" t="s">
        <v>2907</v>
      </c>
      <c r="B888">
        <v>1981</v>
      </c>
      <c r="C888" t="s">
        <v>4716</v>
      </c>
      <c r="D888">
        <v>4</v>
      </c>
      <c r="E888">
        <v>2</v>
      </c>
      <c r="F888" s="16">
        <v>7265.7</v>
      </c>
      <c r="G888" t="s">
        <v>4700</v>
      </c>
      <c r="H888" t="s">
        <v>4700</v>
      </c>
      <c r="I888" t="s">
        <v>4713</v>
      </c>
      <c r="J888" s="17">
        <f t="shared" si="26"/>
        <v>29802</v>
      </c>
      <c r="K888">
        <f t="shared" ca="1" si="27"/>
        <v>44</v>
      </c>
    </row>
    <row r="889" spans="1:11" ht="15.75" customHeight="1">
      <c r="A889" t="s">
        <v>2905</v>
      </c>
      <c r="B889">
        <v>1976</v>
      </c>
      <c r="C889" t="s">
        <v>4714</v>
      </c>
      <c r="D889">
        <v>18</v>
      </c>
      <c r="E889">
        <v>2</v>
      </c>
      <c r="F889" s="16">
        <v>7273.02</v>
      </c>
      <c r="G889" t="s">
        <v>4699</v>
      </c>
      <c r="H889" t="s">
        <v>4698</v>
      </c>
      <c r="I889" t="s">
        <v>4709</v>
      </c>
      <c r="J889" s="17">
        <f t="shared" si="26"/>
        <v>28112</v>
      </c>
      <c r="K889">
        <f t="shared" ca="1" si="27"/>
        <v>48</v>
      </c>
    </row>
    <row r="890" spans="1:11" ht="15.75" customHeight="1">
      <c r="A890" t="s">
        <v>2903</v>
      </c>
      <c r="B890">
        <v>1985</v>
      </c>
      <c r="C890" t="s">
        <v>4710</v>
      </c>
      <c r="D890">
        <v>2</v>
      </c>
      <c r="E890">
        <v>3</v>
      </c>
      <c r="F890" s="16">
        <v>7281.51</v>
      </c>
      <c r="G890" t="s">
        <v>4699</v>
      </c>
      <c r="H890" t="s">
        <v>4698</v>
      </c>
      <c r="I890" t="s">
        <v>4713</v>
      </c>
      <c r="J890" s="17">
        <f t="shared" si="26"/>
        <v>31353</v>
      </c>
      <c r="K890">
        <f t="shared" ca="1" si="27"/>
        <v>40</v>
      </c>
    </row>
    <row r="891" spans="1:11" ht="15.75" customHeight="1">
      <c r="A891" t="s">
        <v>2901</v>
      </c>
      <c r="B891">
        <v>1966</v>
      </c>
      <c r="C891" t="s">
        <v>4714</v>
      </c>
      <c r="D891">
        <v>26</v>
      </c>
      <c r="E891">
        <v>0</v>
      </c>
      <c r="F891" s="16">
        <v>7302.46</v>
      </c>
      <c r="G891" t="s">
        <v>4700</v>
      </c>
      <c r="H891" t="s">
        <v>4698</v>
      </c>
      <c r="I891" t="s">
        <v>4713</v>
      </c>
      <c r="J891" s="17">
        <f t="shared" si="26"/>
        <v>24467</v>
      </c>
      <c r="K891">
        <f t="shared" ca="1" si="27"/>
        <v>58</v>
      </c>
    </row>
    <row r="892" spans="1:11" ht="15.75" customHeight="1">
      <c r="A892" t="s">
        <v>2899</v>
      </c>
      <c r="B892">
        <v>1965</v>
      </c>
      <c r="C892" t="s">
        <v>4711</v>
      </c>
      <c r="D892">
        <v>6</v>
      </c>
      <c r="E892">
        <v>0</v>
      </c>
      <c r="F892" s="16">
        <v>7304.65</v>
      </c>
      <c r="G892" t="s">
        <v>4700</v>
      </c>
      <c r="H892" t="s">
        <v>4700</v>
      </c>
      <c r="I892" t="s">
        <v>4709</v>
      </c>
      <c r="J892" s="17">
        <f t="shared" si="26"/>
        <v>23899</v>
      </c>
      <c r="K892">
        <f t="shared" ca="1" si="27"/>
        <v>60</v>
      </c>
    </row>
    <row r="893" spans="1:11" ht="15.75" customHeight="1">
      <c r="A893" t="s">
        <v>2897</v>
      </c>
      <c r="B893">
        <v>1965</v>
      </c>
      <c r="C893" t="s">
        <v>4711</v>
      </c>
      <c r="D893">
        <v>25</v>
      </c>
      <c r="E893">
        <v>0</v>
      </c>
      <c r="F893" s="16">
        <v>7318.21</v>
      </c>
      <c r="G893" t="s">
        <v>4700</v>
      </c>
      <c r="H893" t="s">
        <v>4698</v>
      </c>
      <c r="I893" t="s">
        <v>4709</v>
      </c>
      <c r="J893" s="17">
        <f t="shared" si="26"/>
        <v>23918</v>
      </c>
      <c r="K893">
        <f t="shared" ca="1" si="27"/>
        <v>60</v>
      </c>
    </row>
    <row r="894" spans="1:11" ht="15.75" customHeight="1">
      <c r="A894" t="s">
        <v>2895</v>
      </c>
      <c r="B894">
        <v>1972</v>
      </c>
      <c r="C894" t="s">
        <v>4716</v>
      </c>
      <c r="D894">
        <v>11</v>
      </c>
      <c r="E894">
        <v>0</v>
      </c>
      <c r="F894" s="16">
        <v>7318.22</v>
      </c>
      <c r="G894" t="s">
        <v>4699</v>
      </c>
      <c r="H894" t="s">
        <v>4700</v>
      </c>
      <c r="I894" t="s">
        <v>4713</v>
      </c>
      <c r="J894" s="17">
        <f t="shared" si="26"/>
        <v>26522</v>
      </c>
      <c r="K894">
        <f t="shared" ca="1" si="27"/>
        <v>53</v>
      </c>
    </row>
    <row r="895" spans="1:11" ht="15.75" customHeight="1">
      <c r="A895" t="s">
        <v>2893</v>
      </c>
      <c r="B895">
        <v>1965</v>
      </c>
      <c r="C895" t="s">
        <v>4708</v>
      </c>
      <c r="D895">
        <v>11</v>
      </c>
      <c r="E895">
        <v>0</v>
      </c>
      <c r="F895" s="16">
        <v>7322.86</v>
      </c>
      <c r="G895" t="s">
        <v>4700</v>
      </c>
      <c r="H895" t="s">
        <v>4700</v>
      </c>
      <c r="I895" t="s">
        <v>4713</v>
      </c>
      <c r="J895" s="17">
        <f t="shared" si="26"/>
        <v>23934</v>
      </c>
      <c r="K895">
        <f t="shared" ca="1" si="27"/>
        <v>60</v>
      </c>
    </row>
    <row r="896" spans="1:11" ht="15.75" customHeight="1">
      <c r="A896" t="s">
        <v>2891</v>
      </c>
      <c r="B896">
        <v>2004</v>
      </c>
      <c r="C896" t="s">
        <v>4710</v>
      </c>
      <c r="D896">
        <v>15</v>
      </c>
      <c r="E896">
        <v>0</v>
      </c>
      <c r="F896" s="16">
        <v>7323.73</v>
      </c>
      <c r="G896" t="s">
        <v>4699</v>
      </c>
      <c r="H896" t="s">
        <v>4699</v>
      </c>
      <c r="I896" t="s">
        <v>4724</v>
      </c>
      <c r="J896" s="17">
        <f t="shared" si="26"/>
        <v>38306</v>
      </c>
      <c r="K896">
        <f t="shared" ca="1" si="27"/>
        <v>21</v>
      </c>
    </row>
    <row r="897" spans="1:11" ht="15.75" customHeight="1">
      <c r="A897" t="s">
        <v>2889</v>
      </c>
      <c r="B897">
        <v>1979</v>
      </c>
      <c r="C897" t="s">
        <v>4711</v>
      </c>
      <c r="D897">
        <v>19</v>
      </c>
      <c r="E897">
        <v>0</v>
      </c>
      <c r="F897" s="16">
        <v>7325.05</v>
      </c>
      <c r="G897" t="s">
        <v>4699</v>
      </c>
      <c r="H897" t="s">
        <v>4700</v>
      </c>
      <c r="I897" t="s">
        <v>4724</v>
      </c>
      <c r="J897" s="17">
        <f t="shared" si="26"/>
        <v>29025</v>
      </c>
      <c r="K897">
        <f t="shared" ca="1" si="27"/>
        <v>46</v>
      </c>
    </row>
    <row r="898" spans="1:11" ht="15.75" customHeight="1">
      <c r="A898" t="s">
        <v>2887</v>
      </c>
      <c r="B898">
        <v>1984</v>
      </c>
      <c r="C898" t="s">
        <v>4708</v>
      </c>
      <c r="D898">
        <v>25</v>
      </c>
      <c r="E898">
        <v>3</v>
      </c>
      <c r="F898" s="16">
        <v>7325.47</v>
      </c>
      <c r="G898" t="s">
        <v>4699</v>
      </c>
      <c r="H898" t="s">
        <v>4698</v>
      </c>
      <c r="I898" t="s">
        <v>4713</v>
      </c>
      <c r="J898" s="17">
        <f t="shared" si="26"/>
        <v>30888</v>
      </c>
      <c r="K898">
        <f t="shared" ca="1" si="27"/>
        <v>41</v>
      </c>
    </row>
    <row r="899" spans="1:11" ht="15.75" customHeight="1">
      <c r="A899" t="s">
        <v>2885</v>
      </c>
      <c r="B899">
        <v>1979</v>
      </c>
      <c r="C899" t="s">
        <v>4712</v>
      </c>
      <c r="D899">
        <v>19</v>
      </c>
      <c r="E899">
        <v>1</v>
      </c>
      <c r="F899" s="16">
        <v>7337.75</v>
      </c>
      <c r="G899" t="s">
        <v>4699</v>
      </c>
      <c r="H899" t="s">
        <v>4700</v>
      </c>
      <c r="I899" t="s">
        <v>4718</v>
      </c>
      <c r="J899" s="17">
        <f t="shared" ref="J899:J962" si="28">DATEVALUE(D899&amp;"-"&amp;C899&amp;" -"&amp;B899)</f>
        <v>29117</v>
      </c>
      <c r="K899">
        <f t="shared" ref="K899:K962" ca="1" si="29">DATEDIF(J899,TODAY(),"Y")</f>
        <v>46</v>
      </c>
    </row>
    <row r="900" spans="1:11" ht="15.75" customHeight="1">
      <c r="A900" t="s">
        <v>2883</v>
      </c>
      <c r="B900">
        <v>1986</v>
      </c>
      <c r="C900" t="s">
        <v>4711</v>
      </c>
      <c r="D900">
        <v>15</v>
      </c>
      <c r="E900">
        <v>3</v>
      </c>
      <c r="F900" s="16">
        <v>7339.93</v>
      </c>
      <c r="G900" t="s">
        <v>4699</v>
      </c>
      <c r="H900" t="s">
        <v>4699</v>
      </c>
      <c r="I900" t="s">
        <v>4713</v>
      </c>
      <c r="J900" s="17">
        <f t="shared" si="28"/>
        <v>31578</v>
      </c>
      <c r="K900">
        <f t="shared" ca="1" si="29"/>
        <v>39</v>
      </c>
    </row>
    <row r="901" spans="1:11" ht="15.75" customHeight="1">
      <c r="A901" t="s">
        <v>2881</v>
      </c>
      <c r="B901">
        <v>1977</v>
      </c>
      <c r="C901" t="s">
        <v>4714</v>
      </c>
      <c r="D901">
        <v>18</v>
      </c>
      <c r="E901">
        <v>0</v>
      </c>
      <c r="F901" s="16">
        <v>7345.08</v>
      </c>
      <c r="G901" t="s">
        <v>4699</v>
      </c>
      <c r="H901" t="s">
        <v>4698</v>
      </c>
      <c r="I901" t="s">
        <v>4718</v>
      </c>
      <c r="J901" s="17">
        <f t="shared" si="28"/>
        <v>28477</v>
      </c>
      <c r="K901">
        <f t="shared" ca="1" si="29"/>
        <v>47</v>
      </c>
    </row>
    <row r="902" spans="1:11" ht="15.75" customHeight="1">
      <c r="A902" t="s">
        <v>2879</v>
      </c>
      <c r="B902">
        <v>1979</v>
      </c>
      <c r="C902" t="s">
        <v>4711</v>
      </c>
      <c r="D902">
        <v>26</v>
      </c>
      <c r="E902">
        <v>1</v>
      </c>
      <c r="F902" s="16">
        <v>7345.73</v>
      </c>
      <c r="G902" t="s">
        <v>4699</v>
      </c>
      <c r="H902" t="s">
        <v>4698</v>
      </c>
      <c r="I902" t="s">
        <v>4709</v>
      </c>
      <c r="J902" s="17">
        <f t="shared" si="28"/>
        <v>29032</v>
      </c>
      <c r="K902">
        <f t="shared" ca="1" si="29"/>
        <v>46</v>
      </c>
    </row>
    <row r="903" spans="1:11" ht="15.75" customHeight="1">
      <c r="A903" t="s">
        <v>2877</v>
      </c>
      <c r="B903">
        <v>1977</v>
      </c>
      <c r="C903" t="s">
        <v>4714</v>
      </c>
      <c r="D903">
        <v>1</v>
      </c>
      <c r="E903">
        <v>0</v>
      </c>
      <c r="F903" s="16">
        <v>7348.14</v>
      </c>
      <c r="G903" t="s">
        <v>4699</v>
      </c>
      <c r="H903" t="s">
        <v>4698</v>
      </c>
      <c r="I903" t="s">
        <v>4718</v>
      </c>
      <c r="J903" s="17">
        <f t="shared" si="28"/>
        <v>28460</v>
      </c>
      <c r="K903">
        <f t="shared" ca="1" si="29"/>
        <v>47</v>
      </c>
    </row>
    <row r="904" spans="1:11" ht="15.75" customHeight="1">
      <c r="A904" t="s">
        <v>2875</v>
      </c>
      <c r="B904">
        <v>1993</v>
      </c>
      <c r="C904" t="s">
        <v>4717</v>
      </c>
      <c r="D904">
        <v>5</v>
      </c>
      <c r="E904">
        <v>0</v>
      </c>
      <c r="F904" s="16">
        <v>7349.12</v>
      </c>
      <c r="G904" t="s">
        <v>4699</v>
      </c>
      <c r="H904" t="s">
        <v>4699</v>
      </c>
      <c r="I904" t="s">
        <v>4727</v>
      </c>
      <c r="J904" s="17">
        <f t="shared" si="28"/>
        <v>34247</v>
      </c>
      <c r="K904">
        <f t="shared" ca="1" si="29"/>
        <v>32</v>
      </c>
    </row>
    <row r="905" spans="1:11" ht="15.75" customHeight="1">
      <c r="A905" t="s">
        <v>2873</v>
      </c>
      <c r="B905">
        <v>1983</v>
      </c>
      <c r="C905" t="s">
        <v>4711</v>
      </c>
      <c r="D905">
        <v>21</v>
      </c>
      <c r="E905">
        <v>3</v>
      </c>
      <c r="F905" s="16">
        <v>7357.49</v>
      </c>
      <c r="G905" t="s">
        <v>4699</v>
      </c>
      <c r="H905" t="s">
        <v>4699</v>
      </c>
      <c r="I905" t="s">
        <v>4713</v>
      </c>
      <c r="J905" s="17">
        <f t="shared" si="28"/>
        <v>30488</v>
      </c>
      <c r="K905">
        <f t="shared" ca="1" si="29"/>
        <v>42</v>
      </c>
    </row>
    <row r="906" spans="1:11" ht="15.75" customHeight="1">
      <c r="A906" t="s">
        <v>2871</v>
      </c>
      <c r="B906">
        <v>1981</v>
      </c>
      <c r="C906" t="s">
        <v>4708</v>
      </c>
      <c r="D906">
        <v>16</v>
      </c>
      <c r="E906">
        <v>1</v>
      </c>
      <c r="F906" s="16">
        <v>7358.18</v>
      </c>
      <c r="G906" t="s">
        <v>4699</v>
      </c>
      <c r="H906" t="s">
        <v>4700</v>
      </c>
      <c r="I906" t="s">
        <v>4724</v>
      </c>
      <c r="J906" s="17">
        <f t="shared" si="28"/>
        <v>29783</v>
      </c>
      <c r="K906">
        <f t="shared" ca="1" si="29"/>
        <v>44</v>
      </c>
    </row>
    <row r="907" spans="1:11" ht="15.75" customHeight="1">
      <c r="A907" t="s">
        <v>2869</v>
      </c>
      <c r="B907">
        <v>1965</v>
      </c>
      <c r="C907" t="s">
        <v>4714</v>
      </c>
      <c r="D907">
        <v>9</v>
      </c>
      <c r="E907">
        <v>0</v>
      </c>
      <c r="F907" s="16">
        <v>7362.31</v>
      </c>
      <c r="G907" t="s">
        <v>4700</v>
      </c>
      <c r="H907" t="s">
        <v>4700</v>
      </c>
      <c r="I907" t="s">
        <v>4709</v>
      </c>
      <c r="J907" s="17">
        <f t="shared" si="28"/>
        <v>24085</v>
      </c>
      <c r="K907">
        <f t="shared" ca="1" si="29"/>
        <v>59</v>
      </c>
    </row>
    <row r="908" spans="1:11" ht="15.75" customHeight="1">
      <c r="A908" t="s">
        <v>2867</v>
      </c>
      <c r="B908">
        <v>1981</v>
      </c>
      <c r="C908" t="s">
        <v>4710</v>
      </c>
      <c r="D908">
        <v>24</v>
      </c>
      <c r="E908">
        <v>2</v>
      </c>
      <c r="F908" s="16">
        <v>7371.77</v>
      </c>
      <c r="G908" t="s">
        <v>4699</v>
      </c>
      <c r="H908" t="s">
        <v>4698</v>
      </c>
      <c r="I908" t="s">
        <v>4718</v>
      </c>
      <c r="J908" s="17">
        <f t="shared" si="28"/>
        <v>29914</v>
      </c>
      <c r="K908">
        <f t="shared" ca="1" si="29"/>
        <v>44</v>
      </c>
    </row>
    <row r="909" spans="1:11" ht="15.75" customHeight="1">
      <c r="A909" t="s">
        <v>2865</v>
      </c>
      <c r="B909">
        <v>1993</v>
      </c>
      <c r="C909" t="s">
        <v>4708</v>
      </c>
      <c r="D909">
        <v>22</v>
      </c>
      <c r="E909">
        <v>0</v>
      </c>
      <c r="F909" s="16">
        <v>7388.85</v>
      </c>
      <c r="G909" t="s">
        <v>4699</v>
      </c>
      <c r="H909" t="s">
        <v>4699</v>
      </c>
      <c r="I909" t="s">
        <v>4730</v>
      </c>
      <c r="J909" s="17">
        <f t="shared" si="28"/>
        <v>34172</v>
      </c>
      <c r="K909">
        <f t="shared" ca="1" si="29"/>
        <v>32</v>
      </c>
    </row>
    <row r="910" spans="1:11" ht="15.75" customHeight="1">
      <c r="A910" t="s">
        <v>2863</v>
      </c>
      <c r="B910">
        <v>1965</v>
      </c>
      <c r="C910" t="s">
        <v>4714</v>
      </c>
      <c r="D910">
        <v>5</v>
      </c>
      <c r="E910">
        <v>0</v>
      </c>
      <c r="F910" s="16">
        <v>7403.98</v>
      </c>
      <c r="G910" t="s">
        <v>4700</v>
      </c>
      <c r="H910" t="s">
        <v>4699</v>
      </c>
      <c r="I910" t="s">
        <v>4709</v>
      </c>
      <c r="J910" s="17">
        <f t="shared" si="28"/>
        <v>24081</v>
      </c>
      <c r="K910">
        <f t="shared" ca="1" si="29"/>
        <v>59</v>
      </c>
    </row>
    <row r="911" spans="1:11" ht="15.75" customHeight="1">
      <c r="A911" t="s">
        <v>2861</v>
      </c>
      <c r="B911">
        <v>1983</v>
      </c>
      <c r="C911" t="s">
        <v>4712</v>
      </c>
      <c r="D911">
        <v>19</v>
      </c>
      <c r="E911">
        <v>3</v>
      </c>
      <c r="F911" s="16">
        <v>7418.52</v>
      </c>
      <c r="G911" t="s">
        <v>4699</v>
      </c>
      <c r="H911" t="s">
        <v>4699</v>
      </c>
      <c r="I911" t="s">
        <v>4718</v>
      </c>
      <c r="J911" s="17">
        <f t="shared" si="28"/>
        <v>30578</v>
      </c>
      <c r="K911">
        <f t="shared" ca="1" si="29"/>
        <v>42</v>
      </c>
    </row>
    <row r="912" spans="1:11" ht="15.75" customHeight="1">
      <c r="A912" t="s">
        <v>2859</v>
      </c>
      <c r="B912">
        <v>1978</v>
      </c>
      <c r="C912" t="s">
        <v>4710</v>
      </c>
      <c r="D912">
        <v>12</v>
      </c>
      <c r="E912">
        <v>0</v>
      </c>
      <c r="F912" s="16">
        <v>7419.48</v>
      </c>
      <c r="G912" t="s">
        <v>4699</v>
      </c>
      <c r="H912" t="s">
        <v>4699</v>
      </c>
      <c r="I912" t="s">
        <v>4713</v>
      </c>
      <c r="J912" s="17">
        <f t="shared" si="28"/>
        <v>28806</v>
      </c>
      <c r="K912">
        <f t="shared" ca="1" si="29"/>
        <v>47</v>
      </c>
    </row>
    <row r="913" spans="1:11" ht="15.75" customHeight="1">
      <c r="A913" t="s">
        <v>2857</v>
      </c>
      <c r="B913">
        <v>1978</v>
      </c>
      <c r="C913" t="s">
        <v>4714</v>
      </c>
      <c r="D913">
        <v>2</v>
      </c>
      <c r="E913">
        <v>0</v>
      </c>
      <c r="F913" s="16">
        <v>7421.19</v>
      </c>
      <c r="G913" t="s">
        <v>4699</v>
      </c>
      <c r="H913" t="s">
        <v>4700</v>
      </c>
      <c r="I913" t="s">
        <v>4713</v>
      </c>
      <c r="J913" s="17">
        <f t="shared" si="28"/>
        <v>28826</v>
      </c>
      <c r="K913">
        <f t="shared" ca="1" si="29"/>
        <v>46</v>
      </c>
    </row>
    <row r="914" spans="1:11" ht="15.75" customHeight="1">
      <c r="A914" t="s">
        <v>2855</v>
      </c>
      <c r="B914">
        <v>1977</v>
      </c>
      <c r="C914" t="s">
        <v>4716</v>
      </c>
      <c r="D914">
        <v>25</v>
      </c>
      <c r="E914">
        <v>1</v>
      </c>
      <c r="F914" s="16">
        <v>7441.05</v>
      </c>
      <c r="G914" t="s">
        <v>4700</v>
      </c>
      <c r="H914" t="s">
        <v>4699</v>
      </c>
      <c r="I914" t="s">
        <v>4718</v>
      </c>
      <c r="J914" s="17">
        <f t="shared" si="28"/>
        <v>28362</v>
      </c>
      <c r="K914">
        <f t="shared" ca="1" si="29"/>
        <v>48</v>
      </c>
    </row>
    <row r="915" spans="1:11" ht="15.75" customHeight="1">
      <c r="A915" t="s">
        <v>2853</v>
      </c>
      <c r="B915">
        <v>1979</v>
      </c>
      <c r="C915" t="s">
        <v>4712</v>
      </c>
      <c r="D915">
        <v>1</v>
      </c>
      <c r="E915">
        <v>2</v>
      </c>
      <c r="F915" s="16">
        <v>7441.5</v>
      </c>
      <c r="G915" t="s">
        <v>4700</v>
      </c>
      <c r="H915" t="s">
        <v>4699</v>
      </c>
      <c r="I915" t="s">
        <v>4718</v>
      </c>
      <c r="J915" s="17">
        <f t="shared" si="28"/>
        <v>29099</v>
      </c>
      <c r="K915">
        <f t="shared" ca="1" si="29"/>
        <v>46</v>
      </c>
    </row>
    <row r="916" spans="1:11" ht="15.75" customHeight="1">
      <c r="A916" t="s">
        <v>2851</v>
      </c>
      <c r="B916">
        <v>1980</v>
      </c>
      <c r="C916" t="s">
        <v>4708</v>
      </c>
      <c r="D916">
        <v>7</v>
      </c>
      <c r="E916">
        <v>1</v>
      </c>
      <c r="F916" s="16">
        <v>7443.64</v>
      </c>
      <c r="G916" t="s">
        <v>4699</v>
      </c>
      <c r="H916" t="s">
        <v>4700</v>
      </c>
      <c r="I916" t="s">
        <v>4713</v>
      </c>
      <c r="J916" s="17">
        <f t="shared" si="28"/>
        <v>29409</v>
      </c>
      <c r="K916">
        <f t="shared" ca="1" si="29"/>
        <v>45</v>
      </c>
    </row>
    <row r="917" spans="1:11" ht="15.75" customHeight="1">
      <c r="A917" t="s">
        <v>2849</v>
      </c>
      <c r="B917">
        <v>1977</v>
      </c>
      <c r="C917" t="s">
        <v>4712</v>
      </c>
      <c r="D917">
        <v>25</v>
      </c>
      <c r="E917">
        <v>1</v>
      </c>
      <c r="F917" s="16">
        <v>7445.92</v>
      </c>
      <c r="G917" t="s">
        <v>4700</v>
      </c>
      <c r="H917" t="s">
        <v>4698</v>
      </c>
      <c r="I917" t="s">
        <v>4718</v>
      </c>
      <c r="J917" s="17">
        <f t="shared" si="28"/>
        <v>28393</v>
      </c>
      <c r="K917">
        <f t="shared" ca="1" si="29"/>
        <v>48</v>
      </c>
    </row>
    <row r="918" spans="1:11" ht="15.75" customHeight="1">
      <c r="A918" t="s">
        <v>2847</v>
      </c>
      <c r="B918">
        <v>1977</v>
      </c>
      <c r="C918" t="s">
        <v>4712</v>
      </c>
      <c r="D918">
        <v>30</v>
      </c>
      <c r="E918">
        <v>0</v>
      </c>
      <c r="F918" s="16">
        <v>7448.4</v>
      </c>
      <c r="G918" t="s">
        <v>4700</v>
      </c>
      <c r="H918" t="s">
        <v>4700</v>
      </c>
      <c r="I918" t="s">
        <v>4728</v>
      </c>
      <c r="J918" s="17">
        <f t="shared" si="28"/>
        <v>28398</v>
      </c>
      <c r="K918">
        <f t="shared" ca="1" si="29"/>
        <v>48</v>
      </c>
    </row>
    <row r="919" spans="1:11" ht="15.75" customHeight="1">
      <c r="A919" t="s">
        <v>2845</v>
      </c>
      <c r="B919">
        <v>2001</v>
      </c>
      <c r="C919" t="s">
        <v>4711</v>
      </c>
      <c r="D919">
        <v>1</v>
      </c>
      <c r="E919">
        <v>0</v>
      </c>
      <c r="F919" s="16">
        <v>7450.36</v>
      </c>
      <c r="G919" t="s">
        <v>4699</v>
      </c>
      <c r="H919" t="s">
        <v>4699</v>
      </c>
      <c r="I919" t="s">
        <v>4713</v>
      </c>
      <c r="J919" s="17">
        <f t="shared" si="28"/>
        <v>37043</v>
      </c>
      <c r="K919">
        <f t="shared" ca="1" si="29"/>
        <v>24</v>
      </c>
    </row>
    <row r="920" spans="1:11" ht="15.75" customHeight="1">
      <c r="A920" t="s">
        <v>2843</v>
      </c>
      <c r="B920">
        <v>1967</v>
      </c>
      <c r="C920" t="s">
        <v>4716</v>
      </c>
      <c r="D920">
        <v>4</v>
      </c>
      <c r="E920">
        <v>0</v>
      </c>
      <c r="F920" s="16">
        <v>7463.51</v>
      </c>
      <c r="G920" t="s">
        <v>4700</v>
      </c>
      <c r="H920" t="s">
        <v>4700</v>
      </c>
      <c r="I920" t="s">
        <v>4709</v>
      </c>
      <c r="J920" s="17">
        <f t="shared" si="28"/>
        <v>24688</v>
      </c>
      <c r="K920">
        <f t="shared" ca="1" si="29"/>
        <v>58</v>
      </c>
    </row>
    <row r="921" spans="1:11" ht="15.75" customHeight="1">
      <c r="A921" t="s">
        <v>2841</v>
      </c>
      <c r="B921">
        <v>1996</v>
      </c>
      <c r="C921" t="s">
        <v>4711</v>
      </c>
      <c r="D921">
        <v>14</v>
      </c>
      <c r="E921">
        <v>0</v>
      </c>
      <c r="F921" s="16">
        <v>7487.38</v>
      </c>
      <c r="G921" t="s">
        <v>4699</v>
      </c>
      <c r="H921" t="s">
        <v>4700</v>
      </c>
      <c r="I921" t="s">
        <v>4713</v>
      </c>
      <c r="J921" s="17">
        <f t="shared" si="28"/>
        <v>35230</v>
      </c>
      <c r="K921">
        <f t="shared" ca="1" si="29"/>
        <v>29</v>
      </c>
    </row>
    <row r="922" spans="1:11" ht="15.75" customHeight="1">
      <c r="A922" t="s">
        <v>2839</v>
      </c>
      <c r="B922">
        <v>1988</v>
      </c>
      <c r="C922" t="s">
        <v>4714</v>
      </c>
      <c r="D922">
        <v>15</v>
      </c>
      <c r="E922">
        <v>3</v>
      </c>
      <c r="F922" s="16">
        <v>7494.63</v>
      </c>
      <c r="G922" t="s">
        <v>4699</v>
      </c>
      <c r="H922" t="s">
        <v>4700</v>
      </c>
      <c r="I922" t="s">
        <v>4723</v>
      </c>
      <c r="J922" s="17">
        <f t="shared" si="28"/>
        <v>32492</v>
      </c>
      <c r="K922">
        <f t="shared" ca="1" si="29"/>
        <v>36</v>
      </c>
    </row>
    <row r="923" spans="1:11" ht="15.75" customHeight="1">
      <c r="A923" t="s">
        <v>2837</v>
      </c>
      <c r="B923">
        <v>1997</v>
      </c>
      <c r="C923" t="s">
        <v>4717</v>
      </c>
      <c r="D923">
        <v>28</v>
      </c>
      <c r="E923">
        <v>0</v>
      </c>
      <c r="F923" s="16">
        <v>7504.3</v>
      </c>
      <c r="G923" t="s">
        <v>4699</v>
      </c>
      <c r="H923" t="s">
        <v>4698</v>
      </c>
      <c r="I923" t="s">
        <v>4713</v>
      </c>
      <c r="J923" s="17">
        <f t="shared" si="28"/>
        <v>35731</v>
      </c>
      <c r="K923">
        <f t="shared" ca="1" si="29"/>
        <v>28</v>
      </c>
    </row>
    <row r="924" spans="1:11" ht="15.75" customHeight="1">
      <c r="A924" t="s">
        <v>2835</v>
      </c>
      <c r="B924">
        <v>1983</v>
      </c>
      <c r="C924" t="s">
        <v>4708</v>
      </c>
      <c r="D924">
        <v>10</v>
      </c>
      <c r="E924">
        <v>4</v>
      </c>
      <c r="F924" s="16">
        <v>7512.27</v>
      </c>
      <c r="G924" t="s">
        <v>4700</v>
      </c>
      <c r="H924" t="s">
        <v>4699</v>
      </c>
      <c r="I924" t="s">
        <v>4718</v>
      </c>
      <c r="J924" s="17">
        <f t="shared" si="28"/>
        <v>30507</v>
      </c>
      <c r="K924">
        <f t="shared" ca="1" si="29"/>
        <v>42</v>
      </c>
    </row>
    <row r="925" spans="1:11" ht="15.75" customHeight="1">
      <c r="A925" t="s">
        <v>2833</v>
      </c>
      <c r="B925">
        <v>1978</v>
      </c>
      <c r="C925" t="s">
        <v>4717</v>
      </c>
      <c r="D925">
        <v>18</v>
      </c>
      <c r="E925">
        <v>1</v>
      </c>
      <c r="F925" s="16">
        <v>7518.03</v>
      </c>
      <c r="G925" t="s">
        <v>4699</v>
      </c>
      <c r="H925" t="s">
        <v>4700</v>
      </c>
      <c r="I925" t="s">
        <v>4713</v>
      </c>
      <c r="J925" s="17">
        <f t="shared" si="28"/>
        <v>28781</v>
      </c>
      <c r="K925">
        <f t="shared" ca="1" si="29"/>
        <v>47</v>
      </c>
    </row>
    <row r="926" spans="1:11" ht="15.75" customHeight="1">
      <c r="A926" t="s">
        <v>2831</v>
      </c>
      <c r="B926">
        <v>1976</v>
      </c>
      <c r="C926" t="s">
        <v>4717</v>
      </c>
      <c r="D926">
        <v>10</v>
      </c>
      <c r="E926">
        <v>0</v>
      </c>
      <c r="F926" s="16">
        <v>7526.71</v>
      </c>
      <c r="G926" t="s">
        <v>4700</v>
      </c>
      <c r="H926" t="s">
        <v>4698</v>
      </c>
      <c r="I926" t="s">
        <v>4713</v>
      </c>
      <c r="J926" s="17">
        <f t="shared" si="28"/>
        <v>28043</v>
      </c>
      <c r="K926">
        <f t="shared" ca="1" si="29"/>
        <v>49</v>
      </c>
    </row>
    <row r="927" spans="1:11" ht="15.75" customHeight="1">
      <c r="A927" t="s">
        <v>2829</v>
      </c>
      <c r="B927">
        <v>1978</v>
      </c>
      <c r="C927" t="s">
        <v>4714</v>
      </c>
      <c r="D927">
        <v>14</v>
      </c>
      <c r="E927">
        <v>2</v>
      </c>
      <c r="F927" s="16">
        <v>7531.7</v>
      </c>
      <c r="G927" t="s">
        <v>4699</v>
      </c>
      <c r="H927" t="s">
        <v>4698</v>
      </c>
      <c r="I927" t="s">
        <v>4709</v>
      </c>
      <c r="J927" s="17">
        <f t="shared" si="28"/>
        <v>28838</v>
      </c>
      <c r="K927">
        <f t="shared" ca="1" si="29"/>
        <v>46</v>
      </c>
    </row>
    <row r="928" spans="1:11" ht="15.75" customHeight="1">
      <c r="A928" t="s">
        <v>2827</v>
      </c>
      <c r="B928">
        <v>1984</v>
      </c>
      <c r="C928" t="s">
        <v>4716</v>
      </c>
      <c r="D928">
        <v>22</v>
      </c>
      <c r="E928">
        <v>3</v>
      </c>
      <c r="F928" s="16">
        <v>7537.16</v>
      </c>
      <c r="G928" t="s">
        <v>4699</v>
      </c>
      <c r="H928" t="s">
        <v>4699</v>
      </c>
      <c r="I928" t="s">
        <v>4713</v>
      </c>
      <c r="J928" s="17">
        <f t="shared" si="28"/>
        <v>30916</v>
      </c>
      <c r="K928">
        <f t="shared" ca="1" si="29"/>
        <v>41</v>
      </c>
    </row>
    <row r="929" spans="1:11" ht="15.75" customHeight="1">
      <c r="A929" t="s">
        <v>2825</v>
      </c>
      <c r="B929">
        <v>1988</v>
      </c>
      <c r="C929" t="s">
        <v>4714</v>
      </c>
      <c r="D929">
        <v>15</v>
      </c>
      <c r="E929">
        <v>3</v>
      </c>
      <c r="F929" s="16">
        <v>7538.52</v>
      </c>
      <c r="G929" t="s">
        <v>4699</v>
      </c>
      <c r="H929" t="s">
        <v>4699</v>
      </c>
      <c r="I929" t="s">
        <v>4713</v>
      </c>
      <c r="J929" s="17">
        <f t="shared" si="28"/>
        <v>32492</v>
      </c>
      <c r="K929">
        <f t="shared" ca="1" si="29"/>
        <v>36</v>
      </c>
    </row>
    <row r="930" spans="1:11" ht="15.75" customHeight="1">
      <c r="A930" t="s">
        <v>2823</v>
      </c>
      <c r="B930">
        <v>1994</v>
      </c>
      <c r="C930" t="s">
        <v>4716</v>
      </c>
      <c r="D930">
        <v>14</v>
      </c>
      <c r="E930">
        <v>0</v>
      </c>
      <c r="F930" s="16">
        <v>7567.13</v>
      </c>
      <c r="G930" t="s">
        <v>4699</v>
      </c>
      <c r="H930" t="s">
        <v>4699</v>
      </c>
      <c r="I930" t="s">
        <v>4727</v>
      </c>
      <c r="J930" s="17">
        <f t="shared" si="28"/>
        <v>34560</v>
      </c>
      <c r="K930">
        <f t="shared" ca="1" si="29"/>
        <v>31</v>
      </c>
    </row>
    <row r="931" spans="1:11" ht="15.75" customHeight="1">
      <c r="A931" t="s">
        <v>2821</v>
      </c>
      <c r="B931">
        <v>1967</v>
      </c>
      <c r="C931" t="s">
        <v>4708</v>
      </c>
      <c r="D931">
        <v>17</v>
      </c>
      <c r="E931">
        <v>0</v>
      </c>
      <c r="F931" s="16">
        <v>7585.62</v>
      </c>
      <c r="G931" t="s">
        <v>4700</v>
      </c>
      <c r="H931" t="s">
        <v>4699</v>
      </c>
      <c r="I931" t="s">
        <v>4709</v>
      </c>
      <c r="J931" s="17">
        <f t="shared" si="28"/>
        <v>24670</v>
      </c>
      <c r="K931">
        <f t="shared" ca="1" si="29"/>
        <v>58</v>
      </c>
    </row>
    <row r="932" spans="1:11" ht="15.75" customHeight="1">
      <c r="A932" t="s">
        <v>2819</v>
      </c>
      <c r="B932">
        <v>1997</v>
      </c>
      <c r="C932" t="s">
        <v>4712</v>
      </c>
      <c r="D932">
        <v>30</v>
      </c>
      <c r="E932">
        <v>0</v>
      </c>
      <c r="F932" s="16">
        <v>7607.03</v>
      </c>
      <c r="G932" t="s">
        <v>4699</v>
      </c>
      <c r="H932" t="s">
        <v>4699</v>
      </c>
      <c r="I932" t="s">
        <v>4713</v>
      </c>
      <c r="J932" s="17">
        <f t="shared" si="28"/>
        <v>35703</v>
      </c>
      <c r="K932">
        <f t="shared" ca="1" si="29"/>
        <v>28</v>
      </c>
    </row>
    <row r="933" spans="1:11" ht="15.75" customHeight="1">
      <c r="A933" t="s">
        <v>2817</v>
      </c>
      <c r="B933">
        <v>1968</v>
      </c>
      <c r="C933" t="s">
        <v>4708</v>
      </c>
      <c r="D933">
        <v>3</v>
      </c>
      <c r="E933">
        <v>0</v>
      </c>
      <c r="F933" s="16">
        <v>7609.6</v>
      </c>
      <c r="G933" t="s">
        <v>4700</v>
      </c>
      <c r="H933" t="s">
        <v>4699</v>
      </c>
      <c r="I933" t="s">
        <v>4713</v>
      </c>
      <c r="J933" s="17">
        <f t="shared" si="28"/>
        <v>25022</v>
      </c>
      <c r="K933">
        <f t="shared" ca="1" si="29"/>
        <v>57</v>
      </c>
    </row>
    <row r="934" spans="1:11" ht="15.75" customHeight="1">
      <c r="A934" t="s">
        <v>2815</v>
      </c>
      <c r="B934">
        <v>1996</v>
      </c>
      <c r="C934" t="s">
        <v>4712</v>
      </c>
      <c r="D934">
        <v>17</v>
      </c>
      <c r="E934">
        <v>0</v>
      </c>
      <c r="F934" s="16">
        <v>7623.13</v>
      </c>
      <c r="G934" t="s">
        <v>4699</v>
      </c>
      <c r="H934" t="s">
        <v>4700</v>
      </c>
      <c r="I934" t="s">
        <v>4718</v>
      </c>
      <c r="J934" s="17">
        <f t="shared" si="28"/>
        <v>35325</v>
      </c>
      <c r="K934">
        <f t="shared" ca="1" si="29"/>
        <v>29</v>
      </c>
    </row>
    <row r="935" spans="1:11" ht="15.75" customHeight="1">
      <c r="A935" t="s">
        <v>2813</v>
      </c>
      <c r="B935">
        <v>1978</v>
      </c>
      <c r="C935" t="s">
        <v>4710</v>
      </c>
      <c r="D935">
        <v>28</v>
      </c>
      <c r="E935">
        <v>1</v>
      </c>
      <c r="F935" s="16">
        <v>7623.52</v>
      </c>
      <c r="G935" t="s">
        <v>4699</v>
      </c>
      <c r="H935" t="s">
        <v>4698</v>
      </c>
      <c r="I935" t="s">
        <v>4718</v>
      </c>
      <c r="J935" s="17">
        <f t="shared" si="28"/>
        <v>28822</v>
      </c>
      <c r="K935">
        <f t="shared" ca="1" si="29"/>
        <v>46</v>
      </c>
    </row>
    <row r="936" spans="1:11" ht="15.75" customHeight="1">
      <c r="A936" t="s">
        <v>2811</v>
      </c>
      <c r="B936">
        <v>1978</v>
      </c>
      <c r="C936" t="s">
        <v>4710</v>
      </c>
      <c r="D936">
        <v>6</v>
      </c>
      <c r="E936">
        <v>1</v>
      </c>
      <c r="F936" s="16">
        <v>7624.63</v>
      </c>
      <c r="G936" t="s">
        <v>4699</v>
      </c>
      <c r="H936" t="s">
        <v>4698</v>
      </c>
      <c r="I936" t="s">
        <v>4718</v>
      </c>
      <c r="J936" s="17">
        <f t="shared" si="28"/>
        <v>28800</v>
      </c>
      <c r="K936">
        <f t="shared" ca="1" si="29"/>
        <v>47</v>
      </c>
    </row>
    <row r="937" spans="1:11" ht="15.75" customHeight="1">
      <c r="A937" t="s">
        <v>2809</v>
      </c>
      <c r="B937">
        <v>1978</v>
      </c>
      <c r="C937" t="s">
        <v>4710</v>
      </c>
      <c r="D937">
        <v>29</v>
      </c>
      <c r="E937">
        <v>1</v>
      </c>
      <c r="F937" s="16">
        <v>7626.99</v>
      </c>
      <c r="G937" t="s">
        <v>4699</v>
      </c>
      <c r="H937" t="s">
        <v>4699</v>
      </c>
      <c r="I937" t="s">
        <v>4718</v>
      </c>
      <c r="J937" s="17">
        <f t="shared" si="28"/>
        <v>28823</v>
      </c>
      <c r="K937">
        <f t="shared" ca="1" si="29"/>
        <v>46</v>
      </c>
    </row>
    <row r="938" spans="1:11" ht="15.75" customHeight="1">
      <c r="A938" t="s">
        <v>2807</v>
      </c>
      <c r="B938">
        <v>1978</v>
      </c>
      <c r="C938" t="s">
        <v>4716</v>
      </c>
      <c r="D938">
        <v>24</v>
      </c>
      <c r="E938">
        <v>1</v>
      </c>
      <c r="F938" s="16">
        <v>7633.72</v>
      </c>
      <c r="G938" t="s">
        <v>4699</v>
      </c>
      <c r="H938" t="s">
        <v>4698</v>
      </c>
      <c r="I938" t="s">
        <v>4709</v>
      </c>
      <c r="J938" s="17">
        <f t="shared" si="28"/>
        <v>28726</v>
      </c>
      <c r="K938">
        <f t="shared" ca="1" si="29"/>
        <v>47</v>
      </c>
    </row>
    <row r="939" spans="1:11" ht="15.75" customHeight="1">
      <c r="A939" t="s">
        <v>2805</v>
      </c>
      <c r="B939">
        <v>2001</v>
      </c>
      <c r="C939" t="s">
        <v>4714</v>
      </c>
      <c r="D939">
        <v>13</v>
      </c>
      <c r="E939">
        <v>0</v>
      </c>
      <c r="F939" s="16">
        <v>7636.92</v>
      </c>
      <c r="G939" t="s">
        <v>4699</v>
      </c>
      <c r="H939" t="s">
        <v>4700</v>
      </c>
      <c r="I939" t="s">
        <v>4713</v>
      </c>
      <c r="J939" s="17">
        <f t="shared" si="28"/>
        <v>37238</v>
      </c>
      <c r="K939">
        <f t="shared" ca="1" si="29"/>
        <v>23</v>
      </c>
    </row>
    <row r="940" spans="1:11" ht="15.75" customHeight="1">
      <c r="A940" t="s">
        <v>2803</v>
      </c>
      <c r="B940">
        <v>1980</v>
      </c>
      <c r="C940" t="s">
        <v>4711</v>
      </c>
      <c r="D940">
        <v>20</v>
      </c>
      <c r="E940">
        <v>1</v>
      </c>
      <c r="F940" s="16">
        <v>7639.42</v>
      </c>
      <c r="G940" t="s">
        <v>4699</v>
      </c>
      <c r="H940" t="s">
        <v>4699</v>
      </c>
      <c r="I940" t="s">
        <v>4724</v>
      </c>
      <c r="J940" s="17">
        <f t="shared" si="28"/>
        <v>29392</v>
      </c>
      <c r="K940">
        <f t="shared" ca="1" si="29"/>
        <v>45</v>
      </c>
    </row>
    <row r="941" spans="1:11" ht="15.75" customHeight="1">
      <c r="A941" t="s">
        <v>2801</v>
      </c>
      <c r="B941">
        <v>1980</v>
      </c>
      <c r="C941" t="s">
        <v>4708</v>
      </c>
      <c r="D941">
        <v>24</v>
      </c>
      <c r="E941">
        <v>2</v>
      </c>
      <c r="F941" s="16">
        <v>7640.31</v>
      </c>
      <c r="G941" t="s">
        <v>4699</v>
      </c>
      <c r="H941" t="s">
        <v>4698</v>
      </c>
      <c r="I941" t="s">
        <v>4709</v>
      </c>
      <c r="J941" s="17">
        <f t="shared" si="28"/>
        <v>29426</v>
      </c>
      <c r="K941">
        <f t="shared" ca="1" si="29"/>
        <v>45</v>
      </c>
    </row>
    <row r="942" spans="1:11" ht="15.75" customHeight="1">
      <c r="A942" t="s">
        <v>2799</v>
      </c>
      <c r="B942">
        <v>1999</v>
      </c>
      <c r="C942" t="s">
        <v>4711</v>
      </c>
      <c r="D942">
        <v>15</v>
      </c>
      <c r="E942">
        <v>0</v>
      </c>
      <c r="F942" s="16">
        <v>7642.05</v>
      </c>
      <c r="G942" t="s">
        <v>4699</v>
      </c>
      <c r="H942" t="s">
        <v>4699</v>
      </c>
      <c r="I942" t="s">
        <v>4730</v>
      </c>
      <c r="J942" s="17">
        <f t="shared" si="28"/>
        <v>36326</v>
      </c>
      <c r="K942">
        <f t="shared" ca="1" si="29"/>
        <v>26</v>
      </c>
    </row>
    <row r="943" spans="1:11" ht="15.75" customHeight="1">
      <c r="A943" t="s">
        <v>2797</v>
      </c>
      <c r="B943">
        <v>1980</v>
      </c>
      <c r="C943" t="s">
        <v>4717</v>
      </c>
      <c r="D943">
        <v>16</v>
      </c>
      <c r="E943">
        <v>1</v>
      </c>
      <c r="F943" s="16">
        <v>7650.77</v>
      </c>
      <c r="G943" t="s">
        <v>4699</v>
      </c>
      <c r="H943" t="s">
        <v>4699</v>
      </c>
      <c r="I943" t="s">
        <v>4724</v>
      </c>
      <c r="J943" s="17">
        <f t="shared" si="28"/>
        <v>29510</v>
      </c>
      <c r="K943">
        <f t="shared" ca="1" si="29"/>
        <v>45</v>
      </c>
    </row>
    <row r="944" spans="1:11" ht="15.75" customHeight="1">
      <c r="A944" t="s">
        <v>2795</v>
      </c>
      <c r="B944">
        <v>1993</v>
      </c>
      <c r="C944" t="s">
        <v>4716</v>
      </c>
      <c r="D944">
        <v>10</v>
      </c>
      <c r="E944">
        <v>0</v>
      </c>
      <c r="F944" s="16">
        <v>7650.8</v>
      </c>
      <c r="G944" t="s">
        <v>4699</v>
      </c>
      <c r="H944" t="s">
        <v>4699</v>
      </c>
      <c r="I944" t="s">
        <v>4713</v>
      </c>
      <c r="J944" s="17">
        <f t="shared" si="28"/>
        <v>34191</v>
      </c>
      <c r="K944">
        <f t="shared" ca="1" si="29"/>
        <v>32</v>
      </c>
    </row>
    <row r="945" spans="1:11" ht="15.75" customHeight="1">
      <c r="A945" t="s">
        <v>2793</v>
      </c>
      <c r="B945">
        <v>1998</v>
      </c>
      <c r="C945" t="s">
        <v>4712</v>
      </c>
      <c r="D945">
        <v>30</v>
      </c>
      <c r="E945">
        <v>0</v>
      </c>
      <c r="F945" s="16">
        <v>7652.26</v>
      </c>
      <c r="G945" t="s">
        <v>4699</v>
      </c>
      <c r="H945" t="s">
        <v>4700</v>
      </c>
      <c r="I945" t="s">
        <v>4725</v>
      </c>
      <c r="J945" s="17">
        <f t="shared" si="28"/>
        <v>36068</v>
      </c>
      <c r="K945">
        <f t="shared" ca="1" si="29"/>
        <v>27</v>
      </c>
    </row>
    <row r="946" spans="1:11" ht="15.75" customHeight="1">
      <c r="A946" t="s">
        <v>2791</v>
      </c>
      <c r="B946">
        <v>1965</v>
      </c>
      <c r="C946" t="s">
        <v>4714</v>
      </c>
      <c r="D946">
        <v>27</v>
      </c>
      <c r="E946">
        <v>0</v>
      </c>
      <c r="F946" s="16">
        <v>7657.69</v>
      </c>
      <c r="G946" t="s">
        <v>4700</v>
      </c>
      <c r="H946" t="s">
        <v>4700</v>
      </c>
      <c r="I946" t="s">
        <v>4713</v>
      </c>
      <c r="J946" s="17">
        <f t="shared" si="28"/>
        <v>24103</v>
      </c>
      <c r="K946">
        <f t="shared" ca="1" si="29"/>
        <v>59</v>
      </c>
    </row>
    <row r="947" spans="1:11" ht="15.75" customHeight="1">
      <c r="A947" t="s">
        <v>2789</v>
      </c>
      <c r="B947">
        <v>1976</v>
      </c>
      <c r="C947" t="s">
        <v>4717</v>
      </c>
      <c r="D947">
        <v>9</v>
      </c>
      <c r="E947">
        <v>2</v>
      </c>
      <c r="F947" s="16">
        <v>7662.47</v>
      </c>
      <c r="G947" t="s">
        <v>4699</v>
      </c>
      <c r="H947" t="s">
        <v>4698</v>
      </c>
      <c r="I947" t="s">
        <v>4718</v>
      </c>
      <c r="J947" s="17">
        <f t="shared" si="28"/>
        <v>28042</v>
      </c>
      <c r="K947">
        <f t="shared" ca="1" si="29"/>
        <v>49</v>
      </c>
    </row>
    <row r="948" spans="1:11" ht="15.75" customHeight="1">
      <c r="A948" t="s">
        <v>2787</v>
      </c>
      <c r="B948">
        <v>1996</v>
      </c>
      <c r="C948" t="s">
        <v>4710</v>
      </c>
      <c r="D948">
        <v>24</v>
      </c>
      <c r="E948">
        <v>0</v>
      </c>
      <c r="F948" s="16">
        <v>7670.75</v>
      </c>
      <c r="G948" t="s">
        <v>4699</v>
      </c>
      <c r="H948" t="s">
        <v>4699</v>
      </c>
      <c r="I948" t="s">
        <v>4731</v>
      </c>
      <c r="J948" s="17">
        <f t="shared" si="28"/>
        <v>35393</v>
      </c>
      <c r="K948">
        <f t="shared" ca="1" si="29"/>
        <v>29</v>
      </c>
    </row>
    <row r="949" spans="1:11" ht="15.75" customHeight="1">
      <c r="A949" t="s">
        <v>2785</v>
      </c>
      <c r="B949">
        <v>1995</v>
      </c>
      <c r="C949" t="s">
        <v>4712</v>
      </c>
      <c r="D949">
        <v>13</v>
      </c>
      <c r="E949">
        <v>0</v>
      </c>
      <c r="F949" s="16">
        <v>7676.4</v>
      </c>
      <c r="G949" t="s">
        <v>4699</v>
      </c>
      <c r="H949" t="s">
        <v>4698</v>
      </c>
      <c r="I949" t="s">
        <v>4713</v>
      </c>
      <c r="J949" s="17">
        <f t="shared" si="28"/>
        <v>34955</v>
      </c>
      <c r="K949">
        <f t="shared" ca="1" si="29"/>
        <v>30</v>
      </c>
    </row>
    <row r="950" spans="1:11" ht="15.75" customHeight="1">
      <c r="A950" t="s">
        <v>2783</v>
      </c>
      <c r="B950">
        <v>1971</v>
      </c>
      <c r="C950" t="s">
        <v>4717</v>
      </c>
      <c r="D950">
        <v>11</v>
      </c>
      <c r="E950">
        <v>0</v>
      </c>
      <c r="F950" s="16">
        <v>7680.92</v>
      </c>
      <c r="G950" t="s">
        <v>4699</v>
      </c>
      <c r="H950" t="s">
        <v>4698</v>
      </c>
      <c r="I950" t="s">
        <v>4709</v>
      </c>
      <c r="J950" s="17">
        <f t="shared" si="28"/>
        <v>26217</v>
      </c>
      <c r="K950">
        <f t="shared" ca="1" si="29"/>
        <v>54</v>
      </c>
    </row>
    <row r="951" spans="1:11" ht="15.75" customHeight="1">
      <c r="A951" t="s">
        <v>2781</v>
      </c>
      <c r="B951">
        <v>1981</v>
      </c>
      <c r="C951" t="s">
        <v>4714</v>
      </c>
      <c r="D951">
        <v>19</v>
      </c>
      <c r="E951">
        <v>1</v>
      </c>
      <c r="F951" s="16">
        <v>7681.17</v>
      </c>
      <c r="G951" t="s">
        <v>4699</v>
      </c>
      <c r="H951" t="s">
        <v>4699</v>
      </c>
      <c r="I951" t="s">
        <v>4729</v>
      </c>
      <c r="J951" s="17">
        <f t="shared" si="28"/>
        <v>29939</v>
      </c>
      <c r="K951">
        <f t="shared" ca="1" si="29"/>
        <v>43</v>
      </c>
    </row>
    <row r="952" spans="1:11" ht="15.75" customHeight="1">
      <c r="A952" t="s">
        <v>2779</v>
      </c>
      <c r="B952">
        <v>1982</v>
      </c>
      <c r="C952" t="s">
        <v>4714</v>
      </c>
      <c r="D952">
        <v>18</v>
      </c>
      <c r="E952">
        <v>3</v>
      </c>
      <c r="F952" s="16">
        <v>7682.67</v>
      </c>
      <c r="G952" t="s">
        <v>4699</v>
      </c>
      <c r="H952" t="s">
        <v>4698</v>
      </c>
      <c r="I952" t="s">
        <v>4709</v>
      </c>
      <c r="J952" s="17">
        <f t="shared" si="28"/>
        <v>30303</v>
      </c>
      <c r="K952">
        <f t="shared" ca="1" si="29"/>
        <v>42</v>
      </c>
    </row>
    <row r="953" spans="1:11" ht="15.75" customHeight="1">
      <c r="A953" t="s">
        <v>2777</v>
      </c>
      <c r="B953">
        <v>1987</v>
      </c>
      <c r="C953" t="s">
        <v>4708</v>
      </c>
      <c r="D953">
        <v>12</v>
      </c>
      <c r="E953">
        <v>3</v>
      </c>
      <c r="F953" s="16">
        <v>7684.62</v>
      </c>
      <c r="G953" t="s">
        <v>4699</v>
      </c>
      <c r="H953" t="s">
        <v>4700</v>
      </c>
      <c r="I953" t="s">
        <v>4727</v>
      </c>
      <c r="J953" s="17">
        <f t="shared" si="28"/>
        <v>31970</v>
      </c>
      <c r="K953">
        <f t="shared" ca="1" si="29"/>
        <v>38</v>
      </c>
    </row>
    <row r="954" spans="1:11" ht="15.75" customHeight="1">
      <c r="A954" t="s">
        <v>2775</v>
      </c>
      <c r="B954">
        <v>1978</v>
      </c>
      <c r="C954" t="s">
        <v>4714</v>
      </c>
      <c r="D954">
        <v>29</v>
      </c>
      <c r="E954">
        <v>2</v>
      </c>
      <c r="F954" s="16">
        <v>7726.85</v>
      </c>
      <c r="G954" t="s">
        <v>4698</v>
      </c>
      <c r="H954" t="s">
        <v>4699</v>
      </c>
      <c r="I954" t="s">
        <v>4718</v>
      </c>
      <c r="J954" s="17">
        <f t="shared" si="28"/>
        <v>28853</v>
      </c>
      <c r="K954">
        <f t="shared" ca="1" si="29"/>
        <v>46</v>
      </c>
    </row>
    <row r="955" spans="1:11" ht="15.75" customHeight="1">
      <c r="A955" t="s">
        <v>2773</v>
      </c>
      <c r="B955">
        <v>1979</v>
      </c>
      <c r="C955" t="s">
        <v>4711</v>
      </c>
      <c r="D955">
        <v>2</v>
      </c>
      <c r="E955">
        <v>1</v>
      </c>
      <c r="F955" s="16">
        <v>7727.25</v>
      </c>
      <c r="G955" t="s">
        <v>4699</v>
      </c>
      <c r="H955" t="s">
        <v>4700</v>
      </c>
      <c r="I955" t="s">
        <v>4713</v>
      </c>
      <c r="J955" s="17">
        <f t="shared" si="28"/>
        <v>29008</v>
      </c>
      <c r="K955">
        <f t="shared" ca="1" si="29"/>
        <v>46</v>
      </c>
    </row>
    <row r="956" spans="1:11" ht="15.75" customHeight="1">
      <c r="A956" t="s">
        <v>2771</v>
      </c>
      <c r="B956">
        <v>1980</v>
      </c>
      <c r="C956" t="s">
        <v>4712</v>
      </c>
      <c r="D956">
        <v>10</v>
      </c>
      <c r="E956">
        <v>2</v>
      </c>
      <c r="F956" s="16">
        <v>7729.65</v>
      </c>
      <c r="G956" t="s">
        <v>4700</v>
      </c>
      <c r="H956" t="s">
        <v>4698</v>
      </c>
      <c r="I956" t="s">
        <v>4721</v>
      </c>
      <c r="J956" s="17">
        <f t="shared" si="28"/>
        <v>29474</v>
      </c>
      <c r="K956">
        <f t="shared" ca="1" si="29"/>
        <v>45</v>
      </c>
    </row>
    <row r="957" spans="1:11" ht="15.75" customHeight="1">
      <c r="A957" t="s">
        <v>2769</v>
      </c>
      <c r="B957">
        <v>1978</v>
      </c>
      <c r="C957" t="s">
        <v>4714</v>
      </c>
      <c r="D957">
        <v>4</v>
      </c>
      <c r="E957">
        <v>2</v>
      </c>
      <c r="F957" s="16">
        <v>7731.43</v>
      </c>
      <c r="G957" t="s">
        <v>4700</v>
      </c>
      <c r="H957" t="s">
        <v>4699</v>
      </c>
      <c r="I957" t="s">
        <v>4709</v>
      </c>
      <c r="J957" s="17">
        <f t="shared" si="28"/>
        <v>28828</v>
      </c>
      <c r="K957">
        <f t="shared" ca="1" si="29"/>
        <v>46</v>
      </c>
    </row>
    <row r="958" spans="1:11" ht="15.75" customHeight="1">
      <c r="A958" t="s">
        <v>2767</v>
      </c>
      <c r="B958">
        <v>1977</v>
      </c>
      <c r="C958" t="s">
        <v>4716</v>
      </c>
      <c r="D958">
        <v>29</v>
      </c>
      <c r="E958">
        <v>0</v>
      </c>
      <c r="F958" s="16">
        <v>7731.86</v>
      </c>
      <c r="G958" t="s">
        <v>4699</v>
      </c>
      <c r="H958" t="s">
        <v>4700</v>
      </c>
      <c r="I958" t="s">
        <v>4713</v>
      </c>
      <c r="J958" s="17">
        <f t="shared" si="28"/>
        <v>28366</v>
      </c>
      <c r="K958">
        <f t="shared" ca="1" si="29"/>
        <v>48</v>
      </c>
    </row>
    <row r="959" spans="1:11" ht="15.75" customHeight="1">
      <c r="A959" t="s">
        <v>2765</v>
      </c>
      <c r="B959">
        <v>1965</v>
      </c>
      <c r="C959" t="s">
        <v>4708</v>
      </c>
      <c r="D959">
        <v>18</v>
      </c>
      <c r="E959">
        <v>0</v>
      </c>
      <c r="F959" s="16">
        <v>7736.39</v>
      </c>
      <c r="G959" t="s">
        <v>4700</v>
      </c>
      <c r="H959" t="s">
        <v>4699</v>
      </c>
      <c r="I959" t="s">
        <v>4709</v>
      </c>
      <c r="J959" s="17">
        <f t="shared" si="28"/>
        <v>23941</v>
      </c>
      <c r="K959">
        <f t="shared" ca="1" si="29"/>
        <v>60</v>
      </c>
    </row>
    <row r="960" spans="1:11" ht="15.75" customHeight="1">
      <c r="A960" t="s">
        <v>2763</v>
      </c>
      <c r="B960">
        <v>1978</v>
      </c>
      <c r="C960" t="s">
        <v>4712</v>
      </c>
      <c r="D960">
        <v>4</v>
      </c>
      <c r="E960">
        <v>2</v>
      </c>
      <c r="F960" s="16">
        <v>7740.34</v>
      </c>
      <c r="G960" t="s">
        <v>4698</v>
      </c>
      <c r="H960" t="s">
        <v>4698</v>
      </c>
      <c r="I960" t="s">
        <v>4718</v>
      </c>
      <c r="J960" s="17">
        <f t="shared" si="28"/>
        <v>28737</v>
      </c>
      <c r="K960">
        <f t="shared" ca="1" si="29"/>
        <v>47</v>
      </c>
    </row>
    <row r="961" spans="1:11" ht="15.75" customHeight="1">
      <c r="A961" t="s">
        <v>2761</v>
      </c>
      <c r="B961">
        <v>1976</v>
      </c>
      <c r="C961" t="s">
        <v>4714</v>
      </c>
      <c r="D961">
        <v>12</v>
      </c>
      <c r="E961">
        <v>1</v>
      </c>
      <c r="F961" s="16">
        <v>7742.11</v>
      </c>
      <c r="G961" t="s">
        <v>4700</v>
      </c>
      <c r="H961" t="s">
        <v>4699</v>
      </c>
      <c r="I961" t="s">
        <v>4709</v>
      </c>
      <c r="J961" s="17">
        <f t="shared" si="28"/>
        <v>28106</v>
      </c>
      <c r="K961">
        <f t="shared" ca="1" si="29"/>
        <v>48</v>
      </c>
    </row>
    <row r="962" spans="1:11" ht="15.75" customHeight="1">
      <c r="A962" t="s">
        <v>2759</v>
      </c>
      <c r="B962">
        <v>1981</v>
      </c>
      <c r="C962" t="s">
        <v>4711</v>
      </c>
      <c r="D962">
        <v>30</v>
      </c>
      <c r="E962">
        <v>2</v>
      </c>
      <c r="F962" s="16">
        <v>7749.16</v>
      </c>
      <c r="G962" t="s">
        <v>4699</v>
      </c>
      <c r="H962" t="s">
        <v>4698</v>
      </c>
      <c r="I962" t="s">
        <v>4713</v>
      </c>
      <c r="J962" s="17">
        <f t="shared" si="28"/>
        <v>29767</v>
      </c>
      <c r="K962">
        <f t="shared" ca="1" si="29"/>
        <v>44</v>
      </c>
    </row>
    <row r="963" spans="1:11" ht="15.75" customHeight="1">
      <c r="A963" t="s">
        <v>2757</v>
      </c>
      <c r="B963">
        <v>1997</v>
      </c>
      <c r="C963" t="s">
        <v>4714</v>
      </c>
      <c r="D963">
        <v>21</v>
      </c>
      <c r="E963">
        <v>0</v>
      </c>
      <c r="F963" s="16">
        <v>7763.06</v>
      </c>
      <c r="G963" t="s">
        <v>4699</v>
      </c>
      <c r="H963" t="s">
        <v>4698</v>
      </c>
      <c r="I963" t="s">
        <v>4713</v>
      </c>
      <c r="J963" s="17">
        <f t="shared" ref="J963:J1026" si="30">DATEVALUE(D963&amp;"-"&amp;C963&amp;" -"&amp;B963)</f>
        <v>35785</v>
      </c>
      <c r="K963">
        <f t="shared" ref="K963:K1026" ca="1" si="31">DATEDIF(J963,TODAY(),"Y")</f>
        <v>27</v>
      </c>
    </row>
    <row r="964" spans="1:11" ht="15.75" customHeight="1">
      <c r="A964" t="s">
        <v>2755</v>
      </c>
      <c r="B964">
        <v>1974</v>
      </c>
      <c r="C964" t="s">
        <v>4714</v>
      </c>
      <c r="D964">
        <v>6</v>
      </c>
      <c r="E964">
        <v>0</v>
      </c>
      <c r="F964" s="16">
        <v>7789.64</v>
      </c>
      <c r="G964" t="s">
        <v>4698</v>
      </c>
      <c r="H964" t="s">
        <v>4700</v>
      </c>
      <c r="I964" t="s">
        <v>4709</v>
      </c>
      <c r="J964" s="17">
        <f t="shared" si="30"/>
        <v>27369</v>
      </c>
      <c r="K964">
        <f t="shared" ca="1" si="31"/>
        <v>50</v>
      </c>
    </row>
    <row r="965" spans="1:11" ht="15.75" customHeight="1">
      <c r="A965" t="s">
        <v>2753</v>
      </c>
      <c r="B965">
        <v>1999</v>
      </c>
      <c r="C965" t="s">
        <v>4714</v>
      </c>
      <c r="D965">
        <v>25</v>
      </c>
      <c r="E965">
        <v>0</v>
      </c>
      <c r="F965" s="16">
        <v>7794.68</v>
      </c>
      <c r="G965" t="s">
        <v>4699</v>
      </c>
      <c r="H965" t="s">
        <v>4699</v>
      </c>
      <c r="I965" t="s">
        <v>4730</v>
      </c>
      <c r="J965" s="17">
        <f t="shared" si="30"/>
        <v>36519</v>
      </c>
      <c r="K965">
        <f t="shared" ca="1" si="31"/>
        <v>25</v>
      </c>
    </row>
    <row r="966" spans="1:11" ht="15.75" customHeight="1">
      <c r="A966" t="s">
        <v>2751</v>
      </c>
      <c r="B966">
        <v>1997</v>
      </c>
      <c r="C966" t="s">
        <v>4714</v>
      </c>
      <c r="D966">
        <v>2</v>
      </c>
      <c r="E966">
        <v>0</v>
      </c>
      <c r="F966" s="16">
        <v>7803.77</v>
      </c>
      <c r="G966" t="s">
        <v>4699</v>
      </c>
      <c r="H966" t="s">
        <v>4700</v>
      </c>
      <c r="I966" t="s">
        <v>4713</v>
      </c>
      <c r="J966" s="17">
        <f t="shared" si="30"/>
        <v>35766</v>
      </c>
      <c r="K966">
        <f t="shared" ca="1" si="31"/>
        <v>27</v>
      </c>
    </row>
    <row r="967" spans="1:11" ht="15.75" customHeight="1">
      <c r="A967" t="s">
        <v>2749</v>
      </c>
      <c r="B967">
        <v>1974</v>
      </c>
      <c r="C967" t="s">
        <v>4710</v>
      </c>
      <c r="D967">
        <v>9</v>
      </c>
      <c r="E967">
        <v>0</v>
      </c>
      <c r="F967" s="16">
        <v>7804.16</v>
      </c>
      <c r="G967" t="s">
        <v>4699</v>
      </c>
      <c r="H967" t="s">
        <v>4700</v>
      </c>
      <c r="I967" t="s">
        <v>4709</v>
      </c>
      <c r="J967" s="17">
        <f t="shared" si="30"/>
        <v>27342</v>
      </c>
      <c r="K967">
        <f t="shared" ca="1" si="31"/>
        <v>51</v>
      </c>
    </row>
    <row r="968" spans="1:11" ht="15.75" customHeight="1">
      <c r="A968" t="s">
        <v>2747</v>
      </c>
      <c r="B968">
        <v>1991</v>
      </c>
      <c r="C968" t="s">
        <v>4714</v>
      </c>
      <c r="D968">
        <v>21</v>
      </c>
      <c r="E968">
        <v>3</v>
      </c>
      <c r="F968" s="16">
        <v>7812.67</v>
      </c>
      <c r="G968" t="s">
        <v>4699</v>
      </c>
      <c r="H968" t="s">
        <v>4698</v>
      </c>
      <c r="I968" t="s">
        <v>4713</v>
      </c>
      <c r="J968" s="17">
        <f t="shared" si="30"/>
        <v>33593</v>
      </c>
      <c r="K968">
        <f t="shared" ca="1" si="31"/>
        <v>33</v>
      </c>
    </row>
    <row r="969" spans="1:11" ht="15.75" customHeight="1">
      <c r="A969" t="s">
        <v>2745</v>
      </c>
      <c r="B969">
        <v>1989</v>
      </c>
      <c r="C969" t="s">
        <v>4717</v>
      </c>
      <c r="D969">
        <v>12</v>
      </c>
      <c r="E969">
        <v>3</v>
      </c>
      <c r="F969" s="16">
        <v>7824.37</v>
      </c>
      <c r="G969" t="s">
        <v>4699</v>
      </c>
      <c r="H969" t="s">
        <v>4699</v>
      </c>
      <c r="I969" t="s">
        <v>4713</v>
      </c>
      <c r="J969" s="17">
        <f t="shared" si="30"/>
        <v>32793</v>
      </c>
      <c r="K969">
        <f t="shared" ca="1" si="31"/>
        <v>36</v>
      </c>
    </row>
    <row r="970" spans="1:11" ht="15.75" customHeight="1">
      <c r="A970" t="s">
        <v>2743</v>
      </c>
      <c r="B970">
        <v>2001</v>
      </c>
      <c r="C970" t="s">
        <v>4717</v>
      </c>
      <c r="D970">
        <v>5</v>
      </c>
      <c r="E970">
        <v>0</v>
      </c>
      <c r="F970" s="16">
        <v>7844.8</v>
      </c>
      <c r="G970" t="s">
        <v>4699</v>
      </c>
      <c r="H970" t="s">
        <v>4699</v>
      </c>
      <c r="I970" t="s">
        <v>4713</v>
      </c>
      <c r="J970" s="17">
        <f t="shared" si="30"/>
        <v>37169</v>
      </c>
      <c r="K970">
        <f t="shared" ca="1" si="31"/>
        <v>24</v>
      </c>
    </row>
    <row r="971" spans="1:11" ht="15.75" customHeight="1">
      <c r="A971" t="s">
        <v>2741</v>
      </c>
      <c r="B971">
        <v>1994</v>
      </c>
      <c r="C971" t="s">
        <v>4710</v>
      </c>
      <c r="D971">
        <v>17</v>
      </c>
      <c r="E971">
        <v>0</v>
      </c>
      <c r="F971" s="16">
        <v>7851.85</v>
      </c>
      <c r="G971" t="s">
        <v>4699</v>
      </c>
      <c r="H971" t="s">
        <v>4700</v>
      </c>
      <c r="I971" t="s">
        <v>4713</v>
      </c>
      <c r="J971" s="17">
        <f t="shared" si="30"/>
        <v>34655</v>
      </c>
      <c r="K971">
        <f t="shared" ca="1" si="31"/>
        <v>31</v>
      </c>
    </row>
    <row r="972" spans="1:11" ht="15.75" customHeight="1">
      <c r="A972" t="s">
        <v>2739</v>
      </c>
      <c r="B972">
        <v>1962</v>
      </c>
      <c r="C972" t="s">
        <v>4717</v>
      </c>
      <c r="D972">
        <v>10</v>
      </c>
      <c r="E972">
        <v>0</v>
      </c>
      <c r="F972" s="16">
        <v>7896.41</v>
      </c>
      <c r="G972" t="s">
        <v>4700</v>
      </c>
      <c r="H972" t="s">
        <v>4699</v>
      </c>
      <c r="I972" t="s">
        <v>4709</v>
      </c>
      <c r="J972" s="17">
        <f t="shared" si="30"/>
        <v>22929</v>
      </c>
      <c r="K972">
        <f t="shared" ca="1" si="31"/>
        <v>63</v>
      </c>
    </row>
    <row r="973" spans="1:11" ht="15.75" customHeight="1">
      <c r="A973" t="s">
        <v>2737</v>
      </c>
      <c r="B973">
        <v>1977</v>
      </c>
      <c r="C973" t="s">
        <v>4708</v>
      </c>
      <c r="D973">
        <v>20</v>
      </c>
      <c r="E973">
        <v>0</v>
      </c>
      <c r="F973" s="16">
        <v>7935.29</v>
      </c>
      <c r="G973" t="s">
        <v>4699</v>
      </c>
      <c r="H973" t="s">
        <v>4698</v>
      </c>
      <c r="I973" t="s">
        <v>4724</v>
      </c>
      <c r="J973" s="17">
        <f t="shared" si="30"/>
        <v>28326</v>
      </c>
      <c r="K973">
        <f t="shared" ca="1" si="31"/>
        <v>48</v>
      </c>
    </row>
    <row r="974" spans="1:11" ht="15.75" customHeight="1">
      <c r="A974" t="s">
        <v>2735</v>
      </c>
      <c r="B974">
        <v>1987</v>
      </c>
      <c r="C974" t="s">
        <v>4717</v>
      </c>
      <c r="D974">
        <v>29</v>
      </c>
      <c r="E974">
        <v>3</v>
      </c>
      <c r="F974" s="16">
        <v>7948.22</v>
      </c>
      <c r="G974" t="s">
        <v>4699</v>
      </c>
      <c r="H974" t="s">
        <v>4700</v>
      </c>
      <c r="I974" t="s">
        <v>4723</v>
      </c>
      <c r="J974" s="17">
        <f t="shared" si="30"/>
        <v>32079</v>
      </c>
      <c r="K974">
        <f t="shared" ca="1" si="31"/>
        <v>38</v>
      </c>
    </row>
    <row r="975" spans="1:11" ht="15.75" customHeight="1">
      <c r="A975" t="s">
        <v>2733</v>
      </c>
      <c r="B975">
        <v>1966</v>
      </c>
      <c r="C975" t="s">
        <v>4708</v>
      </c>
      <c r="D975">
        <v>9</v>
      </c>
      <c r="E975">
        <v>0</v>
      </c>
      <c r="F975" s="16">
        <v>7953.72</v>
      </c>
      <c r="G975" t="s">
        <v>4700</v>
      </c>
      <c r="H975" t="s">
        <v>4700</v>
      </c>
      <c r="I975" t="s">
        <v>4713</v>
      </c>
      <c r="J975" s="17">
        <f t="shared" si="30"/>
        <v>24297</v>
      </c>
      <c r="K975">
        <f t="shared" ca="1" si="31"/>
        <v>59</v>
      </c>
    </row>
    <row r="976" spans="1:11" ht="15.75" customHeight="1">
      <c r="A976" t="s">
        <v>2731</v>
      </c>
      <c r="B976">
        <v>1981</v>
      </c>
      <c r="C976" t="s">
        <v>4714</v>
      </c>
      <c r="D976">
        <v>28</v>
      </c>
      <c r="E976">
        <v>3</v>
      </c>
      <c r="F976" s="16">
        <v>7954.52</v>
      </c>
      <c r="G976" t="s">
        <v>4699</v>
      </c>
      <c r="H976" t="s">
        <v>4699</v>
      </c>
      <c r="I976" t="s">
        <v>4718</v>
      </c>
      <c r="J976" s="17">
        <f t="shared" si="30"/>
        <v>29948</v>
      </c>
      <c r="K976">
        <f t="shared" ca="1" si="31"/>
        <v>43</v>
      </c>
    </row>
    <row r="977" spans="1:11" ht="15.75" customHeight="1">
      <c r="A977" t="s">
        <v>2729</v>
      </c>
      <c r="B977">
        <v>1970</v>
      </c>
      <c r="C977" t="s">
        <v>4711</v>
      </c>
      <c r="D977">
        <v>19</v>
      </c>
      <c r="E977">
        <v>0</v>
      </c>
      <c r="F977" s="16">
        <v>7958.13</v>
      </c>
      <c r="G977" t="s">
        <v>4699</v>
      </c>
      <c r="H977" t="s">
        <v>4699</v>
      </c>
      <c r="I977" t="s">
        <v>4709</v>
      </c>
      <c r="J977" s="17">
        <f t="shared" si="30"/>
        <v>25738</v>
      </c>
      <c r="K977">
        <f t="shared" ca="1" si="31"/>
        <v>55</v>
      </c>
    </row>
    <row r="978" spans="1:11" ht="15.75" customHeight="1">
      <c r="A978" t="s">
        <v>2727</v>
      </c>
      <c r="B978">
        <v>1975</v>
      </c>
      <c r="C978" t="s">
        <v>4716</v>
      </c>
      <c r="D978">
        <v>10</v>
      </c>
      <c r="E978">
        <v>1</v>
      </c>
      <c r="F978" s="16">
        <v>7966.81</v>
      </c>
      <c r="G978" t="s">
        <v>4699</v>
      </c>
      <c r="H978" t="s">
        <v>4699</v>
      </c>
      <c r="I978" t="s">
        <v>4709</v>
      </c>
      <c r="J978" s="17">
        <f t="shared" si="30"/>
        <v>27616</v>
      </c>
      <c r="K978">
        <f t="shared" ca="1" si="31"/>
        <v>50</v>
      </c>
    </row>
    <row r="979" spans="1:11" ht="15.75" customHeight="1">
      <c r="A979" t="s">
        <v>2725</v>
      </c>
      <c r="B979">
        <v>1972</v>
      </c>
      <c r="C979" t="s">
        <v>4710</v>
      </c>
      <c r="D979">
        <v>23</v>
      </c>
      <c r="E979">
        <v>0</v>
      </c>
      <c r="F979" s="16">
        <v>7980.34</v>
      </c>
      <c r="G979" t="s">
        <v>4699</v>
      </c>
      <c r="H979" t="s">
        <v>4699</v>
      </c>
      <c r="I979" t="s">
        <v>4709</v>
      </c>
      <c r="J979" s="17">
        <f t="shared" si="30"/>
        <v>26626</v>
      </c>
      <c r="K979">
        <f t="shared" ca="1" si="31"/>
        <v>53</v>
      </c>
    </row>
    <row r="980" spans="1:11" ht="15.75" customHeight="1">
      <c r="A980" t="s">
        <v>2723</v>
      </c>
      <c r="B980">
        <v>1983</v>
      </c>
      <c r="C980" t="s">
        <v>4716</v>
      </c>
      <c r="D980">
        <v>28</v>
      </c>
      <c r="E980">
        <v>3</v>
      </c>
      <c r="F980" s="16">
        <v>7985.82</v>
      </c>
      <c r="G980" t="s">
        <v>4699</v>
      </c>
      <c r="H980" t="s">
        <v>4698</v>
      </c>
      <c r="I980" t="s">
        <v>4724</v>
      </c>
      <c r="J980" s="17">
        <f t="shared" si="30"/>
        <v>30556</v>
      </c>
      <c r="K980">
        <f t="shared" ca="1" si="31"/>
        <v>42</v>
      </c>
    </row>
    <row r="981" spans="1:11" ht="15.75" customHeight="1">
      <c r="A981" t="s">
        <v>2721</v>
      </c>
      <c r="B981">
        <v>1983</v>
      </c>
      <c r="C981" t="s">
        <v>4716</v>
      </c>
      <c r="D981">
        <v>20</v>
      </c>
      <c r="E981">
        <v>3</v>
      </c>
      <c r="F981" s="16">
        <v>7986.48</v>
      </c>
      <c r="G981" t="s">
        <v>4699</v>
      </c>
      <c r="H981" t="s">
        <v>4700</v>
      </c>
      <c r="I981" t="s">
        <v>4724</v>
      </c>
      <c r="J981" s="17">
        <f t="shared" si="30"/>
        <v>30548</v>
      </c>
      <c r="K981">
        <f t="shared" ca="1" si="31"/>
        <v>42</v>
      </c>
    </row>
    <row r="982" spans="1:11" ht="15.75" customHeight="1">
      <c r="A982" t="s">
        <v>2719</v>
      </c>
      <c r="B982">
        <v>1962</v>
      </c>
      <c r="C982" t="s">
        <v>4716</v>
      </c>
      <c r="D982">
        <v>22</v>
      </c>
      <c r="E982">
        <v>0</v>
      </c>
      <c r="F982" s="16">
        <v>8004.96</v>
      </c>
      <c r="G982" t="s">
        <v>4700</v>
      </c>
      <c r="H982" t="s">
        <v>4698</v>
      </c>
      <c r="I982" t="s">
        <v>4709</v>
      </c>
      <c r="J982" s="17">
        <f t="shared" si="30"/>
        <v>22880</v>
      </c>
      <c r="K982">
        <f t="shared" ca="1" si="31"/>
        <v>63</v>
      </c>
    </row>
    <row r="983" spans="1:11" ht="15.75" customHeight="1">
      <c r="A983" t="s">
        <v>2717</v>
      </c>
      <c r="B983">
        <v>1995</v>
      </c>
      <c r="C983" t="s">
        <v>4712</v>
      </c>
      <c r="D983">
        <v>18</v>
      </c>
      <c r="E983">
        <v>0</v>
      </c>
      <c r="F983" s="16">
        <v>8014.62</v>
      </c>
      <c r="G983" t="s">
        <v>4699</v>
      </c>
      <c r="H983" t="s">
        <v>4700</v>
      </c>
      <c r="I983" t="s">
        <v>4713</v>
      </c>
      <c r="J983" s="17">
        <f t="shared" si="30"/>
        <v>34960</v>
      </c>
      <c r="K983">
        <f t="shared" ca="1" si="31"/>
        <v>30</v>
      </c>
    </row>
    <row r="984" spans="1:11" ht="15.75" customHeight="1">
      <c r="A984" t="s">
        <v>2715</v>
      </c>
      <c r="B984">
        <v>1980</v>
      </c>
      <c r="C984" t="s">
        <v>4710</v>
      </c>
      <c r="D984">
        <v>8</v>
      </c>
      <c r="E984">
        <v>2</v>
      </c>
      <c r="F984" s="16">
        <v>8017.06</v>
      </c>
      <c r="G984" t="s">
        <v>4699</v>
      </c>
      <c r="H984" t="s">
        <v>4699</v>
      </c>
      <c r="I984" t="s">
        <v>4713</v>
      </c>
      <c r="J984" s="17">
        <f t="shared" si="30"/>
        <v>29533</v>
      </c>
      <c r="K984">
        <f t="shared" ca="1" si="31"/>
        <v>45</v>
      </c>
    </row>
    <row r="985" spans="1:11" ht="15.75" customHeight="1">
      <c r="A985" t="s">
        <v>2713</v>
      </c>
      <c r="B985">
        <v>1989</v>
      </c>
      <c r="C985" t="s">
        <v>4710</v>
      </c>
      <c r="D985">
        <v>3</v>
      </c>
      <c r="E985">
        <v>3</v>
      </c>
      <c r="F985" s="16">
        <v>8021.11</v>
      </c>
      <c r="G985" t="s">
        <v>4699</v>
      </c>
      <c r="H985" t="s">
        <v>4698</v>
      </c>
      <c r="I985" t="s">
        <v>4713</v>
      </c>
      <c r="J985" s="17">
        <f t="shared" si="30"/>
        <v>32815</v>
      </c>
      <c r="K985">
        <f t="shared" ca="1" si="31"/>
        <v>36</v>
      </c>
    </row>
    <row r="986" spans="1:11" ht="15.75" customHeight="1">
      <c r="A986" t="s">
        <v>2711</v>
      </c>
      <c r="B986">
        <v>1978</v>
      </c>
      <c r="C986" t="s">
        <v>4708</v>
      </c>
      <c r="D986">
        <v>17</v>
      </c>
      <c r="E986">
        <v>1</v>
      </c>
      <c r="F986" s="16">
        <v>8023.14</v>
      </c>
      <c r="G986" t="s">
        <v>4699</v>
      </c>
      <c r="H986" t="s">
        <v>4700</v>
      </c>
      <c r="I986" t="s">
        <v>4713</v>
      </c>
      <c r="J986" s="17">
        <f t="shared" si="30"/>
        <v>28688</v>
      </c>
      <c r="K986">
        <f t="shared" ca="1" si="31"/>
        <v>47</v>
      </c>
    </row>
    <row r="987" spans="1:11" ht="15.75" customHeight="1">
      <c r="A987" t="s">
        <v>2709</v>
      </c>
      <c r="B987">
        <v>1976</v>
      </c>
      <c r="C987" t="s">
        <v>4714</v>
      </c>
      <c r="D987">
        <v>20</v>
      </c>
      <c r="E987">
        <v>0</v>
      </c>
      <c r="F987" s="16">
        <v>8026.67</v>
      </c>
      <c r="G987" t="s">
        <v>4699</v>
      </c>
      <c r="H987" t="s">
        <v>4699</v>
      </c>
      <c r="I987" t="s">
        <v>4713</v>
      </c>
      <c r="J987" s="17">
        <f t="shared" si="30"/>
        <v>28114</v>
      </c>
      <c r="K987">
        <f t="shared" ca="1" si="31"/>
        <v>48</v>
      </c>
    </row>
    <row r="988" spans="1:11" ht="15.75" customHeight="1">
      <c r="A988" t="s">
        <v>2707</v>
      </c>
      <c r="B988">
        <v>1977</v>
      </c>
      <c r="C988" t="s">
        <v>4710</v>
      </c>
      <c r="D988">
        <v>6</v>
      </c>
      <c r="E988">
        <v>2</v>
      </c>
      <c r="F988" s="16">
        <v>8027.97</v>
      </c>
      <c r="G988" t="s">
        <v>4700</v>
      </c>
      <c r="H988" t="s">
        <v>4699</v>
      </c>
      <c r="I988" t="s">
        <v>4718</v>
      </c>
      <c r="J988" s="17">
        <f t="shared" si="30"/>
        <v>28435</v>
      </c>
      <c r="K988">
        <f t="shared" ca="1" si="31"/>
        <v>48</v>
      </c>
    </row>
    <row r="989" spans="1:11" ht="15.75" customHeight="1">
      <c r="A989" t="s">
        <v>2705</v>
      </c>
      <c r="B989">
        <v>2003</v>
      </c>
      <c r="C989" t="s">
        <v>4714</v>
      </c>
      <c r="D989">
        <v>12</v>
      </c>
      <c r="E989">
        <v>0</v>
      </c>
      <c r="F989" s="16">
        <v>8035.64</v>
      </c>
      <c r="G989" t="s">
        <v>4699</v>
      </c>
      <c r="H989" t="s">
        <v>4699</v>
      </c>
      <c r="I989" t="s">
        <v>4713</v>
      </c>
      <c r="J989" s="17">
        <f t="shared" si="30"/>
        <v>37967</v>
      </c>
      <c r="K989">
        <f t="shared" ca="1" si="31"/>
        <v>21</v>
      </c>
    </row>
    <row r="990" spans="1:11" ht="15.75" customHeight="1">
      <c r="A990" t="s">
        <v>2703</v>
      </c>
      <c r="B990">
        <v>1985</v>
      </c>
      <c r="C990" t="s">
        <v>4710</v>
      </c>
      <c r="D990">
        <v>28</v>
      </c>
      <c r="E990">
        <v>3</v>
      </c>
      <c r="F990" s="16">
        <v>8059.06</v>
      </c>
      <c r="G990" t="s">
        <v>4699</v>
      </c>
      <c r="H990" t="s">
        <v>4700</v>
      </c>
      <c r="I990" t="s">
        <v>4713</v>
      </c>
      <c r="J990" s="17">
        <f t="shared" si="30"/>
        <v>31379</v>
      </c>
      <c r="K990">
        <f t="shared" ca="1" si="31"/>
        <v>39</v>
      </c>
    </row>
    <row r="991" spans="1:11" ht="15.75" customHeight="1">
      <c r="A991" t="s">
        <v>2701</v>
      </c>
      <c r="B991">
        <v>1982</v>
      </c>
      <c r="C991" t="s">
        <v>4714</v>
      </c>
      <c r="D991">
        <v>27</v>
      </c>
      <c r="E991">
        <v>3</v>
      </c>
      <c r="F991" s="16">
        <v>8059.68</v>
      </c>
      <c r="G991" t="s">
        <v>4699</v>
      </c>
      <c r="H991" t="s">
        <v>4700</v>
      </c>
      <c r="I991" t="s">
        <v>4713</v>
      </c>
      <c r="J991" s="17">
        <f t="shared" si="30"/>
        <v>30312</v>
      </c>
      <c r="K991">
        <f t="shared" ca="1" si="31"/>
        <v>42</v>
      </c>
    </row>
    <row r="992" spans="1:11" ht="15.75" customHeight="1">
      <c r="A992" t="s">
        <v>2699</v>
      </c>
      <c r="B992">
        <v>1970</v>
      </c>
      <c r="C992" t="s">
        <v>4714</v>
      </c>
      <c r="D992">
        <v>12</v>
      </c>
      <c r="E992">
        <v>0</v>
      </c>
      <c r="F992" s="16">
        <v>8062.31</v>
      </c>
      <c r="G992" t="s">
        <v>4699</v>
      </c>
      <c r="H992" t="s">
        <v>4698</v>
      </c>
      <c r="I992" t="s">
        <v>4709</v>
      </c>
      <c r="J992" s="17">
        <f t="shared" si="30"/>
        <v>25914</v>
      </c>
      <c r="K992">
        <f t="shared" ca="1" si="31"/>
        <v>54</v>
      </c>
    </row>
    <row r="993" spans="1:11" ht="15.75" customHeight="1">
      <c r="A993" t="s">
        <v>2697</v>
      </c>
      <c r="B993">
        <v>1975</v>
      </c>
      <c r="C993" t="s">
        <v>4711</v>
      </c>
      <c r="D993">
        <v>28</v>
      </c>
      <c r="E993">
        <v>1</v>
      </c>
      <c r="F993" s="16">
        <v>8062.76</v>
      </c>
      <c r="G993" t="s">
        <v>4700</v>
      </c>
      <c r="H993" t="s">
        <v>4700</v>
      </c>
      <c r="I993" t="s">
        <v>4718</v>
      </c>
      <c r="J993" s="17">
        <f t="shared" si="30"/>
        <v>27573</v>
      </c>
      <c r="K993">
        <f t="shared" ca="1" si="31"/>
        <v>50</v>
      </c>
    </row>
    <row r="994" spans="1:11" ht="15.75" customHeight="1">
      <c r="A994" t="s">
        <v>2695</v>
      </c>
      <c r="B994">
        <v>1965</v>
      </c>
      <c r="C994" t="s">
        <v>4716</v>
      </c>
      <c r="D994">
        <v>11</v>
      </c>
      <c r="E994">
        <v>0</v>
      </c>
      <c r="F994" s="16">
        <v>8067.83</v>
      </c>
      <c r="G994" t="s">
        <v>4700</v>
      </c>
      <c r="H994" t="s">
        <v>4698</v>
      </c>
      <c r="I994" t="s">
        <v>4709</v>
      </c>
      <c r="J994" s="17">
        <f t="shared" si="30"/>
        <v>23965</v>
      </c>
      <c r="K994">
        <f t="shared" ca="1" si="31"/>
        <v>60</v>
      </c>
    </row>
    <row r="995" spans="1:11" ht="15.75" customHeight="1">
      <c r="A995" t="s">
        <v>2693</v>
      </c>
      <c r="B995">
        <v>1975</v>
      </c>
      <c r="C995" t="s">
        <v>4714</v>
      </c>
      <c r="D995">
        <v>15</v>
      </c>
      <c r="E995">
        <v>1</v>
      </c>
      <c r="F995" s="16">
        <v>8068.19</v>
      </c>
      <c r="G995" t="s">
        <v>4700</v>
      </c>
      <c r="H995" t="s">
        <v>4699</v>
      </c>
      <c r="I995" t="s">
        <v>4718</v>
      </c>
      <c r="J995" s="17">
        <f t="shared" si="30"/>
        <v>27743</v>
      </c>
      <c r="K995">
        <f t="shared" ca="1" si="31"/>
        <v>49</v>
      </c>
    </row>
    <row r="996" spans="1:11" ht="15.75" customHeight="1">
      <c r="A996" t="s">
        <v>2691</v>
      </c>
      <c r="B996">
        <v>1965</v>
      </c>
      <c r="C996" t="s">
        <v>4717</v>
      </c>
      <c r="D996">
        <v>21</v>
      </c>
      <c r="E996">
        <v>0</v>
      </c>
      <c r="F996" s="16">
        <v>8071.57</v>
      </c>
      <c r="G996" t="s">
        <v>4700</v>
      </c>
      <c r="H996" t="s">
        <v>4698</v>
      </c>
      <c r="I996" t="s">
        <v>4718</v>
      </c>
      <c r="J996" s="17">
        <f t="shared" si="30"/>
        <v>24036</v>
      </c>
      <c r="K996">
        <f t="shared" ca="1" si="31"/>
        <v>60</v>
      </c>
    </row>
    <row r="997" spans="1:11" ht="15.75" customHeight="1">
      <c r="A997" t="s">
        <v>2689</v>
      </c>
      <c r="B997">
        <v>1993</v>
      </c>
      <c r="C997" t="s">
        <v>4710</v>
      </c>
      <c r="D997">
        <v>7</v>
      </c>
      <c r="E997">
        <v>0</v>
      </c>
      <c r="F997" s="16">
        <v>8077.41</v>
      </c>
      <c r="G997" t="s">
        <v>4699</v>
      </c>
      <c r="H997" t="s">
        <v>4698</v>
      </c>
      <c r="I997" t="s">
        <v>4730</v>
      </c>
      <c r="J997" s="17">
        <f t="shared" si="30"/>
        <v>34280</v>
      </c>
      <c r="K997">
        <f t="shared" ca="1" si="31"/>
        <v>32</v>
      </c>
    </row>
    <row r="998" spans="1:11" ht="15.75" customHeight="1">
      <c r="A998" t="s">
        <v>2687</v>
      </c>
      <c r="B998">
        <v>2001</v>
      </c>
      <c r="C998" t="s">
        <v>4716</v>
      </c>
      <c r="D998">
        <v>28</v>
      </c>
      <c r="E998">
        <v>0</v>
      </c>
      <c r="F998" s="16">
        <v>8081.26</v>
      </c>
      <c r="G998" t="s">
        <v>4699</v>
      </c>
      <c r="H998" t="s">
        <v>4699</v>
      </c>
      <c r="I998" t="s">
        <v>4713</v>
      </c>
      <c r="J998" s="17">
        <f t="shared" si="30"/>
        <v>37131</v>
      </c>
      <c r="K998">
        <f t="shared" ca="1" si="31"/>
        <v>24</v>
      </c>
    </row>
    <row r="999" spans="1:11" ht="15.75" customHeight="1">
      <c r="A999" t="s">
        <v>2685</v>
      </c>
      <c r="B999">
        <v>1994</v>
      </c>
      <c r="C999" t="s">
        <v>4717</v>
      </c>
      <c r="D999">
        <v>12</v>
      </c>
      <c r="E999">
        <v>0</v>
      </c>
      <c r="F999" s="16">
        <v>8081.74</v>
      </c>
      <c r="G999" t="s">
        <v>4699</v>
      </c>
      <c r="H999" t="s">
        <v>4699</v>
      </c>
      <c r="I999" t="s">
        <v>4730</v>
      </c>
      <c r="J999" s="17">
        <f t="shared" si="30"/>
        <v>34619</v>
      </c>
      <c r="K999">
        <f t="shared" ca="1" si="31"/>
        <v>31</v>
      </c>
    </row>
    <row r="1000" spans="1:11" ht="15.75" customHeight="1">
      <c r="A1000" t="s">
        <v>2683</v>
      </c>
      <c r="B1000">
        <v>1975</v>
      </c>
      <c r="C1000" t="s">
        <v>4714</v>
      </c>
      <c r="D1000">
        <v>21</v>
      </c>
      <c r="E1000">
        <v>1</v>
      </c>
      <c r="F1000" s="16">
        <v>8083.92</v>
      </c>
      <c r="G1000" t="s">
        <v>4700</v>
      </c>
      <c r="H1000" t="s">
        <v>4700</v>
      </c>
      <c r="I1000" t="s">
        <v>4709</v>
      </c>
      <c r="J1000" s="17">
        <f t="shared" si="30"/>
        <v>27749</v>
      </c>
      <c r="K1000">
        <f t="shared" ca="1" si="31"/>
        <v>49</v>
      </c>
    </row>
    <row r="1001" spans="1:11" ht="15.75" customHeight="1">
      <c r="A1001" t="s">
        <v>2681</v>
      </c>
      <c r="B1001">
        <v>1967</v>
      </c>
      <c r="C1001" t="s">
        <v>4711</v>
      </c>
      <c r="D1001">
        <v>10</v>
      </c>
      <c r="E1001">
        <v>0</v>
      </c>
      <c r="F1001" s="16">
        <v>8091.3</v>
      </c>
      <c r="G1001" t="s">
        <v>4700</v>
      </c>
      <c r="H1001" t="s">
        <v>4698</v>
      </c>
      <c r="I1001" t="s">
        <v>4713</v>
      </c>
      <c r="J1001" s="17">
        <f t="shared" si="30"/>
        <v>24633</v>
      </c>
      <c r="K1001">
        <f t="shared" ca="1" si="31"/>
        <v>58</v>
      </c>
    </row>
    <row r="1002" spans="1:11" ht="15.75" customHeight="1">
      <c r="A1002" t="s">
        <v>2679</v>
      </c>
      <c r="B1002">
        <v>1973</v>
      </c>
      <c r="C1002" t="s">
        <v>4717</v>
      </c>
      <c r="D1002">
        <v>11</v>
      </c>
      <c r="E1002">
        <v>0</v>
      </c>
      <c r="F1002" s="16">
        <v>8112.59</v>
      </c>
      <c r="G1002" t="s">
        <v>4699</v>
      </c>
      <c r="H1002" t="s">
        <v>4699</v>
      </c>
      <c r="I1002" t="s">
        <v>4709</v>
      </c>
      <c r="J1002" s="17">
        <f t="shared" si="30"/>
        <v>26948</v>
      </c>
      <c r="K1002">
        <f t="shared" ca="1" si="31"/>
        <v>52</v>
      </c>
    </row>
    <row r="1003" spans="1:11" ht="15.75" customHeight="1">
      <c r="A1003" t="s">
        <v>2677</v>
      </c>
      <c r="B1003">
        <v>1978</v>
      </c>
      <c r="C1003" t="s">
        <v>4712</v>
      </c>
      <c r="D1003">
        <v>1</v>
      </c>
      <c r="E1003">
        <v>2</v>
      </c>
      <c r="F1003" s="16">
        <v>8116.27</v>
      </c>
      <c r="G1003" t="s">
        <v>4700</v>
      </c>
      <c r="H1003" t="s">
        <v>4698</v>
      </c>
      <c r="I1003" t="s">
        <v>4713</v>
      </c>
      <c r="J1003" s="17">
        <f t="shared" si="30"/>
        <v>28734</v>
      </c>
      <c r="K1003">
        <f t="shared" ca="1" si="31"/>
        <v>47</v>
      </c>
    </row>
    <row r="1004" spans="1:11" ht="15.75" customHeight="1">
      <c r="A1004" t="s">
        <v>2675</v>
      </c>
      <c r="B1004">
        <v>1973</v>
      </c>
      <c r="C1004" t="s">
        <v>4714</v>
      </c>
      <c r="D1004">
        <v>16</v>
      </c>
      <c r="E1004">
        <v>0</v>
      </c>
      <c r="F1004" s="16">
        <v>8116.68</v>
      </c>
      <c r="G1004" t="s">
        <v>4700</v>
      </c>
      <c r="H1004" t="s">
        <v>4698</v>
      </c>
      <c r="I1004" t="s">
        <v>4718</v>
      </c>
      <c r="J1004" s="17">
        <f t="shared" si="30"/>
        <v>27014</v>
      </c>
      <c r="K1004">
        <f t="shared" ca="1" si="31"/>
        <v>51</v>
      </c>
    </row>
    <row r="1005" spans="1:11" ht="15.75" customHeight="1">
      <c r="A1005" t="s">
        <v>2673</v>
      </c>
      <c r="B1005">
        <v>1973</v>
      </c>
      <c r="C1005" t="s">
        <v>4716</v>
      </c>
      <c r="D1005">
        <v>30</v>
      </c>
      <c r="E1005">
        <v>0</v>
      </c>
      <c r="F1005" s="16">
        <v>8124.41</v>
      </c>
      <c r="G1005" t="s">
        <v>4700</v>
      </c>
      <c r="H1005" t="s">
        <v>4698</v>
      </c>
      <c r="I1005" t="s">
        <v>4709</v>
      </c>
      <c r="J1005" s="17">
        <f t="shared" si="30"/>
        <v>26906</v>
      </c>
      <c r="K1005">
        <f t="shared" ca="1" si="31"/>
        <v>52</v>
      </c>
    </row>
    <row r="1006" spans="1:11" ht="15.75" customHeight="1">
      <c r="A1006" t="s">
        <v>2671</v>
      </c>
      <c r="B1006">
        <v>1973</v>
      </c>
      <c r="C1006" t="s">
        <v>4712</v>
      </c>
      <c r="D1006">
        <v>3</v>
      </c>
      <c r="E1006">
        <v>0</v>
      </c>
      <c r="F1006" s="16">
        <v>8125.78</v>
      </c>
      <c r="G1006" t="s">
        <v>4699</v>
      </c>
      <c r="H1006" t="s">
        <v>4699</v>
      </c>
      <c r="I1006" t="s">
        <v>4709</v>
      </c>
      <c r="J1006" s="17">
        <f t="shared" si="30"/>
        <v>26910</v>
      </c>
      <c r="K1006">
        <f t="shared" ca="1" si="31"/>
        <v>52</v>
      </c>
    </row>
    <row r="1007" spans="1:11" ht="15.75" customHeight="1">
      <c r="A1007" t="s">
        <v>2669</v>
      </c>
      <c r="B1007">
        <v>1990</v>
      </c>
      <c r="C1007" t="s">
        <v>4711</v>
      </c>
      <c r="D1007">
        <v>21</v>
      </c>
      <c r="E1007">
        <v>3</v>
      </c>
      <c r="F1007" s="16">
        <v>8157.92</v>
      </c>
      <c r="G1007" t="s">
        <v>4699</v>
      </c>
      <c r="H1007" t="s">
        <v>4700</v>
      </c>
      <c r="I1007" t="s">
        <v>4723</v>
      </c>
      <c r="J1007" s="17">
        <f t="shared" si="30"/>
        <v>33045</v>
      </c>
      <c r="K1007">
        <f t="shared" ca="1" si="31"/>
        <v>35</v>
      </c>
    </row>
    <row r="1008" spans="1:11" ht="15.75" customHeight="1">
      <c r="A1008" t="s">
        <v>2667</v>
      </c>
      <c r="B1008">
        <v>1982</v>
      </c>
      <c r="C1008" t="s">
        <v>4711</v>
      </c>
      <c r="D1008">
        <v>28</v>
      </c>
      <c r="E1008">
        <v>4</v>
      </c>
      <c r="F1008" s="16">
        <v>8162.72</v>
      </c>
      <c r="G1008" t="s">
        <v>4700</v>
      </c>
      <c r="H1008" t="s">
        <v>4700</v>
      </c>
      <c r="I1008" t="s">
        <v>4713</v>
      </c>
      <c r="J1008" s="17">
        <f t="shared" si="30"/>
        <v>30130</v>
      </c>
      <c r="K1008">
        <f t="shared" ca="1" si="31"/>
        <v>43</v>
      </c>
    </row>
    <row r="1009" spans="1:11" ht="15.75" customHeight="1">
      <c r="A1009" t="s">
        <v>2665</v>
      </c>
      <c r="B1009">
        <v>1963</v>
      </c>
      <c r="C1009" t="s">
        <v>4710</v>
      </c>
      <c r="D1009">
        <v>5</v>
      </c>
      <c r="E1009">
        <v>0</v>
      </c>
      <c r="F1009" s="16">
        <v>8177.9</v>
      </c>
      <c r="G1009" t="s">
        <v>4700</v>
      </c>
      <c r="H1009" t="s">
        <v>4698</v>
      </c>
      <c r="I1009" t="s">
        <v>4709</v>
      </c>
      <c r="J1009" s="17">
        <f t="shared" si="30"/>
        <v>23320</v>
      </c>
      <c r="K1009">
        <f t="shared" ca="1" si="31"/>
        <v>62</v>
      </c>
    </row>
    <row r="1010" spans="1:11" ht="15.75" customHeight="1">
      <c r="A1010" t="s">
        <v>2663</v>
      </c>
      <c r="B1010">
        <v>1983</v>
      </c>
      <c r="C1010" t="s">
        <v>4711</v>
      </c>
      <c r="D1010">
        <v>8</v>
      </c>
      <c r="E1010">
        <v>3</v>
      </c>
      <c r="F1010" s="16">
        <v>8179.51</v>
      </c>
      <c r="G1010" t="s">
        <v>4699</v>
      </c>
      <c r="H1010" t="s">
        <v>4699</v>
      </c>
      <c r="I1010" t="s">
        <v>4729</v>
      </c>
      <c r="J1010" s="17">
        <f t="shared" si="30"/>
        <v>30475</v>
      </c>
      <c r="K1010">
        <f t="shared" ca="1" si="31"/>
        <v>42</v>
      </c>
    </row>
    <row r="1011" spans="1:11" ht="15.75" customHeight="1">
      <c r="A1011" t="s">
        <v>2661</v>
      </c>
      <c r="B1011">
        <v>1997</v>
      </c>
      <c r="C1011" t="s">
        <v>4717</v>
      </c>
      <c r="D1011">
        <v>21</v>
      </c>
      <c r="E1011">
        <v>0</v>
      </c>
      <c r="F1011" s="16">
        <v>8182.89</v>
      </c>
      <c r="G1011" t="s">
        <v>4699</v>
      </c>
      <c r="H1011" t="s">
        <v>4698</v>
      </c>
      <c r="I1011" t="s">
        <v>4730</v>
      </c>
      <c r="J1011" s="17">
        <f t="shared" si="30"/>
        <v>35724</v>
      </c>
      <c r="K1011">
        <f t="shared" ca="1" si="31"/>
        <v>28</v>
      </c>
    </row>
    <row r="1012" spans="1:11" ht="15.75" customHeight="1">
      <c r="A1012" t="s">
        <v>2659</v>
      </c>
      <c r="B1012">
        <v>1962</v>
      </c>
      <c r="C1012" t="s">
        <v>4710</v>
      </c>
      <c r="D1012">
        <v>23</v>
      </c>
      <c r="E1012">
        <v>0</v>
      </c>
      <c r="F1012" s="16">
        <v>8188.12</v>
      </c>
      <c r="G1012" t="s">
        <v>4700</v>
      </c>
      <c r="H1012" t="s">
        <v>4700</v>
      </c>
      <c r="I1012" t="s">
        <v>4709</v>
      </c>
      <c r="J1012" s="17">
        <f t="shared" si="30"/>
        <v>22973</v>
      </c>
      <c r="K1012">
        <f t="shared" ca="1" si="31"/>
        <v>63</v>
      </c>
    </row>
    <row r="1013" spans="1:11" ht="15.75" customHeight="1">
      <c r="A1013" t="s">
        <v>2657</v>
      </c>
      <c r="B1013">
        <v>1978</v>
      </c>
      <c r="C1013" t="s">
        <v>4717</v>
      </c>
      <c r="D1013">
        <v>24</v>
      </c>
      <c r="E1013">
        <v>2</v>
      </c>
      <c r="F1013" s="16">
        <v>8211.1</v>
      </c>
      <c r="G1013" t="s">
        <v>4699</v>
      </c>
      <c r="H1013" t="s">
        <v>4700</v>
      </c>
      <c r="I1013" t="s">
        <v>4709</v>
      </c>
      <c r="J1013" s="17">
        <f t="shared" si="30"/>
        <v>28787</v>
      </c>
      <c r="K1013">
        <f t="shared" ca="1" si="31"/>
        <v>47</v>
      </c>
    </row>
    <row r="1014" spans="1:11" ht="15.75" customHeight="1">
      <c r="A1014" t="s">
        <v>2655</v>
      </c>
      <c r="B1014">
        <v>1978</v>
      </c>
      <c r="C1014" t="s">
        <v>4711</v>
      </c>
      <c r="D1014">
        <v>30</v>
      </c>
      <c r="E1014">
        <v>2</v>
      </c>
      <c r="F1014" s="16">
        <v>8219.2000000000007</v>
      </c>
      <c r="G1014" t="s">
        <v>4699</v>
      </c>
      <c r="H1014" t="s">
        <v>4699</v>
      </c>
      <c r="I1014" t="s">
        <v>4709</v>
      </c>
      <c r="J1014" s="17">
        <f t="shared" si="30"/>
        <v>28671</v>
      </c>
      <c r="K1014">
        <f t="shared" ca="1" si="31"/>
        <v>47</v>
      </c>
    </row>
    <row r="1015" spans="1:11" ht="15.75" customHeight="1">
      <c r="A1015" t="s">
        <v>2653</v>
      </c>
      <c r="B1015">
        <v>1976</v>
      </c>
      <c r="C1015" t="s">
        <v>4712</v>
      </c>
      <c r="D1015">
        <v>3</v>
      </c>
      <c r="E1015">
        <v>1</v>
      </c>
      <c r="F1015" s="16">
        <v>8232.64</v>
      </c>
      <c r="G1015" t="s">
        <v>4699</v>
      </c>
      <c r="H1015" t="s">
        <v>4700</v>
      </c>
      <c r="I1015" t="s">
        <v>4709</v>
      </c>
      <c r="J1015" s="17">
        <f t="shared" si="30"/>
        <v>28006</v>
      </c>
      <c r="K1015">
        <f t="shared" ca="1" si="31"/>
        <v>49</v>
      </c>
    </row>
    <row r="1016" spans="1:11" ht="15.75" customHeight="1">
      <c r="A1016" t="s">
        <v>2651</v>
      </c>
      <c r="B1016">
        <v>1976</v>
      </c>
      <c r="C1016" t="s">
        <v>4711</v>
      </c>
      <c r="D1016">
        <v>30</v>
      </c>
      <c r="E1016">
        <v>1</v>
      </c>
      <c r="F1016" s="16">
        <v>8233.1</v>
      </c>
      <c r="G1016" t="s">
        <v>4699</v>
      </c>
      <c r="H1016" t="s">
        <v>4699</v>
      </c>
      <c r="I1016" t="s">
        <v>4709</v>
      </c>
      <c r="J1016" s="17">
        <f t="shared" si="30"/>
        <v>27941</v>
      </c>
      <c r="K1016">
        <f t="shared" ca="1" si="31"/>
        <v>49</v>
      </c>
    </row>
    <row r="1017" spans="1:11" ht="15.75" customHeight="1">
      <c r="A1017" t="s">
        <v>2649</v>
      </c>
      <c r="B1017">
        <v>1976</v>
      </c>
      <c r="C1017" t="s">
        <v>4712</v>
      </c>
      <c r="D1017">
        <v>2</v>
      </c>
      <c r="E1017">
        <v>1</v>
      </c>
      <c r="F1017" s="16">
        <v>8240.59</v>
      </c>
      <c r="G1017" t="s">
        <v>4699</v>
      </c>
      <c r="H1017" t="s">
        <v>4699</v>
      </c>
      <c r="I1017" t="s">
        <v>4709</v>
      </c>
      <c r="J1017" s="17">
        <f t="shared" si="30"/>
        <v>28005</v>
      </c>
      <c r="K1017">
        <f t="shared" ca="1" si="31"/>
        <v>49</v>
      </c>
    </row>
    <row r="1018" spans="1:11" ht="15.75" customHeight="1">
      <c r="A1018" t="s">
        <v>2647</v>
      </c>
      <c r="B1018">
        <v>1982</v>
      </c>
      <c r="C1018" t="s">
        <v>4712</v>
      </c>
      <c r="D1018">
        <v>27</v>
      </c>
      <c r="E1018">
        <v>3</v>
      </c>
      <c r="F1018" s="16">
        <v>8252.2800000000007</v>
      </c>
      <c r="G1018" t="s">
        <v>4699</v>
      </c>
      <c r="H1018" t="s">
        <v>4699</v>
      </c>
      <c r="I1018" t="s">
        <v>4724</v>
      </c>
      <c r="J1018" s="17">
        <f t="shared" si="30"/>
        <v>30221</v>
      </c>
      <c r="K1018">
        <f t="shared" ca="1" si="31"/>
        <v>43</v>
      </c>
    </row>
    <row r="1019" spans="1:11" ht="15.75" customHeight="1">
      <c r="A1019" t="s">
        <v>2645</v>
      </c>
      <c r="B1019">
        <v>1964</v>
      </c>
      <c r="C1019" t="s">
        <v>4712</v>
      </c>
      <c r="D1019">
        <v>5</v>
      </c>
      <c r="E1019">
        <v>0</v>
      </c>
      <c r="F1019" s="16">
        <v>8268</v>
      </c>
      <c r="G1019" t="s">
        <v>4700</v>
      </c>
      <c r="H1019" t="s">
        <v>4700</v>
      </c>
      <c r="I1019" t="s">
        <v>4709</v>
      </c>
      <c r="J1019" s="17">
        <f t="shared" si="30"/>
        <v>23625</v>
      </c>
      <c r="K1019">
        <f t="shared" ca="1" si="31"/>
        <v>61</v>
      </c>
    </row>
    <row r="1020" spans="1:11" ht="15.75" customHeight="1">
      <c r="A1020" t="s">
        <v>2643</v>
      </c>
      <c r="B1020">
        <v>1974</v>
      </c>
      <c r="C1020" t="s">
        <v>4716</v>
      </c>
      <c r="D1020">
        <v>5</v>
      </c>
      <c r="E1020">
        <v>0</v>
      </c>
      <c r="F1020" s="16">
        <v>8269.0400000000009</v>
      </c>
      <c r="G1020" t="s">
        <v>4699</v>
      </c>
      <c r="H1020" t="s">
        <v>4698</v>
      </c>
      <c r="I1020" t="s">
        <v>4718</v>
      </c>
      <c r="J1020" s="17">
        <f t="shared" si="30"/>
        <v>27246</v>
      </c>
      <c r="K1020">
        <f t="shared" ca="1" si="31"/>
        <v>51</v>
      </c>
    </row>
    <row r="1021" spans="1:11" ht="15.75" customHeight="1">
      <c r="A1021" t="s">
        <v>2641</v>
      </c>
      <c r="B1021">
        <v>2000</v>
      </c>
      <c r="C1021" t="s">
        <v>4710</v>
      </c>
      <c r="D1021">
        <v>28</v>
      </c>
      <c r="E1021">
        <v>0</v>
      </c>
      <c r="F1021" s="16">
        <v>8271.4599999999991</v>
      </c>
      <c r="G1021" t="s">
        <v>4699</v>
      </c>
      <c r="H1021" t="s">
        <v>4698</v>
      </c>
      <c r="I1021" t="s">
        <v>4725</v>
      </c>
      <c r="J1021" s="17">
        <f t="shared" si="30"/>
        <v>36858</v>
      </c>
      <c r="K1021">
        <f t="shared" ca="1" si="31"/>
        <v>24</v>
      </c>
    </row>
    <row r="1022" spans="1:11" ht="15.75" customHeight="1">
      <c r="A1022" t="s">
        <v>2639</v>
      </c>
      <c r="B1022">
        <v>1974</v>
      </c>
      <c r="C1022" t="s">
        <v>4712</v>
      </c>
      <c r="D1022">
        <v>26</v>
      </c>
      <c r="E1022">
        <v>0</v>
      </c>
      <c r="F1022" s="16">
        <v>8277.52</v>
      </c>
      <c r="G1022" t="s">
        <v>4699</v>
      </c>
      <c r="H1022" t="s">
        <v>4699</v>
      </c>
      <c r="I1022" t="s">
        <v>4718</v>
      </c>
      <c r="J1022" s="17">
        <f t="shared" si="30"/>
        <v>27298</v>
      </c>
      <c r="K1022">
        <f t="shared" ca="1" si="31"/>
        <v>51</v>
      </c>
    </row>
    <row r="1023" spans="1:11" ht="15.75" customHeight="1">
      <c r="A1023" t="s">
        <v>2637</v>
      </c>
      <c r="B1023">
        <v>1974</v>
      </c>
      <c r="C1023" t="s">
        <v>4714</v>
      </c>
      <c r="D1023">
        <v>22</v>
      </c>
      <c r="E1023">
        <v>0</v>
      </c>
      <c r="F1023" s="16">
        <v>8280.6200000000008</v>
      </c>
      <c r="G1023" t="s">
        <v>4699</v>
      </c>
      <c r="H1023" t="s">
        <v>4699</v>
      </c>
      <c r="I1023" t="s">
        <v>4709</v>
      </c>
      <c r="J1023" s="17">
        <f t="shared" si="30"/>
        <v>27385</v>
      </c>
      <c r="K1023">
        <f t="shared" ca="1" si="31"/>
        <v>50</v>
      </c>
    </row>
    <row r="1024" spans="1:11" ht="15.75" customHeight="1">
      <c r="A1024" t="s">
        <v>2635</v>
      </c>
      <c r="B1024">
        <v>1974</v>
      </c>
      <c r="C1024" t="s">
        <v>4711</v>
      </c>
      <c r="D1024">
        <v>6</v>
      </c>
      <c r="E1024">
        <v>0</v>
      </c>
      <c r="F1024" s="16">
        <v>8283.68</v>
      </c>
      <c r="G1024" t="s">
        <v>4699</v>
      </c>
      <c r="H1024" t="s">
        <v>4700</v>
      </c>
      <c r="I1024" t="s">
        <v>4709</v>
      </c>
      <c r="J1024" s="17">
        <f t="shared" si="30"/>
        <v>27186</v>
      </c>
      <c r="K1024">
        <f t="shared" ca="1" si="31"/>
        <v>51</v>
      </c>
    </row>
    <row r="1025" spans="1:11" ht="15.75" customHeight="1">
      <c r="A1025" t="s">
        <v>2633</v>
      </c>
      <c r="B1025">
        <v>1978</v>
      </c>
      <c r="C1025" t="s">
        <v>4711</v>
      </c>
      <c r="D1025">
        <v>26</v>
      </c>
      <c r="E1025">
        <v>2</v>
      </c>
      <c r="F1025" s="16">
        <v>8302.5400000000009</v>
      </c>
      <c r="G1025" t="s">
        <v>4700</v>
      </c>
      <c r="H1025" t="s">
        <v>4700</v>
      </c>
      <c r="I1025" t="s">
        <v>4721</v>
      </c>
      <c r="J1025" s="17">
        <f t="shared" si="30"/>
        <v>28667</v>
      </c>
      <c r="K1025">
        <f t="shared" ca="1" si="31"/>
        <v>47</v>
      </c>
    </row>
    <row r="1026" spans="1:11" ht="15.75" customHeight="1">
      <c r="A1026" t="s">
        <v>2631</v>
      </c>
      <c r="B1026">
        <v>1979</v>
      </c>
      <c r="C1026" t="s">
        <v>4716</v>
      </c>
      <c r="D1026">
        <v>7</v>
      </c>
      <c r="E1026">
        <v>2</v>
      </c>
      <c r="F1026" s="16">
        <v>8310.84</v>
      </c>
      <c r="G1026" t="s">
        <v>4699</v>
      </c>
      <c r="H1026" t="s">
        <v>4699</v>
      </c>
      <c r="I1026" t="s">
        <v>4713</v>
      </c>
      <c r="J1026" s="17">
        <f t="shared" si="30"/>
        <v>29074</v>
      </c>
      <c r="K1026">
        <f t="shared" ca="1" si="31"/>
        <v>46</v>
      </c>
    </row>
    <row r="1027" spans="1:11" ht="15.75" customHeight="1">
      <c r="A1027" t="s">
        <v>2629</v>
      </c>
      <c r="B1027">
        <v>1993</v>
      </c>
      <c r="C1027" t="s">
        <v>4711</v>
      </c>
      <c r="D1027">
        <v>22</v>
      </c>
      <c r="E1027">
        <v>0</v>
      </c>
      <c r="F1027" s="16">
        <v>8314.65</v>
      </c>
      <c r="G1027" t="s">
        <v>4699</v>
      </c>
      <c r="H1027" t="s">
        <v>4698</v>
      </c>
      <c r="I1027" t="s">
        <v>4713</v>
      </c>
      <c r="J1027" s="17">
        <f t="shared" ref="J1027:J1090" si="32">DATEVALUE(D1027&amp;"-"&amp;C1027&amp;" -"&amp;B1027)</f>
        <v>34142</v>
      </c>
      <c r="K1027">
        <f t="shared" ref="K1027:K1090" ca="1" si="33">DATEDIF(J1027,TODAY(),"Y")</f>
        <v>32</v>
      </c>
    </row>
    <row r="1028" spans="1:11" ht="15.75" customHeight="1">
      <c r="A1028" t="s">
        <v>2627</v>
      </c>
      <c r="B1028">
        <v>1976</v>
      </c>
      <c r="C1028" t="s">
        <v>4708</v>
      </c>
      <c r="D1028">
        <v>12</v>
      </c>
      <c r="E1028">
        <v>1</v>
      </c>
      <c r="F1028" s="16">
        <v>8334.4599999999991</v>
      </c>
      <c r="G1028" t="s">
        <v>4700</v>
      </c>
      <c r="H1028" t="s">
        <v>4699</v>
      </c>
      <c r="I1028" t="s">
        <v>4721</v>
      </c>
      <c r="J1028" s="17">
        <f t="shared" si="32"/>
        <v>27953</v>
      </c>
      <c r="K1028">
        <f t="shared" ca="1" si="33"/>
        <v>49</v>
      </c>
    </row>
    <row r="1029" spans="1:11" ht="15.75" customHeight="1">
      <c r="A1029" t="s">
        <v>2625</v>
      </c>
      <c r="B1029">
        <v>1976</v>
      </c>
      <c r="C1029" t="s">
        <v>4708</v>
      </c>
      <c r="D1029">
        <v>20</v>
      </c>
      <c r="E1029">
        <v>1</v>
      </c>
      <c r="F1029" s="16">
        <v>8334.59</v>
      </c>
      <c r="G1029" t="s">
        <v>4700</v>
      </c>
      <c r="H1029" t="s">
        <v>4699</v>
      </c>
      <c r="I1029" t="s">
        <v>4721</v>
      </c>
      <c r="J1029" s="17">
        <f t="shared" si="32"/>
        <v>27961</v>
      </c>
      <c r="K1029">
        <f t="shared" ca="1" si="33"/>
        <v>49</v>
      </c>
    </row>
    <row r="1030" spans="1:11" ht="15.75" customHeight="1">
      <c r="A1030" t="s">
        <v>2623</v>
      </c>
      <c r="B1030">
        <v>1976</v>
      </c>
      <c r="C1030" t="s">
        <v>4708</v>
      </c>
      <c r="D1030">
        <v>7</v>
      </c>
      <c r="E1030">
        <v>1</v>
      </c>
      <c r="F1030" s="16">
        <v>8342.91</v>
      </c>
      <c r="G1030" t="s">
        <v>4700</v>
      </c>
      <c r="H1030" t="s">
        <v>4698</v>
      </c>
      <c r="I1030" t="s">
        <v>4721</v>
      </c>
      <c r="J1030" s="17">
        <f t="shared" si="32"/>
        <v>27948</v>
      </c>
      <c r="K1030">
        <f t="shared" ca="1" si="33"/>
        <v>49</v>
      </c>
    </row>
    <row r="1031" spans="1:11" ht="15.75" customHeight="1">
      <c r="A1031" t="s">
        <v>2621</v>
      </c>
      <c r="B1031">
        <v>1976</v>
      </c>
      <c r="C1031" t="s">
        <v>4711</v>
      </c>
      <c r="D1031">
        <v>12</v>
      </c>
      <c r="E1031">
        <v>2</v>
      </c>
      <c r="F1031" s="16">
        <v>8347.16</v>
      </c>
      <c r="G1031" t="s">
        <v>4699</v>
      </c>
      <c r="H1031" t="s">
        <v>4698</v>
      </c>
      <c r="I1031" t="s">
        <v>4709</v>
      </c>
      <c r="J1031" s="17">
        <f t="shared" si="32"/>
        <v>27923</v>
      </c>
      <c r="K1031">
        <f t="shared" ca="1" si="33"/>
        <v>49</v>
      </c>
    </row>
    <row r="1032" spans="1:11" ht="15.75" customHeight="1">
      <c r="A1032" t="s">
        <v>2619</v>
      </c>
      <c r="B1032">
        <v>1963</v>
      </c>
      <c r="C1032" t="s">
        <v>4712</v>
      </c>
      <c r="D1032">
        <v>21</v>
      </c>
      <c r="E1032">
        <v>0</v>
      </c>
      <c r="F1032" s="16">
        <v>8355.5400000000009</v>
      </c>
      <c r="G1032" t="s">
        <v>4700</v>
      </c>
      <c r="H1032" t="s">
        <v>4700</v>
      </c>
      <c r="I1032" t="s">
        <v>4713</v>
      </c>
      <c r="J1032" s="17">
        <f t="shared" si="32"/>
        <v>23275</v>
      </c>
      <c r="K1032">
        <f t="shared" ca="1" si="33"/>
        <v>62</v>
      </c>
    </row>
    <row r="1033" spans="1:11" ht="15.75" customHeight="1">
      <c r="A1033" t="s">
        <v>2617</v>
      </c>
      <c r="B1033">
        <v>1971</v>
      </c>
      <c r="C1033" t="s">
        <v>4712</v>
      </c>
      <c r="D1033">
        <v>4</v>
      </c>
      <c r="E1033">
        <v>0</v>
      </c>
      <c r="F1033" s="16">
        <v>8396.6200000000008</v>
      </c>
      <c r="G1033" t="s">
        <v>4699</v>
      </c>
      <c r="H1033" t="s">
        <v>4700</v>
      </c>
      <c r="I1033" t="s">
        <v>4709</v>
      </c>
      <c r="J1033" s="17">
        <f t="shared" si="32"/>
        <v>26180</v>
      </c>
      <c r="K1033">
        <f t="shared" ca="1" si="33"/>
        <v>54</v>
      </c>
    </row>
    <row r="1034" spans="1:11" ht="15.75" customHeight="1">
      <c r="A1034" t="s">
        <v>2615</v>
      </c>
      <c r="B1034">
        <v>1971</v>
      </c>
      <c r="C1034" t="s">
        <v>4712</v>
      </c>
      <c r="D1034">
        <v>18</v>
      </c>
      <c r="E1034">
        <v>0</v>
      </c>
      <c r="F1034" s="16">
        <v>8400.01</v>
      </c>
      <c r="G1034" t="s">
        <v>4699</v>
      </c>
      <c r="H1034" t="s">
        <v>4700</v>
      </c>
      <c r="I1034" t="s">
        <v>4709</v>
      </c>
      <c r="J1034" s="17">
        <f t="shared" si="32"/>
        <v>26194</v>
      </c>
      <c r="K1034">
        <f t="shared" ca="1" si="33"/>
        <v>54</v>
      </c>
    </row>
    <row r="1035" spans="1:11" ht="15.75" customHeight="1">
      <c r="A1035" t="s">
        <v>2613</v>
      </c>
      <c r="B1035">
        <v>1979</v>
      </c>
      <c r="C1035" t="s">
        <v>4711</v>
      </c>
      <c r="D1035">
        <v>11</v>
      </c>
      <c r="E1035">
        <v>3</v>
      </c>
      <c r="F1035" s="16">
        <v>8410.0499999999993</v>
      </c>
      <c r="G1035" t="s">
        <v>4699</v>
      </c>
      <c r="H1035" t="s">
        <v>4699</v>
      </c>
      <c r="I1035" t="s">
        <v>4713</v>
      </c>
      <c r="J1035" s="17">
        <f t="shared" si="32"/>
        <v>29017</v>
      </c>
      <c r="K1035">
        <f t="shared" ca="1" si="33"/>
        <v>46</v>
      </c>
    </row>
    <row r="1036" spans="1:11" ht="15.75" customHeight="1">
      <c r="A1036" t="s">
        <v>2611</v>
      </c>
      <c r="B1036">
        <v>1977</v>
      </c>
      <c r="C1036" t="s">
        <v>4712</v>
      </c>
      <c r="D1036">
        <v>4</v>
      </c>
      <c r="E1036">
        <v>2</v>
      </c>
      <c r="F1036" s="16">
        <v>8413.4599999999991</v>
      </c>
      <c r="G1036" t="s">
        <v>4700</v>
      </c>
      <c r="H1036" t="s">
        <v>4698</v>
      </c>
      <c r="I1036" t="s">
        <v>4713</v>
      </c>
      <c r="J1036" s="17">
        <f t="shared" si="32"/>
        <v>28372</v>
      </c>
      <c r="K1036">
        <f t="shared" ca="1" si="33"/>
        <v>48</v>
      </c>
    </row>
    <row r="1037" spans="1:11" ht="15.75" customHeight="1">
      <c r="A1037" t="s">
        <v>2609</v>
      </c>
      <c r="B1037">
        <v>1975</v>
      </c>
      <c r="C1037" t="s">
        <v>4712</v>
      </c>
      <c r="D1037">
        <v>28</v>
      </c>
      <c r="E1037">
        <v>1</v>
      </c>
      <c r="F1037" s="16">
        <v>8428.07</v>
      </c>
      <c r="G1037" t="s">
        <v>4700</v>
      </c>
      <c r="H1037" t="s">
        <v>4699</v>
      </c>
      <c r="I1037" t="s">
        <v>4713</v>
      </c>
      <c r="J1037" s="17">
        <f t="shared" si="32"/>
        <v>27665</v>
      </c>
      <c r="K1037">
        <f t="shared" ca="1" si="33"/>
        <v>50</v>
      </c>
    </row>
    <row r="1038" spans="1:11" ht="15.75" customHeight="1">
      <c r="A1038" t="s">
        <v>2607</v>
      </c>
      <c r="B1038">
        <v>1963</v>
      </c>
      <c r="C1038" t="s">
        <v>4712</v>
      </c>
      <c r="D1038">
        <v>24</v>
      </c>
      <c r="E1038">
        <v>0</v>
      </c>
      <c r="F1038" s="16">
        <v>8440.0499999999993</v>
      </c>
      <c r="G1038" t="s">
        <v>4700</v>
      </c>
      <c r="H1038" t="s">
        <v>4699</v>
      </c>
      <c r="I1038" t="s">
        <v>4709</v>
      </c>
      <c r="J1038" s="17">
        <f t="shared" si="32"/>
        <v>23278</v>
      </c>
      <c r="K1038">
        <f t="shared" ca="1" si="33"/>
        <v>62</v>
      </c>
    </row>
    <row r="1039" spans="1:11" ht="15.75" customHeight="1">
      <c r="A1039" t="s">
        <v>2605</v>
      </c>
      <c r="B1039">
        <v>1972</v>
      </c>
      <c r="C1039" t="s">
        <v>4712</v>
      </c>
      <c r="D1039">
        <v>9</v>
      </c>
      <c r="E1039">
        <v>0</v>
      </c>
      <c r="F1039" s="16">
        <v>8442.67</v>
      </c>
      <c r="G1039" t="s">
        <v>4699</v>
      </c>
      <c r="H1039" t="s">
        <v>4700</v>
      </c>
      <c r="I1039" t="s">
        <v>4709</v>
      </c>
      <c r="J1039" s="17">
        <f t="shared" si="32"/>
        <v>26551</v>
      </c>
      <c r="K1039">
        <f t="shared" ca="1" si="33"/>
        <v>53</v>
      </c>
    </row>
    <row r="1040" spans="1:11" ht="15.75" customHeight="1">
      <c r="A1040" t="s">
        <v>2603</v>
      </c>
      <c r="B1040">
        <v>1972</v>
      </c>
      <c r="C1040" t="s">
        <v>4712</v>
      </c>
      <c r="D1040">
        <v>4</v>
      </c>
      <c r="E1040">
        <v>0</v>
      </c>
      <c r="F1040" s="16">
        <v>8444.4699999999993</v>
      </c>
      <c r="G1040" t="s">
        <v>4700</v>
      </c>
      <c r="H1040" t="s">
        <v>4698</v>
      </c>
      <c r="I1040" t="s">
        <v>4718</v>
      </c>
      <c r="J1040" s="17">
        <f t="shared" si="32"/>
        <v>26546</v>
      </c>
      <c r="K1040">
        <f t="shared" ca="1" si="33"/>
        <v>53</v>
      </c>
    </row>
    <row r="1041" spans="1:11" ht="15.75" customHeight="1">
      <c r="A1041" t="s">
        <v>2601</v>
      </c>
      <c r="B1041">
        <v>1966</v>
      </c>
      <c r="C1041" t="s">
        <v>4711</v>
      </c>
      <c r="D1041">
        <v>12</v>
      </c>
      <c r="E1041">
        <v>0</v>
      </c>
      <c r="F1041" s="16">
        <v>8448.66</v>
      </c>
      <c r="G1041" t="s">
        <v>4700</v>
      </c>
      <c r="H1041" t="s">
        <v>4698</v>
      </c>
      <c r="I1041" t="s">
        <v>4709</v>
      </c>
      <c r="J1041" s="17">
        <f t="shared" si="32"/>
        <v>24270</v>
      </c>
      <c r="K1041">
        <f t="shared" ca="1" si="33"/>
        <v>59</v>
      </c>
    </row>
    <row r="1042" spans="1:11" ht="15.75" customHeight="1">
      <c r="A1042" t="s">
        <v>2599</v>
      </c>
      <c r="B1042">
        <v>1984</v>
      </c>
      <c r="C1042" t="s">
        <v>4711</v>
      </c>
      <c r="D1042">
        <v>19</v>
      </c>
      <c r="E1042">
        <v>3</v>
      </c>
      <c r="F1042" s="16">
        <v>8450.82</v>
      </c>
      <c r="G1042" t="s">
        <v>4699</v>
      </c>
      <c r="H1042" t="s">
        <v>4699</v>
      </c>
      <c r="I1042" t="s">
        <v>4723</v>
      </c>
      <c r="J1042" s="17">
        <f t="shared" si="32"/>
        <v>30852</v>
      </c>
      <c r="K1042">
        <f t="shared" ca="1" si="33"/>
        <v>41</v>
      </c>
    </row>
    <row r="1043" spans="1:11" ht="15.75" customHeight="1">
      <c r="A1043" t="s">
        <v>2597</v>
      </c>
      <c r="B1043">
        <v>1972</v>
      </c>
      <c r="C1043" t="s">
        <v>4714</v>
      </c>
      <c r="D1043">
        <v>26</v>
      </c>
      <c r="E1043">
        <v>0</v>
      </c>
      <c r="F1043" s="16">
        <v>8457.82</v>
      </c>
      <c r="G1043" t="s">
        <v>4699</v>
      </c>
      <c r="H1043" t="s">
        <v>4700</v>
      </c>
      <c r="I1043" t="s">
        <v>4718</v>
      </c>
      <c r="J1043" s="17">
        <f t="shared" si="32"/>
        <v>26659</v>
      </c>
      <c r="K1043">
        <f t="shared" ca="1" si="33"/>
        <v>52</v>
      </c>
    </row>
    <row r="1044" spans="1:11" ht="15.75" customHeight="1">
      <c r="A1044" t="s">
        <v>2595</v>
      </c>
      <c r="B1044">
        <v>1992</v>
      </c>
      <c r="C1044" t="s">
        <v>4712</v>
      </c>
      <c r="D1044">
        <v>9</v>
      </c>
      <c r="E1044">
        <v>0</v>
      </c>
      <c r="F1044" s="16">
        <v>8466.35</v>
      </c>
      <c r="G1044" t="s">
        <v>4699</v>
      </c>
      <c r="H1044" t="s">
        <v>4699</v>
      </c>
      <c r="I1044" t="s">
        <v>4713</v>
      </c>
      <c r="J1044" s="17">
        <f t="shared" si="32"/>
        <v>33856</v>
      </c>
      <c r="K1044">
        <f t="shared" ca="1" si="33"/>
        <v>33</v>
      </c>
    </row>
    <row r="1045" spans="1:11" ht="15.75" customHeight="1">
      <c r="A1045" t="s">
        <v>2593</v>
      </c>
      <c r="B1045">
        <v>1993</v>
      </c>
      <c r="C1045" t="s">
        <v>4710</v>
      </c>
      <c r="D1045">
        <v>10</v>
      </c>
      <c r="E1045">
        <v>0</v>
      </c>
      <c r="F1045" s="16">
        <v>8471.65</v>
      </c>
      <c r="G1045" t="s">
        <v>4699</v>
      </c>
      <c r="H1045" t="s">
        <v>4698</v>
      </c>
      <c r="I1045" t="s">
        <v>4713</v>
      </c>
      <c r="J1045" s="17">
        <f t="shared" si="32"/>
        <v>34283</v>
      </c>
      <c r="K1045">
        <f t="shared" ca="1" si="33"/>
        <v>32</v>
      </c>
    </row>
    <row r="1046" spans="1:11" ht="15.75" customHeight="1">
      <c r="A1046" t="s">
        <v>2591</v>
      </c>
      <c r="B1046">
        <v>1977</v>
      </c>
      <c r="C1046" t="s">
        <v>4714</v>
      </c>
      <c r="D1046">
        <v>26</v>
      </c>
      <c r="E1046">
        <v>2</v>
      </c>
      <c r="F1046" s="16">
        <v>8515.76</v>
      </c>
      <c r="G1046" t="s">
        <v>4699</v>
      </c>
      <c r="H1046" t="s">
        <v>4699</v>
      </c>
      <c r="I1046" t="s">
        <v>4709</v>
      </c>
      <c r="J1046" s="17">
        <f t="shared" si="32"/>
        <v>28485</v>
      </c>
      <c r="K1046">
        <f t="shared" ca="1" si="33"/>
        <v>47</v>
      </c>
    </row>
    <row r="1047" spans="1:11" ht="15.75" customHeight="1">
      <c r="A1047" t="s">
        <v>2589</v>
      </c>
      <c r="B1047">
        <v>1977</v>
      </c>
      <c r="C1047" t="s">
        <v>4711</v>
      </c>
      <c r="D1047">
        <v>21</v>
      </c>
      <c r="E1047">
        <v>2</v>
      </c>
      <c r="F1047" s="16">
        <v>8516.83</v>
      </c>
      <c r="G1047" t="s">
        <v>4699</v>
      </c>
      <c r="H1047" t="s">
        <v>4698</v>
      </c>
      <c r="I1047" t="s">
        <v>4709</v>
      </c>
      <c r="J1047" s="17">
        <f t="shared" si="32"/>
        <v>28297</v>
      </c>
      <c r="K1047">
        <f t="shared" ca="1" si="33"/>
        <v>48</v>
      </c>
    </row>
    <row r="1048" spans="1:11" ht="15.75" customHeight="1">
      <c r="A1048" t="s">
        <v>2587</v>
      </c>
      <c r="B1048">
        <v>1977</v>
      </c>
      <c r="C1048" t="s">
        <v>4714</v>
      </c>
      <c r="D1048">
        <v>29</v>
      </c>
      <c r="E1048">
        <v>2</v>
      </c>
      <c r="F1048" s="16">
        <v>8520.0300000000007</v>
      </c>
      <c r="G1048" t="s">
        <v>4699</v>
      </c>
      <c r="H1048" t="s">
        <v>4700</v>
      </c>
      <c r="I1048" t="s">
        <v>4718</v>
      </c>
      <c r="J1048" s="17">
        <f t="shared" si="32"/>
        <v>28488</v>
      </c>
      <c r="K1048">
        <f t="shared" ca="1" si="33"/>
        <v>47</v>
      </c>
    </row>
    <row r="1049" spans="1:11" ht="15.75" customHeight="1">
      <c r="A1049" t="s">
        <v>2585</v>
      </c>
      <c r="B1049">
        <v>1979</v>
      </c>
      <c r="C1049" t="s">
        <v>4716</v>
      </c>
      <c r="D1049">
        <v>13</v>
      </c>
      <c r="E1049">
        <v>3</v>
      </c>
      <c r="F1049" s="16">
        <v>8522</v>
      </c>
      <c r="G1049" t="s">
        <v>4699</v>
      </c>
      <c r="H1049" t="s">
        <v>4699</v>
      </c>
      <c r="I1049" t="s">
        <v>4718</v>
      </c>
      <c r="J1049" s="17">
        <f t="shared" si="32"/>
        <v>29080</v>
      </c>
      <c r="K1049">
        <f t="shared" ca="1" si="33"/>
        <v>46</v>
      </c>
    </row>
    <row r="1050" spans="1:11" ht="15.75" customHeight="1">
      <c r="A1050" t="s">
        <v>2583</v>
      </c>
      <c r="B1050">
        <v>1977</v>
      </c>
      <c r="C1050" t="s">
        <v>4708</v>
      </c>
      <c r="D1050">
        <v>26</v>
      </c>
      <c r="E1050">
        <v>2</v>
      </c>
      <c r="F1050" s="16">
        <v>8527.5300000000007</v>
      </c>
      <c r="G1050" t="s">
        <v>4699</v>
      </c>
      <c r="H1050" t="s">
        <v>4699</v>
      </c>
      <c r="I1050" t="s">
        <v>4709</v>
      </c>
      <c r="J1050" s="17">
        <f t="shared" si="32"/>
        <v>28332</v>
      </c>
      <c r="K1050">
        <f t="shared" ca="1" si="33"/>
        <v>48</v>
      </c>
    </row>
    <row r="1051" spans="1:11" ht="15.75" customHeight="1">
      <c r="A1051" t="s">
        <v>2581</v>
      </c>
      <c r="B1051" t="s">
        <v>4697</v>
      </c>
      <c r="C1051" t="s">
        <v>4708</v>
      </c>
      <c r="D1051">
        <v>24</v>
      </c>
      <c r="E1051">
        <v>0</v>
      </c>
      <c r="F1051" s="16">
        <v>8534.67</v>
      </c>
      <c r="G1051" t="s">
        <v>4699</v>
      </c>
      <c r="H1051" t="s">
        <v>4700</v>
      </c>
      <c r="I1051" t="s">
        <v>4724</v>
      </c>
      <c r="J1051" s="17" t="e">
        <f t="shared" si="32"/>
        <v>#VALUE!</v>
      </c>
      <c r="K1051" t="e">
        <f t="shared" ca="1" si="33"/>
        <v>#VALUE!</v>
      </c>
    </row>
    <row r="1052" spans="1:11" ht="15.75" customHeight="1">
      <c r="A1052" t="s">
        <v>2579</v>
      </c>
      <c r="B1052">
        <v>1981</v>
      </c>
      <c r="C1052" t="s">
        <v>4714</v>
      </c>
      <c r="D1052">
        <v>27</v>
      </c>
      <c r="E1052">
        <v>3</v>
      </c>
      <c r="F1052" s="16">
        <v>8538.2900000000009</v>
      </c>
      <c r="G1052" t="s">
        <v>4699</v>
      </c>
      <c r="H1052" t="s">
        <v>4700</v>
      </c>
      <c r="I1052" t="s">
        <v>4724</v>
      </c>
      <c r="J1052" s="17">
        <f t="shared" si="32"/>
        <v>29947</v>
      </c>
      <c r="K1052">
        <f t="shared" ca="1" si="33"/>
        <v>43</v>
      </c>
    </row>
    <row r="1053" spans="1:11" ht="15.75" customHeight="1">
      <c r="A1053" t="s">
        <v>2577</v>
      </c>
      <c r="B1053">
        <v>1975</v>
      </c>
      <c r="C1053" t="s">
        <v>4710</v>
      </c>
      <c r="D1053">
        <v>6</v>
      </c>
      <c r="E1053">
        <v>1</v>
      </c>
      <c r="F1053" s="16">
        <v>8539.67</v>
      </c>
      <c r="G1053" t="s">
        <v>4699</v>
      </c>
      <c r="H1053" t="s">
        <v>4700</v>
      </c>
      <c r="I1053" t="s">
        <v>4718</v>
      </c>
      <c r="J1053" s="17">
        <f t="shared" si="32"/>
        <v>27704</v>
      </c>
      <c r="K1053">
        <f t="shared" ca="1" si="33"/>
        <v>50</v>
      </c>
    </row>
    <row r="1054" spans="1:11" ht="15.75" customHeight="1">
      <c r="A1054" t="s">
        <v>2575</v>
      </c>
      <c r="B1054" t="s">
        <v>4697</v>
      </c>
      <c r="C1054" t="s">
        <v>4714</v>
      </c>
      <c r="D1054">
        <v>12</v>
      </c>
      <c r="E1054">
        <v>1</v>
      </c>
      <c r="F1054" s="16">
        <v>8547.69</v>
      </c>
      <c r="G1054" t="s">
        <v>4699</v>
      </c>
      <c r="H1054" t="s">
        <v>4698</v>
      </c>
      <c r="I1054" t="s">
        <v>4709</v>
      </c>
      <c r="J1054" s="17" t="e">
        <f t="shared" si="32"/>
        <v>#VALUE!</v>
      </c>
      <c r="K1054" t="e">
        <f t="shared" ca="1" si="33"/>
        <v>#VALUE!</v>
      </c>
    </row>
    <row r="1055" spans="1:11" ht="15.75" customHeight="1">
      <c r="A1055" t="s">
        <v>2573</v>
      </c>
      <c r="B1055">
        <v>1975</v>
      </c>
      <c r="C1055" t="s">
        <v>4716</v>
      </c>
      <c r="D1055">
        <v>6</v>
      </c>
      <c r="E1055">
        <v>1</v>
      </c>
      <c r="F1055" s="16">
        <v>8551.35</v>
      </c>
      <c r="G1055" t="s">
        <v>4699</v>
      </c>
      <c r="H1055" t="s">
        <v>4699</v>
      </c>
      <c r="I1055" t="s">
        <v>4718</v>
      </c>
      <c r="J1055" s="17">
        <f t="shared" si="32"/>
        <v>27612</v>
      </c>
      <c r="K1055">
        <f t="shared" ca="1" si="33"/>
        <v>50</v>
      </c>
    </row>
    <row r="1056" spans="1:11" ht="15.75" customHeight="1">
      <c r="A1056" t="s">
        <v>2571</v>
      </c>
      <c r="B1056">
        <v>1975</v>
      </c>
      <c r="C1056" t="s">
        <v>4716</v>
      </c>
      <c r="D1056">
        <v>21</v>
      </c>
      <c r="E1056">
        <v>1</v>
      </c>
      <c r="F1056" s="16">
        <v>8556.91</v>
      </c>
      <c r="G1056" t="s">
        <v>4699</v>
      </c>
      <c r="H1056" t="s">
        <v>4698</v>
      </c>
      <c r="I1056" t="s">
        <v>4718</v>
      </c>
      <c r="J1056" s="17">
        <f t="shared" si="32"/>
        <v>27627</v>
      </c>
      <c r="K1056">
        <f t="shared" ca="1" si="33"/>
        <v>50</v>
      </c>
    </row>
    <row r="1057" spans="1:11" ht="15.75" customHeight="1">
      <c r="A1057" t="s">
        <v>2569</v>
      </c>
      <c r="B1057">
        <v>1988</v>
      </c>
      <c r="C1057" t="s">
        <v>4712</v>
      </c>
      <c r="D1057">
        <v>21</v>
      </c>
      <c r="E1057">
        <v>3</v>
      </c>
      <c r="F1057" s="16">
        <v>8567.25</v>
      </c>
      <c r="G1057" t="s">
        <v>4699</v>
      </c>
      <c r="H1057" t="s">
        <v>4698</v>
      </c>
      <c r="I1057" t="s">
        <v>4713</v>
      </c>
      <c r="J1057" s="17">
        <f t="shared" si="32"/>
        <v>32407</v>
      </c>
      <c r="K1057">
        <f t="shared" ca="1" si="33"/>
        <v>37</v>
      </c>
    </row>
    <row r="1058" spans="1:11" ht="15.75" customHeight="1">
      <c r="A1058" t="s">
        <v>2567</v>
      </c>
      <c r="B1058">
        <v>1975</v>
      </c>
      <c r="C1058" t="s">
        <v>4712</v>
      </c>
      <c r="D1058">
        <v>26</v>
      </c>
      <c r="E1058">
        <v>1</v>
      </c>
      <c r="F1058" s="16">
        <v>8569.86</v>
      </c>
      <c r="G1058" t="s">
        <v>4699</v>
      </c>
      <c r="H1058" t="s">
        <v>4700</v>
      </c>
      <c r="I1058" t="s">
        <v>4709</v>
      </c>
      <c r="J1058" s="17">
        <f t="shared" si="32"/>
        <v>27663</v>
      </c>
      <c r="K1058">
        <f t="shared" ca="1" si="33"/>
        <v>50</v>
      </c>
    </row>
    <row r="1059" spans="1:11" ht="15.75" customHeight="1">
      <c r="A1059" t="s">
        <v>2565</v>
      </c>
      <c r="B1059">
        <v>1982</v>
      </c>
      <c r="C1059" t="s">
        <v>4714</v>
      </c>
      <c r="D1059">
        <v>6</v>
      </c>
      <c r="E1059">
        <v>3</v>
      </c>
      <c r="F1059" s="16">
        <v>8572.0400000000009</v>
      </c>
      <c r="G1059" t="s">
        <v>4699</v>
      </c>
      <c r="H1059" t="s">
        <v>4699</v>
      </c>
      <c r="I1059" t="s">
        <v>4727</v>
      </c>
      <c r="J1059" s="17">
        <f t="shared" si="32"/>
        <v>30291</v>
      </c>
      <c r="K1059">
        <f t="shared" ca="1" si="33"/>
        <v>42</v>
      </c>
    </row>
    <row r="1060" spans="1:11" ht="15.75" customHeight="1">
      <c r="A1060" t="s">
        <v>2563</v>
      </c>
      <c r="B1060">
        <v>1987</v>
      </c>
      <c r="C1060" t="s">
        <v>4710</v>
      </c>
      <c r="D1060">
        <v>11</v>
      </c>
      <c r="E1060">
        <v>3</v>
      </c>
      <c r="F1060" s="16">
        <v>8573.2999999999993</v>
      </c>
      <c r="G1060" t="s">
        <v>4699</v>
      </c>
      <c r="H1060" t="s">
        <v>4699</v>
      </c>
      <c r="I1060" t="s">
        <v>4727</v>
      </c>
      <c r="J1060" s="17">
        <f t="shared" si="32"/>
        <v>32092</v>
      </c>
      <c r="K1060">
        <f t="shared" ca="1" si="33"/>
        <v>38</v>
      </c>
    </row>
    <row r="1061" spans="1:11" ht="15.75" customHeight="1">
      <c r="A1061" t="s">
        <v>2561</v>
      </c>
      <c r="B1061">
        <v>1983</v>
      </c>
      <c r="C1061" t="s">
        <v>4714</v>
      </c>
      <c r="D1061">
        <v>30</v>
      </c>
      <c r="E1061">
        <v>5</v>
      </c>
      <c r="F1061" s="16">
        <v>8582.2999999999993</v>
      </c>
      <c r="G1061" t="s">
        <v>4699</v>
      </c>
      <c r="H1061" t="s">
        <v>4698</v>
      </c>
      <c r="I1061" t="s">
        <v>4709</v>
      </c>
      <c r="J1061" s="17">
        <f t="shared" si="32"/>
        <v>30680</v>
      </c>
      <c r="K1061">
        <f t="shared" ca="1" si="33"/>
        <v>41</v>
      </c>
    </row>
    <row r="1062" spans="1:11" ht="15.75" customHeight="1">
      <c r="A1062" t="s">
        <v>2559</v>
      </c>
      <c r="B1062">
        <v>1983</v>
      </c>
      <c r="C1062" t="s">
        <v>4708</v>
      </c>
      <c r="D1062">
        <v>25</v>
      </c>
      <c r="E1062">
        <v>5</v>
      </c>
      <c r="F1062" s="16">
        <v>8596.83</v>
      </c>
      <c r="G1062" t="s">
        <v>4699</v>
      </c>
      <c r="H1062" t="s">
        <v>4700</v>
      </c>
      <c r="I1062" t="s">
        <v>4709</v>
      </c>
      <c r="J1062" s="17">
        <f t="shared" si="32"/>
        <v>30522</v>
      </c>
      <c r="K1062">
        <f t="shared" ca="1" si="33"/>
        <v>42</v>
      </c>
    </row>
    <row r="1063" spans="1:11" ht="15.75" customHeight="1">
      <c r="A1063" t="s">
        <v>2557</v>
      </c>
      <c r="B1063">
        <v>1973</v>
      </c>
      <c r="C1063" t="s">
        <v>4708</v>
      </c>
      <c r="D1063">
        <v>11</v>
      </c>
      <c r="E1063">
        <v>0</v>
      </c>
      <c r="F1063" s="16">
        <v>8601.33</v>
      </c>
      <c r="G1063" t="s">
        <v>4699</v>
      </c>
      <c r="H1063" t="s">
        <v>4698</v>
      </c>
      <c r="I1063" t="s">
        <v>4709</v>
      </c>
      <c r="J1063" s="17">
        <f t="shared" si="32"/>
        <v>26856</v>
      </c>
      <c r="K1063">
        <f t="shared" ca="1" si="33"/>
        <v>52</v>
      </c>
    </row>
    <row r="1064" spans="1:11" ht="15.75" customHeight="1">
      <c r="A1064" t="s">
        <v>2555</v>
      </c>
      <c r="B1064">
        <v>1977</v>
      </c>
      <c r="C1064" t="s">
        <v>4712</v>
      </c>
      <c r="D1064">
        <v>24</v>
      </c>
      <c r="E1064">
        <v>2</v>
      </c>
      <c r="F1064" s="16">
        <v>8603.82</v>
      </c>
      <c r="G1064" t="s">
        <v>4699</v>
      </c>
      <c r="H1064" t="s">
        <v>4698</v>
      </c>
      <c r="I1064" t="s">
        <v>4720</v>
      </c>
      <c r="J1064" s="17">
        <f t="shared" si="32"/>
        <v>28392</v>
      </c>
      <c r="K1064">
        <f t="shared" ca="1" si="33"/>
        <v>48</v>
      </c>
    </row>
    <row r="1065" spans="1:11" ht="15.75" customHeight="1">
      <c r="A1065" t="s">
        <v>2553</v>
      </c>
      <c r="B1065">
        <v>1977</v>
      </c>
      <c r="C1065" t="s">
        <v>4710</v>
      </c>
      <c r="D1065">
        <v>12</v>
      </c>
      <c r="E1065">
        <v>2</v>
      </c>
      <c r="F1065" s="16">
        <v>8604.48</v>
      </c>
      <c r="G1065" t="s">
        <v>4700</v>
      </c>
      <c r="H1065" t="s">
        <v>4699</v>
      </c>
      <c r="I1065" t="s">
        <v>4721</v>
      </c>
      <c r="J1065" s="17">
        <f t="shared" si="32"/>
        <v>28441</v>
      </c>
      <c r="K1065">
        <f t="shared" ca="1" si="33"/>
        <v>48</v>
      </c>
    </row>
    <row r="1066" spans="1:11" ht="15.75" customHeight="1">
      <c r="A1066" t="s">
        <v>2551</v>
      </c>
      <c r="B1066">
        <v>1977</v>
      </c>
      <c r="C1066" t="s">
        <v>4717</v>
      </c>
      <c r="D1066">
        <v>15</v>
      </c>
      <c r="E1066">
        <v>3</v>
      </c>
      <c r="F1066" s="16">
        <v>8605.36</v>
      </c>
      <c r="G1066" t="s">
        <v>4699</v>
      </c>
      <c r="H1066" t="s">
        <v>4699</v>
      </c>
      <c r="I1066" t="s">
        <v>4709</v>
      </c>
      <c r="J1066" s="17">
        <f t="shared" si="32"/>
        <v>28413</v>
      </c>
      <c r="K1066">
        <f t="shared" ca="1" si="33"/>
        <v>48</v>
      </c>
    </row>
    <row r="1067" spans="1:11" ht="15.75" customHeight="1">
      <c r="A1067" t="s">
        <v>2549</v>
      </c>
      <c r="B1067">
        <v>1979</v>
      </c>
      <c r="C1067" t="s">
        <v>4708</v>
      </c>
      <c r="D1067">
        <v>17</v>
      </c>
      <c r="E1067">
        <v>3</v>
      </c>
      <c r="F1067" s="16">
        <v>8606.2199999999993</v>
      </c>
      <c r="G1067" t="s">
        <v>4698</v>
      </c>
      <c r="H1067" t="s">
        <v>4699</v>
      </c>
      <c r="I1067" t="s">
        <v>4726</v>
      </c>
      <c r="J1067" s="17">
        <f t="shared" si="32"/>
        <v>29053</v>
      </c>
      <c r="K1067">
        <f t="shared" ca="1" si="33"/>
        <v>46</v>
      </c>
    </row>
    <row r="1068" spans="1:11" ht="15.75" customHeight="1">
      <c r="A1068" t="s">
        <v>2547</v>
      </c>
      <c r="B1068">
        <v>1977</v>
      </c>
      <c r="C1068" t="s">
        <v>4712</v>
      </c>
      <c r="D1068">
        <v>2</v>
      </c>
      <c r="E1068">
        <v>3</v>
      </c>
      <c r="F1068" s="16">
        <v>8615.2999999999993</v>
      </c>
      <c r="G1068" t="s">
        <v>4699</v>
      </c>
      <c r="H1068" t="s">
        <v>4700</v>
      </c>
      <c r="I1068" t="s">
        <v>4718</v>
      </c>
      <c r="J1068" s="17">
        <f t="shared" si="32"/>
        <v>28370</v>
      </c>
      <c r="K1068">
        <f t="shared" ca="1" si="33"/>
        <v>48</v>
      </c>
    </row>
    <row r="1069" spans="1:11" ht="15.75" customHeight="1">
      <c r="A1069" t="s">
        <v>2545</v>
      </c>
      <c r="B1069">
        <v>1975</v>
      </c>
      <c r="C1069" t="s">
        <v>4716</v>
      </c>
      <c r="D1069">
        <v>3</v>
      </c>
      <c r="E1069">
        <v>1</v>
      </c>
      <c r="F1069" s="16">
        <v>8627.5400000000009</v>
      </c>
      <c r="G1069" t="s">
        <v>4699</v>
      </c>
      <c r="H1069" t="s">
        <v>4699</v>
      </c>
      <c r="I1069" t="s">
        <v>4728</v>
      </c>
      <c r="J1069" s="17">
        <f t="shared" si="32"/>
        <v>27609</v>
      </c>
      <c r="K1069">
        <f t="shared" ca="1" si="33"/>
        <v>50</v>
      </c>
    </row>
    <row r="1070" spans="1:11" ht="15.75" customHeight="1">
      <c r="A1070" t="s">
        <v>2543</v>
      </c>
      <c r="B1070">
        <v>1965</v>
      </c>
      <c r="C1070" t="s">
        <v>4717</v>
      </c>
      <c r="D1070">
        <v>21</v>
      </c>
      <c r="E1070">
        <v>0</v>
      </c>
      <c r="F1070" s="16">
        <v>8665.09</v>
      </c>
      <c r="G1070" t="s">
        <v>4700</v>
      </c>
      <c r="H1070" t="s">
        <v>4699</v>
      </c>
      <c r="I1070" t="s">
        <v>4713</v>
      </c>
      <c r="J1070" s="17">
        <f t="shared" si="32"/>
        <v>24036</v>
      </c>
      <c r="K1070">
        <f t="shared" ca="1" si="33"/>
        <v>60</v>
      </c>
    </row>
    <row r="1071" spans="1:11" ht="15.75" customHeight="1">
      <c r="A1071" t="s">
        <v>2541</v>
      </c>
      <c r="B1071">
        <v>1969</v>
      </c>
      <c r="C1071" t="s">
        <v>4716</v>
      </c>
      <c r="D1071">
        <v>10</v>
      </c>
      <c r="E1071">
        <v>0</v>
      </c>
      <c r="F1071" s="16">
        <v>8665.14</v>
      </c>
      <c r="G1071" t="s">
        <v>4699</v>
      </c>
      <c r="H1071" t="s">
        <v>4700</v>
      </c>
      <c r="I1071" t="s">
        <v>4709</v>
      </c>
      <c r="J1071" s="17">
        <f t="shared" si="32"/>
        <v>25425</v>
      </c>
      <c r="K1071">
        <f t="shared" ca="1" si="33"/>
        <v>56</v>
      </c>
    </row>
    <row r="1072" spans="1:11" ht="15.75" customHeight="1">
      <c r="A1072" t="s">
        <v>2539</v>
      </c>
      <c r="B1072">
        <v>1974</v>
      </c>
      <c r="C1072" t="s">
        <v>4716</v>
      </c>
      <c r="D1072">
        <v>16</v>
      </c>
      <c r="E1072">
        <v>0</v>
      </c>
      <c r="F1072" s="16">
        <v>8671.19</v>
      </c>
      <c r="G1072" t="s">
        <v>4699</v>
      </c>
      <c r="H1072" t="s">
        <v>4698</v>
      </c>
      <c r="I1072" t="s">
        <v>4713</v>
      </c>
      <c r="J1072" s="17">
        <f t="shared" si="32"/>
        <v>27257</v>
      </c>
      <c r="K1072">
        <f t="shared" ca="1" si="33"/>
        <v>51</v>
      </c>
    </row>
    <row r="1073" spans="1:11" ht="15.75" customHeight="1">
      <c r="A1073" t="s">
        <v>2537</v>
      </c>
      <c r="B1073">
        <v>1973</v>
      </c>
      <c r="C1073" t="s">
        <v>4717</v>
      </c>
      <c r="D1073">
        <v>11</v>
      </c>
      <c r="E1073">
        <v>0</v>
      </c>
      <c r="F1073" s="16">
        <v>8688.86</v>
      </c>
      <c r="G1073" t="s">
        <v>4699</v>
      </c>
      <c r="H1073" t="s">
        <v>4698</v>
      </c>
      <c r="I1073" t="s">
        <v>4728</v>
      </c>
      <c r="J1073" s="17">
        <f t="shared" si="32"/>
        <v>26948</v>
      </c>
      <c r="K1073">
        <f t="shared" ca="1" si="33"/>
        <v>52</v>
      </c>
    </row>
    <row r="1074" spans="1:11" ht="15.75" customHeight="1">
      <c r="A1074" t="s">
        <v>2535</v>
      </c>
      <c r="B1074">
        <v>1980</v>
      </c>
      <c r="C1074" t="s">
        <v>4717</v>
      </c>
      <c r="D1074">
        <v>28</v>
      </c>
      <c r="E1074">
        <v>2</v>
      </c>
      <c r="F1074" s="16">
        <v>8701.84</v>
      </c>
      <c r="G1074" t="s">
        <v>4699</v>
      </c>
      <c r="H1074" t="s">
        <v>4700</v>
      </c>
      <c r="I1074" t="s">
        <v>4727</v>
      </c>
      <c r="J1074" s="17">
        <f t="shared" si="32"/>
        <v>29522</v>
      </c>
      <c r="K1074">
        <f t="shared" ca="1" si="33"/>
        <v>45</v>
      </c>
    </row>
    <row r="1075" spans="1:11" ht="15.75" customHeight="1">
      <c r="A1075" t="s">
        <v>2533</v>
      </c>
      <c r="B1075">
        <v>1973</v>
      </c>
      <c r="C1075" t="s">
        <v>4711</v>
      </c>
      <c r="D1075">
        <v>25</v>
      </c>
      <c r="E1075">
        <v>1</v>
      </c>
      <c r="F1075" s="16">
        <v>8703.4599999999991</v>
      </c>
      <c r="G1075" t="s">
        <v>4700</v>
      </c>
      <c r="H1075" t="s">
        <v>4700</v>
      </c>
      <c r="I1075" t="s">
        <v>4718</v>
      </c>
      <c r="J1075" s="17">
        <f t="shared" si="32"/>
        <v>26840</v>
      </c>
      <c r="K1075">
        <f t="shared" ca="1" si="33"/>
        <v>52</v>
      </c>
    </row>
    <row r="1076" spans="1:11" ht="15.75" customHeight="1">
      <c r="A1076" t="s">
        <v>2531</v>
      </c>
      <c r="B1076">
        <v>1976</v>
      </c>
      <c r="C1076" t="s">
        <v>4711</v>
      </c>
      <c r="D1076">
        <v>17</v>
      </c>
      <c r="E1076">
        <v>2</v>
      </c>
      <c r="F1076" s="16">
        <v>8733.23</v>
      </c>
      <c r="G1076" t="s">
        <v>4699</v>
      </c>
      <c r="H1076" t="s">
        <v>4700</v>
      </c>
      <c r="I1076" t="s">
        <v>4713</v>
      </c>
      <c r="J1076" s="17">
        <f t="shared" si="32"/>
        <v>27928</v>
      </c>
      <c r="K1076">
        <f t="shared" ca="1" si="33"/>
        <v>49</v>
      </c>
    </row>
    <row r="1077" spans="1:11" ht="15.75" customHeight="1">
      <c r="A1077" t="s">
        <v>2529</v>
      </c>
      <c r="B1077">
        <v>1999</v>
      </c>
      <c r="C1077" t="s">
        <v>4716</v>
      </c>
      <c r="D1077">
        <v>23</v>
      </c>
      <c r="E1077">
        <v>0</v>
      </c>
      <c r="F1077" s="16">
        <v>8747.68</v>
      </c>
      <c r="G1077" t="s">
        <v>4699</v>
      </c>
      <c r="H1077" t="s">
        <v>4700</v>
      </c>
      <c r="I1077" t="s">
        <v>4718</v>
      </c>
      <c r="J1077" s="17">
        <f t="shared" si="32"/>
        <v>36395</v>
      </c>
      <c r="K1077">
        <f t="shared" ca="1" si="33"/>
        <v>26</v>
      </c>
    </row>
    <row r="1078" spans="1:11" ht="15.75" customHeight="1">
      <c r="A1078" t="s">
        <v>2527</v>
      </c>
      <c r="B1078">
        <v>1969</v>
      </c>
      <c r="C1078" t="s">
        <v>4712</v>
      </c>
      <c r="D1078">
        <v>9</v>
      </c>
      <c r="E1078">
        <v>0</v>
      </c>
      <c r="F1078" s="16">
        <v>8760.1200000000008</v>
      </c>
      <c r="G1078" t="s">
        <v>4699</v>
      </c>
      <c r="H1078" t="s">
        <v>4698</v>
      </c>
      <c r="I1078" t="s">
        <v>4709</v>
      </c>
      <c r="J1078" s="17">
        <f t="shared" si="32"/>
        <v>25455</v>
      </c>
      <c r="K1078">
        <f t="shared" ca="1" si="33"/>
        <v>56</v>
      </c>
    </row>
    <row r="1079" spans="1:11" ht="15.75" customHeight="1">
      <c r="A1079" t="s">
        <v>2525</v>
      </c>
      <c r="B1079">
        <v>1974</v>
      </c>
      <c r="C1079" t="s">
        <v>4712</v>
      </c>
      <c r="D1079">
        <v>6</v>
      </c>
      <c r="E1079">
        <v>1</v>
      </c>
      <c r="F1079" s="16">
        <v>8765.25</v>
      </c>
      <c r="G1079" t="s">
        <v>4699</v>
      </c>
      <c r="H1079" t="s">
        <v>4700</v>
      </c>
      <c r="I1079" t="s">
        <v>4713</v>
      </c>
      <c r="J1079" s="17">
        <f t="shared" si="32"/>
        <v>27278</v>
      </c>
      <c r="K1079">
        <f t="shared" ca="1" si="33"/>
        <v>51</v>
      </c>
    </row>
    <row r="1080" spans="1:11" ht="15.75" customHeight="1">
      <c r="A1080" t="s">
        <v>2523</v>
      </c>
      <c r="B1080">
        <v>1971</v>
      </c>
      <c r="C1080" t="s">
        <v>4716</v>
      </c>
      <c r="D1080">
        <v>23</v>
      </c>
      <c r="E1080">
        <v>0</v>
      </c>
      <c r="F1080" s="16">
        <v>8782.4699999999993</v>
      </c>
      <c r="G1080" t="s">
        <v>4699</v>
      </c>
      <c r="H1080" t="s">
        <v>4700</v>
      </c>
      <c r="I1080" t="s">
        <v>4718</v>
      </c>
      <c r="J1080" s="17">
        <f t="shared" si="32"/>
        <v>26168</v>
      </c>
      <c r="K1080">
        <f t="shared" ca="1" si="33"/>
        <v>54</v>
      </c>
    </row>
    <row r="1081" spans="1:11" ht="15.75" customHeight="1">
      <c r="A1081" t="s">
        <v>2521</v>
      </c>
      <c r="B1081">
        <v>1971</v>
      </c>
      <c r="C1081" t="s">
        <v>4711</v>
      </c>
      <c r="D1081">
        <v>18</v>
      </c>
      <c r="E1081">
        <v>0</v>
      </c>
      <c r="F1081" s="16">
        <v>8798.59</v>
      </c>
      <c r="G1081" t="s">
        <v>4699</v>
      </c>
      <c r="H1081" t="s">
        <v>4698</v>
      </c>
      <c r="I1081" t="s">
        <v>4718</v>
      </c>
      <c r="J1081" s="17">
        <f t="shared" si="32"/>
        <v>26102</v>
      </c>
      <c r="K1081">
        <f t="shared" ca="1" si="33"/>
        <v>54</v>
      </c>
    </row>
    <row r="1082" spans="1:11" ht="15.75" customHeight="1">
      <c r="A1082" t="s">
        <v>2519</v>
      </c>
      <c r="B1082">
        <v>1965</v>
      </c>
      <c r="C1082" t="s">
        <v>4716</v>
      </c>
      <c r="D1082">
        <v>29</v>
      </c>
      <c r="E1082">
        <v>0</v>
      </c>
      <c r="F1082" s="16">
        <v>8800.49</v>
      </c>
      <c r="G1082" t="s">
        <v>4700</v>
      </c>
      <c r="H1082" t="s">
        <v>4699</v>
      </c>
      <c r="I1082" t="s">
        <v>4709</v>
      </c>
      <c r="J1082" s="17">
        <f t="shared" si="32"/>
        <v>23983</v>
      </c>
      <c r="K1082">
        <f t="shared" ca="1" si="33"/>
        <v>60</v>
      </c>
    </row>
    <row r="1083" spans="1:11" ht="15.75" customHeight="1">
      <c r="A1083" t="s">
        <v>2517</v>
      </c>
      <c r="B1083">
        <v>2001</v>
      </c>
      <c r="C1083" t="s">
        <v>4710</v>
      </c>
      <c r="D1083">
        <v>7</v>
      </c>
      <c r="E1083">
        <v>0</v>
      </c>
      <c r="F1083" s="16">
        <v>8821.8799999999992</v>
      </c>
      <c r="G1083" t="s">
        <v>4699</v>
      </c>
      <c r="H1083" t="s">
        <v>4700</v>
      </c>
      <c r="I1083" t="s">
        <v>4725</v>
      </c>
      <c r="J1083" s="17">
        <f t="shared" si="32"/>
        <v>37202</v>
      </c>
      <c r="K1083">
        <f t="shared" ca="1" si="33"/>
        <v>24</v>
      </c>
    </row>
    <row r="1084" spans="1:11" ht="15.75" customHeight="1">
      <c r="A1084" t="s">
        <v>2515</v>
      </c>
      <c r="B1084">
        <v>1976</v>
      </c>
      <c r="C1084" t="s">
        <v>4711</v>
      </c>
      <c r="D1084">
        <v>14</v>
      </c>
      <c r="E1084">
        <v>2</v>
      </c>
      <c r="F1084" s="16">
        <v>8823.2800000000007</v>
      </c>
      <c r="G1084" t="s">
        <v>4699</v>
      </c>
      <c r="H1084" t="s">
        <v>4698</v>
      </c>
      <c r="I1084" t="s">
        <v>4718</v>
      </c>
      <c r="J1084" s="17">
        <f t="shared" si="32"/>
        <v>27925</v>
      </c>
      <c r="K1084">
        <f t="shared" ca="1" si="33"/>
        <v>49</v>
      </c>
    </row>
    <row r="1085" spans="1:11" ht="15.75" customHeight="1">
      <c r="A1085" t="s">
        <v>2513</v>
      </c>
      <c r="B1085">
        <v>1976</v>
      </c>
      <c r="C1085" t="s">
        <v>4717</v>
      </c>
      <c r="D1085">
        <v>19</v>
      </c>
      <c r="E1085">
        <v>1</v>
      </c>
      <c r="F1085" s="16">
        <v>8823.99</v>
      </c>
      <c r="G1085" t="s">
        <v>4699</v>
      </c>
      <c r="H1085" t="s">
        <v>4700</v>
      </c>
      <c r="I1085" t="s">
        <v>4724</v>
      </c>
      <c r="J1085" s="17">
        <f t="shared" si="32"/>
        <v>28052</v>
      </c>
      <c r="K1085">
        <f t="shared" ca="1" si="33"/>
        <v>49</v>
      </c>
    </row>
    <row r="1086" spans="1:11" ht="15.75" customHeight="1">
      <c r="A1086" t="s">
        <v>2511</v>
      </c>
      <c r="B1086">
        <v>1988</v>
      </c>
      <c r="C1086" t="s">
        <v>4716</v>
      </c>
      <c r="D1086">
        <v>22</v>
      </c>
      <c r="E1086">
        <v>3</v>
      </c>
      <c r="F1086" s="16">
        <v>8824.27</v>
      </c>
      <c r="G1086" t="s">
        <v>4699</v>
      </c>
      <c r="H1086" t="s">
        <v>4698</v>
      </c>
      <c r="I1086" t="s">
        <v>4723</v>
      </c>
      <c r="J1086" s="17">
        <f t="shared" si="32"/>
        <v>32377</v>
      </c>
      <c r="K1086">
        <f t="shared" ca="1" si="33"/>
        <v>37</v>
      </c>
    </row>
    <row r="1087" spans="1:11" ht="15.75" customHeight="1">
      <c r="A1087" t="s">
        <v>2509</v>
      </c>
      <c r="B1087">
        <v>1976</v>
      </c>
      <c r="C1087" t="s">
        <v>4708</v>
      </c>
      <c r="D1087">
        <v>14</v>
      </c>
      <c r="E1087">
        <v>2</v>
      </c>
      <c r="F1087" s="16">
        <v>8825.09</v>
      </c>
      <c r="G1087" t="s">
        <v>4699</v>
      </c>
      <c r="H1087" t="s">
        <v>4700</v>
      </c>
      <c r="I1087" t="s">
        <v>4718</v>
      </c>
      <c r="J1087" s="17">
        <f t="shared" si="32"/>
        <v>27955</v>
      </c>
      <c r="K1087">
        <f t="shared" ca="1" si="33"/>
        <v>49</v>
      </c>
    </row>
    <row r="1088" spans="1:11" ht="15.75" customHeight="1">
      <c r="A1088" t="s">
        <v>2507</v>
      </c>
      <c r="B1088">
        <v>1972</v>
      </c>
      <c r="C1088" t="s">
        <v>4710</v>
      </c>
      <c r="D1088">
        <v>14</v>
      </c>
      <c r="E1088">
        <v>0</v>
      </c>
      <c r="F1088" s="16">
        <v>8827.2099999999991</v>
      </c>
      <c r="G1088" t="s">
        <v>4700</v>
      </c>
      <c r="H1088" t="s">
        <v>4698</v>
      </c>
      <c r="I1088" t="s">
        <v>4713</v>
      </c>
      <c r="J1088" s="17">
        <f t="shared" si="32"/>
        <v>26617</v>
      </c>
      <c r="K1088">
        <f t="shared" ca="1" si="33"/>
        <v>53</v>
      </c>
    </row>
    <row r="1089" spans="1:11" ht="15.75" customHeight="1">
      <c r="A1089" t="s">
        <v>2505</v>
      </c>
      <c r="B1089">
        <v>1972</v>
      </c>
      <c r="C1089" t="s">
        <v>4710</v>
      </c>
      <c r="D1089">
        <v>22</v>
      </c>
      <c r="E1089">
        <v>0</v>
      </c>
      <c r="F1089" s="16">
        <v>8835.26</v>
      </c>
      <c r="G1089" t="s">
        <v>4700</v>
      </c>
      <c r="H1089" t="s">
        <v>4699</v>
      </c>
      <c r="I1089" t="s">
        <v>4713</v>
      </c>
      <c r="J1089" s="17">
        <f t="shared" si="32"/>
        <v>26625</v>
      </c>
      <c r="K1089">
        <f t="shared" ca="1" si="33"/>
        <v>53</v>
      </c>
    </row>
    <row r="1090" spans="1:11" ht="15.75" customHeight="1">
      <c r="A1090" t="s">
        <v>2503</v>
      </c>
      <c r="B1090">
        <v>1974</v>
      </c>
      <c r="C1090" t="s">
        <v>4711</v>
      </c>
      <c r="D1090">
        <v>18</v>
      </c>
      <c r="E1090">
        <v>1</v>
      </c>
      <c r="F1090" s="16">
        <v>8871.15</v>
      </c>
      <c r="G1090" t="s">
        <v>4699</v>
      </c>
      <c r="H1090" t="s">
        <v>4700</v>
      </c>
      <c r="I1090" t="s">
        <v>4709</v>
      </c>
      <c r="J1090" s="17">
        <f t="shared" si="32"/>
        <v>27198</v>
      </c>
      <c r="K1090">
        <f t="shared" ca="1" si="33"/>
        <v>51</v>
      </c>
    </row>
    <row r="1091" spans="1:11" ht="15.75" customHeight="1">
      <c r="A1091" t="s">
        <v>2501</v>
      </c>
      <c r="B1091">
        <v>1973</v>
      </c>
      <c r="C1091" t="s">
        <v>4712</v>
      </c>
      <c r="D1091">
        <v>9</v>
      </c>
      <c r="E1091">
        <v>0</v>
      </c>
      <c r="F1091" s="16">
        <v>8890.59</v>
      </c>
      <c r="G1091" t="s">
        <v>4699</v>
      </c>
      <c r="H1091" t="s">
        <v>4700</v>
      </c>
      <c r="I1091" t="s">
        <v>4713</v>
      </c>
      <c r="J1091" s="17">
        <f t="shared" ref="J1091:J1154" si="34">DATEVALUE(D1091&amp;"-"&amp;C1091&amp;" -"&amp;B1091)</f>
        <v>26916</v>
      </c>
      <c r="K1091">
        <f t="shared" ref="K1091:K1154" ca="1" si="35">DATEDIF(J1091,TODAY(),"Y")</f>
        <v>52</v>
      </c>
    </row>
    <row r="1092" spans="1:11" ht="15.75" customHeight="1">
      <c r="A1092" t="s">
        <v>2499</v>
      </c>
      <c r="B1092">
        <v>1978</v>
      </c>
      <c r="C1092" t="s">
        <v>4714</v>
      </c>
      <c r="D1092">
        <v>16</v>
      </c>
      <c r="E1092">
        <v>3</v>
      </c>
      <c r="F1092" s="16">
        <v>8891.14</v>
      </c>
      <c r="G1092" t="s">
        <v>4699</v>
      </c>
      <c r="H1092" t="s">
        <v>4700</v>
      </c>
      <c r="I1092" t="s">
        <v>4728</v>
      </c>
      <c r="J1092" s="17">
        <f t="shared" si="34"/>
        <v>28840</v>
      </c>
      <c r="K1092">
        <f t="shared" ca="1" si="35"/>
        <v>46</v>
      </c>
    </row>
    <row r="1093" spans="1:11" ht="15.75" customHeight="1">
      <c r="A1093" t="s">
        <v>2497</v>
      </c>
      <c r="B1093">
        <v>1997</v>
      </c>
      <c r="C1093" t="s">
        <v>4710</v>
      </c>
      <c r="D1093">
        <v>28</v>
      </c>
      <c r="E1093">
        <v>0</v>
      </c>
      <c r="F1093" s="16">
        <v>8906.14</v>
      </c>
      <c r="G1093" t="s">
        <v>4699</v>
      </c>
      <c r="H1093" t="s">
        <v>4699</v>
      </c>
      <c r="I1093" t="s">
        <v>4713</v>
      </c>
      <c r="J1093" s="17">
        <f t="shared" si="34"/>
        <v>35762</v>
      </c>
      <c r="K1093">
        <f t="shared" ca="1" si="35"/>
        <v>27</v>
      </c>
    </row>
    <row r="1094" spans="1:11" ht="15.75" customHeight="1">
      <c r="A1094" t="s">
        <v>2495</v>
      </c>
      <c r="B1094">
        <v>1967</v>
      </c>
      <c r="C1094" t="s">
        <v>4712</v>
      </c>
      <c r="D1094">
        <v>6</v>
      </c>
      <c r="E1094">
        <v>0</v>
      </c>
      <c r="F1094" s="16">
        <v>8908.4699999999993</v>
      </c>
      <c r="G1094" t="s">
        <v>4700</v>
      </c>
      <c r="H1094" t="s">
        <v>4699</v>
      </c>
      <c r="I1094" t="s">
        <v>4709</v>
      </c>
      <c r="J1094" s="17">
        <f t="shared" si="34"/>
        <v>24721</v>
      </c>
      <c r="K1094">
        <f t="shared" ca="1" si="35"/>
        <v>58</v>
      </c>
    </row>
    <row r="1095" spans="1:11" ht="15.75" customHeight="1">
      <c r="A1095" t="s">
        <v>2493</v>
      </c>
      <c r="B1095">
        <v>1975</v>
      </c>
      <c r="C1095" t="s">
        <v>4708</v>
      </c>
      <c r="D1095">
        <v>7</v>
      </c>
      <c r="E1095">
        <v>1</v>
      </c>
      <c r="F1095" s="16">
        <v>8930.93</v>
      </c>
      <c r="G1095" t="s">
        <v>4699</v>
      </c>
      <c r="H1095" t="s">
        <v>4699</v>
      </c>
      <c r="I1095" t="s">
        <v>4713</v>
      </c>
      <c r="J1095" s="17">
        <f t="shared" si="34"/>
        <v>27582</v>
      </c>
      <c r="K1095">
        <f t="shared" ca="1" si="35"/>
        <v>50</v>
      </c>
    </row>
    <row r="1096" spans="1:11" ht="15.75" customHeight="1">
      <c r="A1096" t="s">
        <v>2491</v>
      </c>
      <c r="B1096">
        <v>1972</v>
      </c>
      <c r="C1096" t="s">
        <v>4711</v>
      </c>
      <c r="D1096">
        <v>6</v>
      </c>
      <c r="E1096">
        <v>0</v>
      </c>
      <c r="F1096" s="16">
        <v>8932.08</v>
      </c>
      <c r="G1096" t="s">
        <v>4699</v>
      </c>
      <c r="H1096" t="s">
        <v>4698</v>
      </c>
      <c r="I1096" t="s">
        <v>4718</v>
      </c>
      <c r="J1096" s="17">
        <f t="shared" si="34"/>
        <v>26456</v>
      </c>
      <c r="K1096">
        <f t="shared" ca="1" si="35"/>
        <v>53</v>
      </c>
    </row>
    <row r="1097" spans="1:11" ht="15.75" customHeight="1">
      <c r="A1097" t="s">
        <v>2489</v>
      </c>
      <c r="B1097">
        <v>1976</v>
      </c>
      <c r="C1097" t="s">
        <v>4714</v>
      </c>
      <c r="D1097">
        <v>25</v>
      </c>
      <c r="E1097">
        <v>3</v>
      </c>
      <c r="F1097" s="16">
        <v>8944.1200000000008</v>
      </c>
      <c r="G1097" t="s">
        <v>4700</v>
      </c>
      <c r="H1097" t="s">
        <v>4699</v>
      </c>
      <c r="I1097" t="s">
        <v>4709</v>
      </c>
      <c r="J1097" s="17">
        <f t="shared" si="34"/>
        <v>28119</v>
      </c>
      <c r="K1097">
        <f t="shared" ca="1" si="35"/>
        <v>48</v>
      </c>
    </row>
    <row r="1098" spans="1:11" ht="15.75" customHeight="1">
      <c r="A1098" t="s">
        <v>2487</v>
      </c>
      <c r="B1098">
        <v>1992</v>
      </c>
      <c r="C1098" t="s">
        <v>4712</v>
      </c>
      <c r="D1098">
        <v>27</v>
      </c>
      <c r="E1098">
        <v>0</v>
      </c>
      <c r="F1098" s="16">
        <v>8954.99</v>
      </c>
      <c r="G1098" t="s">
        <v>4699</v>
      </c>
      <c r="H1098" t="s">
        <v>4700</v>
      </c>
      <c r="I1098" t="s">
        <v>4730</v>
      </c>
      <c r="J1098" s="17">
        <f t="shared" si="34"/>
        <v>33874</v>
      </c>
      <c r="K1098">
        <f t="shared" ca="1" si="35"/>
        <v>33</v>
      </c>
    </row>
    <row r="1099" spans="1:11" ht="15.75" customHeight="1">
      <c r="A1099" t="s">
        <v>2485</v>
      </c>
      <c r="B1099">
        <v>1974</v>
      </c>
      <c r="C1099" t="s">
        <v>4716</v>
      </c>
      <c r="D1099">
        <v>17</v>
      </c>
      <c r="E1099">
        <v>1</v>
      </c>
      <c r="F1099" s="16">
        <v>8964.06</v>
      </c>
      <c r="G1099" t="s">
        <v>4700</v>
      </c>
      <c r="H1099" t="s">
        <v>4699</v>
      </c>
      <c r="I1099" t="s">
        <v>4721</v>
      </c>
      <c r="J1099" s="17">
        <f t="shared" si="34"/>
        <v>27258</v>
      </c>
      <c r="K1099">
        <f t="shared" ca="1" si="35"/>
        <v>51</v>
      </c>
    </row>
    <row r="1100" spans="1:11" ht="15.75" customHeight="1">
      <c r="A1100" t="s">
        <v>2483</v>
      </c>
      <c r="B1100">
        <v>1983</v>
      </c>
      <c r="C1100" t="s">
        <v>4708</v>
      </c>
      <c r="D1100">
        <v>15</v>
      </c>
      <c r="E1100">
        <v>5</v>
      </c>
      <c r="F1100" s="16">
        <v>8965.7999999999993</v>
      </c>
      <c r="G1100" t="s">
        <v>4699</v>
      </c>
      <c r="H1100" t="s">
        <v>4700</v>
      </c>
      <c r="I1100" t="s">
        <v>4713</v>
      </c>
      <c r="J1100" s="17">
        <f t="shared" si="34"/>
        <v>30512</v>
      </c>
      <c r="K1100">
        <f t="shared" ca="1" si="35"/>
        <v>42</v>
      </c>
    </row>
    <row r="1101" spans="1:11" ht="15.75" customHeight="1">
      <c r="A1101" t="s">
        <v>2481</v>
      </c>
      <c r="B1101">
        <v>1974</v>
      </c>
      <c r="C1101" t="s">
        <v>4712</v>
      </c>
      <c r="D1101">
        <v>8</v>
      </c>
      <c r="E1101">
        <v>2</v>
      </c>
      <c r="F1101" s="16">
        <v>8968.33</v>
      </c>
      <c r="G1101" t="s">
        <v>4700</v>
      </c>
      <c r="H1101" t="s">
        <v>4699</v>
      </c>
      <c r="I1101" t="s">
        <v>4718</v>
      </c>
      <c r="J1101" s="17">
        <f t="shared" si="34"/>
        <v>27280</v>
      </c>
      <c r="K1101">
        <f t="shared" ca="1" si="35"/>
        <v>51</v>
      </c>
    </row>
    <row r="1102" spans="1:11" ht="15.75" customHeight="1">
      <c r="A1102" t="s">
        <v>2479</v>
      </c>
      <c r="B1102">
        <v>1974</v>
      </c>
      <c r="C1102" t="s">
        <v>4708</v>
      </c>
      <c r="D1102">
        <v>21</v>
      </c>
      <c r="E1102">
        <v>2</v>
      </c>
      <c r="F1102" s="16">
        <v>8978.19</v>
      </c>
      <c r="G1102" t="s">
        <v>4699</v>
      </c>
      <c r="H1102" t="s">
        <v>4699</v>
      </c>
      <c r="I1102" t="s">
        <v>4709</v>
      </c>
      <c r="J1102" s="17">
        <f t="shared" si="34"/>
        <v>27231</v>
      </c>
      <c r="K1102">
        <f t="shared" ca="1" si="35"/>
        <v>51</v>
      </c>
    </row>
    <row r="1103" spans="1:11" ht="15.75" customHeight="1">
      <c r="A1103" t="s">
        <v>2477</v>
      </c>
      <c r="B1103">
        <v>1973</v>
      </c>
      <c r="C1103" t="s">
        <v>4717</v>
      </c>
      <c r="D1103">
        <v>11</v>
      </c>
      <c r="E1103">
        <v>0</v>
      </c>
      <c r="F1103" s="16">
        <v>8988.16</v>
      </c>
      <c r="G1103" t="s">
        <v>4699</v>
      </c>
      <c r="H1103" t="s">
        <v>4698</v>
      </c>
      <c r="I1103" t="s">
        <v>4713</v>
      </c>
      <c r="J1103" s="17">
        <f t="shared" si="34"/>
        <v>26948</v>
      </c>
      <c r="K1103">
        <f t="shared" ca="1" si="35"/>
        <v>52</v>
      </c>
    </row>
    <row r="1104" spans="1:11" ht="15.75" customHeight="1">
      <c r="A1104" t="s">
        <v>2475</v>
      </c>
      <c r="B1104">
        <v>1979</v>
      </c>
      <c r="C1104" t="s">
        <v>4714</v>
      </c>
      <c r="D1104">
        <v>16</v>
      </c>
      <c r="E1104">
        <v>2</v>
      </c>
      <c r="F1104" s="16">
        <v>8998.43</v>
      </c>
      <c r="G1104" t="s">
        <v>4699</v>
      </c>
      <c r="H1104" t="s">
        <v>4698</v>
      </c>
      <c r="I1104" t="s">
        <v>4723</v>
      </c>
      <c r="J1104" s="17">
        <f t="shared" si="34"/>
        <v>29205</v>
      </c>
      <c r="K1104">
        <f t="shared" ca="1" si="35"/>
        <v>45</v>
      </c>
    </row>
    <row r="1105" spans="1:11" ht="15.75" customHeight="1">
      <c r="A1105" t="s">
        <v>2473</v>
      </c>
      <c r="B1105">
        <v>1993</v>
      </c>
      <c r="C1105" t="s">
        <v>4714</v>
      </c>
      <c r="D1105">
        <v>1</v>
      </c>
      <c r="E1105">
        <v>0</v>
      </c>
      <c r="F1105" s="16">
        <v>9010.2000000000007</v>
      </c>
      <c r="G1105" t="s">
        <v>4699</v>
      </c>
      <c r="H1105" t="s">
        <v>4700</v>
      </c>
      <c r="I1105" t="s">
        <v>4730</v>
      </c>
      <c r="J1105" s="17">
        <f t="shared" si="34"/>
        <v>34304</v>
      </c>
      <c r="K1105">
        <f t="shared" ca="1" si="35"/>
        <v>31</v>
      </c>
    </row>
    <row r="1106" spans="1:11" ht="15.75" customHeight="1">
      <c r="A1106" t="s">
        <v>2471</v>
      </c>
      <c r="B1106">
        <v>1972</v>
      </c>
      <c r="C1106" t="s">
        <v>4714</v>
      </c>
      <c r="D1106">
        <v>7</v>
      </c>
      <c r="E1106">
        <v>1</v>
      </c>
      <c r="F1106" s="16">
        <v>9048.0300000000007</v>
      </c>
      <c r="G1106" t="s">
        <v>4699</v>
      </c>
      <c r="H1106" t="s">
        <v>4699</v>
      </c>
      <c r="I1106" t="s">
        <v>4709</v>
      </c>
      <c r="J1106" s="17">
        <f t="shared" si="34"/>
        <v>26640</v>
      </c>
      <c r="K1106">
        <f t="shared" ca="1" si="35"/>
        <v>52</v>
      </c>
    </row>
    <row r="1107" spans="1:11" ht="15.75" customHeight="1">
      <c r="A1107" t="s">
        <v>2469</v>
      </c>
      <c r="B1107">
        <v>1972</v>
      </c>
      <c r="C1107" t="s">
        <v>4714</v>
      </c>
      <c r="D1107">
        <v>2</v>
      </c>
      <c r="E1107">
        <v>1</v>
      </c>
      <c r="F1107" s="16">
        <v>9058.73</v>
      </c>
      <c r="G1107" t="s">
        <v>4700</v>
      </c>
      <c r="H1107" t="s">
        <v>4699</v>
      </c>
      <c r="I1107" t="s">
        <v>4709</v>
      </c>
      <c r="J1107" s="17">
        <f t="shared" si="34"/>
        <v>26635</v>
      </c>
      <c r="K1107">
        <f t="shared" ca="1" si="35"/>
        <v>52</v>
      </c>
    </row>
    <row r="1108" spans="1:11" ht="15.75" customHeight="1">
      <c r="A1108" t="s">
        <v>2467</v>
      </c>
      <c r="B1108">
        <v>1977</v>
      </c>
      <c r="C1108" t="s">
        <v>4710</v>
      </c>
      <c r="D1108">
        <v>4</v>
      </c>
      <c r="E1108">
        <v>2</v>
      </c>
      <c r="F1108" s="16">
        <v>9095.07</v>
      </c>
      <c r="G1108" t="s">
        <v>4699</v>
      </c>
      <c r="H1108" t="s">
        <v>4699</v>
      </c>
      <c r="I1108" t="s">
        <v>4724</v>
      </c>
      <c r="J1108" s="17">
        <f t="shared" si="34"/>
        <v>28433</v>
      </c>
      <c r="K1108">
        <f t="shared" ca="1" si="35"/>
        <v>48</v>
      </c>
    </row>
    <row r="1109" spans="1:11" ht="15.75" customHeight="1">
      <c r="A1109" t="s">
        <v>2465</v>
      </c>
      <c r="B1109">
        <v>1965</v>
      </c>
      <c r="C1109" t="s">
        <v>4710</v>
      </c>
      <c r="D1109">
        <v>9</v>
      </c>
      <c r="E1109">
        <v>0</v>
      </c>
      <c r="F1109" s="16">
        <v>9095.94</v>
      </c>
      <c r="G1109" t="s">
        <v>4700</v>
      </c>
      <c r="H1109" t="s">
        <v>4698</v>
      </c>
      <c r="I1109" t="s">
        <v>4718</v>
      </c>
      <c r="J1109" s="17">
        <f t="shared" si="34"/>
        <v>24055</v>
      </c>
      <c r="K1109">
        <f t="shared" ca="1" si="35"/>
        <v>60</v>
      </c>
    </row>
    <row r="1110" spans="1:11" ht="15.75" customHeight="1">
      <c r="A1110" t="s">
        <v>2463</v>
      </c>
      <c r="B1110">
        <v>1977</v>
      </c>
      <c r="C1110" t="s">
        <v>4714</v>
      </c>
      <c r="D1110">
        <v>2</v>
      </c>
      <c r="E1110">
        <v>3</v>
      </c>
      <c r="F1110" s="16">
        <v>9101.7999999999993</v>
      </c>
      <c r="G1110" t="s">
        <v>4699</v>
      </c>
      <c r="H1110" t="s">
        <v>4698</v>
      </c>
      <c r="I1110" t="s">
        <v>4718</v>
      </c>
      <c r="J1110" s="17">
        <f t="shared" si="34"/>
        <v>28461</v>
      </c>
      <c r="K1110">
        <f t="shared" ca="1" si="35"/>
        <v>47</v>
      </c>
    </row>
    <row r="1111" spans="1:11" ht="15.75" customHeight="1">
      <c r="A1111" t="s">
        <v>2461</v>
      </c>
      <c r="B1111">
        <v>1970</v>
      </c>
      <c r="C1111" t="s">
        <v>4716</v>
      </c>
      <c r="D1111">
        <v>12</v>
      </c>
      <c r="E1111">
        <v>0</v>
      </c>
      <c r="F1111" s="16">
        <v>9140.9500000000007</v>
      </c>
      <c r="G1111" t="s">
        <v>4700</v>
      </c>
      <c r="H1111" t="s">
        <v>4700</v>
      </c>
      <c r="I1111" t="s">
        <v>4709</v>
      </c>
      <c r="J1111" s="17">
        <f t="shared" si="34"/>
        <v>25792</v>
      </c>
      <c r="K1111">
        <f t="shared" ca="1" si="35"/>
        <v>55</v>
      </c>
    </row>
    <row r="1112" spans="1:11" ht="15.75" customHeight="1">
      <c r="A1112" t="s">
        <v>2459</v>
      </c>
      <c r="B1112">
        <v>1970</v>
      </c>
      <c r="C1112" t="s">
        <v>4717</v>
      </c>
      <c r="D1112">
        <v>18</v>
      </c>
      <c r="E1112">
        <v>0</v>
      </c>
      <c r="F1112" s="16">
        <v>9144.57</v>
      </c>
      <c r="G1112" t="s">
        <v>4700</v>
      </c>
      <c r="H1112" t="s">
        <v>4699</v>
      </c>
      <c r="I1112" t="s">
        <v>4718</v>
      </c>
      <c r="J1112" s="17">
        <f t="shared" si="34"/>
        <v>25859</v>
      </c>
      <c r="K1112">
        <f t="shared" ca="1" si="35"/>
        <v>55</v>
      </c>
    </row>
    <row r="1113" spans="1:11" ht="15.75" customHeight="1">
      <c r="A1113" t="s">
        <v>2457</v>
      </c>
      <c r="B1113">
        <v>1982</v>
      </c>
      <c r="C1113" t="s">
        <v>4714</v>
      </c>
      <c r="D1113">
        <v>8</v>
      </c>
      <c r="E1113">
        <v>3</v>
      </c>
      <c r="F1113" s="16">
        <v>9147.5</v>
      </c>
      <c r="G1113" t="s">
        <v>4699</v>
      </c>
      <c r="H1113" t="s">
        <v>4698</v>
      </c>
      <c r="I1113" t="s">
        <v>4713</v>
      </c>
      <c r="J1113" s="17">
        <f t="shared" si="34"/>
        <v>30293</v>
      </c>
      <c r="K1113">
        <f t="shared" ca="1" si="35"/>
        <v>42</v>
      </c>
    </row>
    <row r="1114" spans="1:11" ht="15.75" customHeight="1">
      <c r="A1114" t="s">
        <v>2455</v>
      </c>
      <c r="B1114">
        <v>1990</v>
      </c>
      <c r="C1114" t="s">
        <v>4716</v>
      </c>
      <c r="D1114">
        <v>23</v>
      </c>
      <c r="E1114">
        <v>3</v>
      </c>
      <c r="F1114" s="16">
        <v>9159.51</v>
      </c>
      <c r="G1114" t="s">
        <v>4699</v>
      </c>
      <c r="H1114" t="s">
        <v>4699</v>
      </c>
      <c r="I1114" t="s">
        <v>4727</v>
      </c>
      <c r="J1114" s="17">
        <f t="shared" si="34"/>
        <v>33108</v>
      </c>
      <c r="K1114">
        <f t="shared" ca="1" si="35"/>
        <v>35</v>
      </c>
    </row>
    <row r="1115" spans="1:11" ht="15.75" customHeight="1">
      <c r="A1115" t="s">
        <v>2453</v>
      </c>
      <c r="B1115">
        <v>1970</v>
      </c>
      <c r="C1115" t="s">
        <v>4717</v>
      </c>
      <c r="D1115">
        <v>24</v>
      </c>
      <c r="E1115">
        <v>0</v>
      </c>
      <c r="F1115" s="16">
        <v>9171.75</v>
      </c>
      <c r="G1115" t="s">
        <v>4699</v>
      </c>
      <c r="H1115" t="s">
        <v>4699</v>
      </c>
      <c r="I1115" t="s">
        <v>4713</v>
      </c>
      <c r="J1115" s="17">
        <f t="shared" si="34"/>
        <v>25865</v>
      </c>
      <c r="K1115">
        <f t="shared" ca="1" si="35"/>
        <v>55</v>
      </c>
    </row>
    <row r="1116" spans="1:11" ht="15.75" customHeight="1">
      <c r="A1116" t="s">
        <v>2451</v>
      </c>
      <c r="B1116">
        <v>1971</v>
      </c>
      <c r="C1116" t="s">
        <v>4714</v>
      </c>
      <c r="D1116">
        <v>29</v>
      </c>
      <c r="E1116">
        <v>0</v>
      </c>
      <c r="F1116" s="16">
        <v>9174.14</v>
      </c>
      <c r="G1116" t="s">
        <v>4700</v>
      </c>
      <c r="H1116" t="s">
        <v>4698</v>
      </c>
      <c r="I1116" t="s">
        <v>4713</v>
      </c>
      <c r="J1116" s="17">
        <f t="shared" si="34"/>
        <v>26296</v>
      </c>
      <c r="K1116">
        <f t="shared" ca="1" si="35"/>
        <v>53</v>
      </c>
    </row>
    <row r="1117" spans="1:11" ht="15.75" customHeight="1">
      <c r="A1117" t="s">
        <v>2449</v>
      </c>
      <c r="B1117">
        <v>1973</v>
      </c>
      <c r="C1117" t="s">
        <v>4714</v>
      </c>
      <c r="D1117">
        <v>25</v>
      </c>
      <c r="E1117">
        <v>1</v>
      </c>
      <c r="F1117" s="16">
        <v>9182.17</v>
      </c>
      <c r="G1117" t="s">
        <v>4699</v>
      </c>
      <c r="H1117" t="s">
        <v>4700</v>
      </c>
      <c r="I1117" t="s">
        <v>4718</v>
      </c>
      <c r="J1117" s="17">
        <f t="shared" si="34"/>
        <v>27023</v>
      </c>
      <c r="K1117">
        <f t="shared" ca="1" si="35"/>
        <v>51</v>
      </c>
    </row>
    <row r="1118" spans="1:11" ht="15.75" customHeight="1">
      <c r="A1118" t="s">
        <v>2447</v>
      </c>
      <c r="B1118">
        <v>1976</v>
      </c>
      <c r="C1118" t="s">
        <v>4712</v>
      </c>
      <c r="D1118">
        <v>10</v>
      </c>
      <c r="E1118">
        <v>2</v>
      </c>
      <c r="F1118" s="16">
        <v>9193.84</v>
      </c>
      <c r="G1118" t="s">
        <v>4699</v>
      </c>
      <c r="H1118" t="s">
        <v>4698</v>
      </c>
      <c r="I1118" t="s">
        <v>4713</v>
      </c>
      <c r="J1118" s="17">
        <f t="shared" si="34"/>
        <v>28013</v>
      </c>
      <c r="K1118">
        <f t="shared" ca="1" si="35"/>
        <v>49</v>
      </c>
    </row>
    <row r="1119" spans="1:11" ht="15.75" customHeight="1">
      <c r="A1119" t="s">
        <v>2445</v>
      </c>
      <c r="B1119">
        <v>1986</v>
      </c>
      <c r="C1119" t="s">
        <v>4714</v>
      </c>
      <c r="D1119">
        <v>25</v>
      </c>
      <c r="E1119">
        <v>3</v>
      </c>
      <c r="F1119" s="16">
        <v>9210.06</v>
      </c>
      <c r="G1119" t="s">
        <v>4699</v>
      </c>
      <c r="H1119" t="s">
        <v>4700</v>
      </c>
      <c r="I1119" t="s">
        <v>4727</v>
      </c>
      <c r="J1119" s="17">
        <f t="shared" si="34"/>
        <v>31771</v>
      </c>
      <c r="K1119">
        <f t="shared" ca="1" si="35"/>
        <v>38</v>
      </c>
    </row>
    <row r="1120" spans="1:11" ht="15.75" customHeight="1">
      <c r="A1120" t="s">
        <v>2443</v>
      </c>
      <c r="B1120">
        <v>1981</v>
      </c>
      <c r="C1120" t="s">
        <v>4714</v>
      </c>
      <c r="D1120">
        <v>5</v>
      </c>
      <c r="E1120">
        <v>5</v>
      </c>
      <c r="F1120" s="16">
        <v>9222.4</v>
      </c>
      <c r="G1120" t="s">
        <v>4699</v>
      </c>
      <c r="H1120" t="s">
        <v>4700</v>
      </c>
      <c r="I1120" t="s">
        <v>4720</v>
      </c>
      <c r="J1120" s="17">
        <f t="shared" si="34"/>
        <v>29925</v>
      </c>
      <c r="K1120">
        <f t="shared" ca="1" si="35"/>
        <v>43</v>
      </c>
    </row>
    <row r="1121" spans="1:11" ht="15.75" customHeight="1">
      <c r="A1121" t="s">
        <v>2441</v>
      </c>
      <c r="B1121">
        <v>1975</v>
      </c>
      <c r="C1121" t="s">
        <v>4714</v>
      </c>
      <c r="D1121">
        <v>6</v>
      </c>
      <c r="E1121">
        <v>2</v>
      </c>
      <c r="F1121" s="16">
        <v>9225.26</v>
      </c>
      <c r="G1121" t="s">
        <v>4700</v>
      </c>
      <c r="H1121" t="s">
        <v>4700</v>
      </c>
      <c r="I1121" t="s">
        <v>4719</v>
      </c>
      <c r="J1121" s="17">
        <f t="shared" si="34"/>
        <v>27734</v>
      </c>
      <c r="K1121">
        <f t="shared" ca="1" si="35"/>
        <v>49</v>
      </c>
    </row>
    <row r="1122" spans="1:11" ht="15.75" customHeight="1">
      <c r="A1122" t="s">
        <v>2439</v>
      </c>
      <c r="B1122">
        <v>1980</v>
      </c>
      <c r="C1122" t="s">
        <v>4717</v>
      </c>
      <c r="D1122">
        <v>5</v>
      </c>
      <c r="E1122">
        <v>2</v>
      </c>
      <c r="F1122" s="16">
        <v>9247.94</v>
      </c>
      <c r="G1122" t="s">
        <v>4699</v>
      </c>
      <c r="H1122" t="s">
        <v>4698</v>
      </c>
      <c r="I1122" t="s">
        <v>4727</v>
      </c>
      <c r="J1122" s="17">
        <f t="shared" si="34"/>
        <v>29499</v>
      </c>
      <c r="K1122">
        <f t="shared" ca="1" si="35"/>
        <v>45</v>
      </c>
    </row>
    <row r="1123" spans="1:11" ht="15.75" customHeight="1">
      <c r="A1123" t="s">
        <v>2437</v>
      </c>
      <c r="B1123">
        <v>1974</v>
      </c>
      <c r="C1123" t="s">
        <v>4716</v>
      </c>
      <c r="D1123">
        <v>21</v>
      </c>
      <c r="E1123">
        <v>1</v>
      </c>
      <c r="F1123" s="16">
        <v>9249.5</v>
      </c>
      <c r="G1123" t="s">
        <v>4699</v>
      </c>
      <c r="H1123" t="s">
        <v>4698</v>
      </c>
      <c r="I1123" t="s">
        <v>4713</v>
      </c>
      <c r="J1123" s="17">
        <f t="shared" si="34"/>
        <v>27262</v>
      </c>
      <c r="K1123">
        <f t="shared" ca="1" si="35"/>
        <v>51</v>
      </c>
    </row>
    <row r="1124" spans="1:11" ht="15.75" customHeight="1">
      <c r="A1124" t="s">
        <v>2435</v>
      </c>
      <c r="B1124">
        <v>1971</v>
      </c>
      <c r="C1124" t="s">
        <v>4716</v>
      </c>
      <c r="D1124">
        <v>6</v>
      </c>
      <c r="E1124">
        <v>0</v>
      </c>
      <c r="F1124" s="16">
        <v>9264.7999999999993</v>
      </c>
      <c r="G1124" t="s">
        <v>4699</v>
      </c>
      <c r="H1124" t="s">
        <v>4698</v>
      </c>
      <c r="I1124" t="s">
        <v>4718</v>
      </c>
      <c r="J1124" s="17">
        <f t="shared" si="34"/>
        <v>26151</v>
      </c>
      <c r="K1124">
        <f t="shared" ca="1" si="35"/>
        <v>54</v>
      </c>
    </row>
    <row r="1125" spans="1:11" ht="15.75" customHeight="1">
      <c r="A1125" t="s">
        <v>2433</v>
      </c>
      <c r="B1125">
        <v>1973</v>
      </c>
      <c r="C1125" t="s">
        <v>4717</v>
      </c>
      <c r="D1125">
        <v>27</v>
      </c>
      <c r="E1125">
        <v>1</v>
      </c>
      <c r="F1125" s="16">
        <v>9282.48</v>
      </c>
      <c r="G1125" t="s">
        <v>4700</v>
      </c>
      <c r="H1125" t="s">
        <v>4699</v>
      </c>
      <c r="I1125" t="s">
        <v>4721</v>
      </c>
      <c r="J1125" s="17">
        <f t="shared" si="34"/>
        <v>26964</v>
      </c>
      <c r="K1125">
        <f t="shared" ca="1" si="35"/>
        <v>52</v>
      </c>
    </row>
    <row r="1126" spans="1:11" ht="15.75" customHeight="1">
      <c r="A1126" t="s">
        <v>2431</v>
      </c>
      <c r="B1126">
        <v>1971</v>
      </c>
      <c r="C1126" t="s">
        <v>4708</v>
      </c>
      <c r="D1126">
        <v>2</v>
      </c>
      <c r="E1126">
        <v>0</v>
      </c>
      <c r="F1126" s="16">
        <v>9283.56</v>
      </c>
      <c r="G1126" t="s">
        <v>4699</v>
      </c>
      <c r="H1126" t="s">
        <v>4700</v>
      </c>
      <c r="I1126" t="s">
        <v>4709</v>
      </c>
      <c r="J1126" s="17">
        <f t="shared" si="34"/>
        <v>26116</v>
      </c>
      <c r="K1126">
        <f t="shared" ca="1" si="35"/>
        <v>54</v>
      </c>
    </row>
    <row r="1127" spans="1:11" ht="15.75" customHeight="1">
      <c r="A1127" t="s">
        <v>2429</v>
      </c>
      <c r="B1127">
        <v>1969</v>
      </c>
      <c r="C1127" t="s">
        <v>4710</v>
      </c>
      <c r="D1127">
        <v>26</v>
      </c>
      <c r="E1127">
        <v>0</v>
      </c>
      <c r="F1127" s="16">
        <v>9285.8700000000008</v>
      </c>
      <c r="G1127" t="s">
        <v>4699</v>
      </c>
      <c r="H1127" t="s">
        <v>4700</v>
      </c>
      <c r="I1127" t="s">
        <v>4709</v>
      </c>
      <c r="J1127" s="17">
        <f t="shared" si="34"/>
        <v>25533</v>
      </c>
      <c r="K1127">
        <f t="shared" ca="1" si="35"/>
        <v>56</v>
      </c>
    </row>
    <row r="1128" spans="1:11" ht="15.75" customHeight="1">
      <c r="A1128" t="s">
        <v>2427</v>
      </c>
      <c r="B1128">
        <v>1973</v>
      </c>
      <c r="C1128" t="s">
        <v>4717</v>
      </c>
      <c r="D1128">
        <v>16</v>
      </c>
      <c r="E1128">
        <v>1</v>
      </c>
      <c r="F1128" s="16">
        <v>9288.0300000000007</v>
      </c>
      <c r="G1128" t="s">
        <v>4699</v>
      </c>
      <c r="H1128" t="s">
        <v>4700</v>
      </c>
      <c r="I1128" t="s">
        <v>4722</v>
      </c>
      <c r="J1128" s="17">
        <f t="shared" si="34"/>
        <v>26953</v>
      </c>
      <c r="K1128">
        <f t="shared" ca="1" si="35"/>
        <v>52</v>
      </c>
    </row>
    <row r="1129" spans="1:11" ht="15.75" customHeight="1">
      <c r="A1129" t="s">
        <v>2425</v>
      </c>
      <c r="B1129">
        <v>1973</v>
      </c>
      <c r="C1129" t="s">
        <v>4712</v>
      </c>
      <c r="D1129">
        <v>18</v>
      </c>
      <c r="E1129">
        <v>1</v>
      </c>
      <c r="F1129" s="16">
        <v>9290.14</v>
      </c>
      <c r="G1129" t="s">
        <v>4700</v>
      </c>
      <c r="H1129" t="s">
        <v>4700</v>
      </c>
      <c r="I1129" t="s">
        <v>4721</v>
      </c>
      <c r="J1129" s="17">
        <f t="shared" si="34"/>
        <v>26925</v>
      </c>
      <c r="K1129">
        <f t="shared" ca="1" si="35"/>
        <v>52</v>
      </c>
    </row>
    <row r="1130" spans="1:11" ht="15.75" customHeight="1">
      <c r="A1130" t="s">
        <v>2423</v>
      </c>
      <c r="B1130">
        <v>1976</v>
      </c>
      <c r="C1130" t="s">
        <v>4710</v>
      </c>
      <c r="D1130">
        <v>3</v>
      </c>
      <c r="E1130">
        <v>3</v>
      </c>
      <c r="F1130" s="16">
        <v>9301.89</v>
      </c>
      <c r="G1130" t="s">
        <v>4699</v>
      </c>
      <c r="H1130" t="s">
        <v>4698</v>
      </c>
      <c r="I1130" t="s">
        <v>4713</v>
      </c>
      <c r="J1130" s="17">
        <f t="shared" si="34"/>
        <v>28067</v>
      </c>
      <c r="K1130">
        <f t="shared" ca="1" si="35"/>
        <v>49</v>
      </c>
    </row>
    <row r="1131" spans="1:11" ht="15.75" customHeight="1">
      <c r="A1131" t="s">
        <v>2421</v>
      </c>
      <c r="B1131">
        <v>1973</v>
      </c>
      <c r="C1131" t="s">
        <v>4717</v>
      </c>
      <c r="D1131">
        <v>16</v>
      </c>
      <c r="E1131">
        <v>2</v>
      </c>
      <c r="F1131" s="16">
        <v>9304.7000000000007</v>
      </c>
      <c r="G1131" t="s">
        <v>4700</v>
      </c>
      <c r="H1131" t="s">
        <v>4700</v>
      </c>
      <c r="I1131" t="s">
        <v>4709</v>
      </c>
      <c r="J1131" s="17">
        <f t="shared" si="34"/>
        <v>26953</v>
      </c>
      <c r="K1131">
        <f t="shared" ca="1" si="35"/>
        <v>52</v>
      </c>
    </row>
    <row r="1132" spans="1:11" ht="15.75" customHeight="1">
      <c r="A1132" t="s">
        <v>2419</v>
      </c>
      <c r="B1132">
        <v>1963</v>
      </c>
      <c r="C1132" t="s">
        <v>4711</v>
      </c>
      <c r="D1132">
        <v>8</v>
      </c>
      <c r="E1132">
        <v>0</v>
      </c>
      <c r="F1132" s="16">
        <v>9310.81</v>
      </c>
      <c r="G1132" t="s">
        <v>4700</v>
      </c>
      <c r="H1132" t="s">
        <v>4698</v>
      </c>
      <c r="I1132" t="s">
        <v>4709</v>
      </c>
      <c r="J1132" s="17">
        <f t="shared" si="34"/>
        <v>23170</v>
      </c>
      <c r="K1132">
        <f t="shared" ca="1" si="35"/>
        <v>62</v>
      </c>
    </row>
    <row r="1133" spans="1:11" ht="15.75" customHeight="1">
      <c r="A1133" t="s">
        <v>2417</v>
      </c>
      <c r="B1133">
        <v>1977</v>
      </c>
      <c r="C1133" t="s">
        <v>4717</v>
      </c>
      <c r="D1133">
        <v>12</v>
      </c>
      <c r="E1133">
        <v>2</v>
      </c>
      <c r="F1133" s="16">
        <v>9315.41</v>
      </c>
      <c r="G1133" t="s">
        <v>4699</v>
      </c>
      <c r="H1133" t="s">
        <v>4698</v>
      </c>
      <c r="I1133" t="s">
        <v>4724</v>
      </c>
      <c r="J1133" s="17">
        <f t="shared" si="34"/>
        <v>28410</v>
      </c>
      <c r="K1133">
        <f t="shared" ca="1" si="35"/>
        <v>48</v>
      </c>
    </row>
    <row r="1134" spans="1:11" ht="15.75" customHeight="1">
      <c r="A1134" t="s">
        <v>2415</v>
      </c>
      <c r="B1134">
        <v>1988</v>
      </c>
      <c r="C1134" t="s">
        <v>4708</v>
      </c>
      <c r="D1134">
        <v>9</v>
      </c>
      <c r="E1134">
        <v>3</v>
      </c>
      <c r="F1134" s="16">
        <v>9320.26</v>
      </c>
      <c r="G1134" t="s">
        <v>4699</v>
      </c>
      <c r="H1134" t="s">
        <v>4698</v>
      </c>
      <c r="I1134" t="s">
        <v>4713</v>
      </c>
      <c r="J1134" s="17">
        <f t="shared" si="34"/>
        <v>32333</v>
      </c>
      <c r="K1134">
        <f t="shared" ca="1" si="35"/>
        <v>37</v>
      </c>
    </row>
    <row r="1135" spans="1:11" ht="15.75" customHeight="1">
      <c r="A1135" t="s">
        <v>2413</v>
      </c>
      <c r="B1135">
        <v>1996</v>
      </c>
      <c r="C1135" t="s">
        <v>4717</v>
      </c>
      <c r="D1135">
        <v>12</v>
      </c>
      <c r="E1135">
        <v>0</v>
      </c>
      <c r="F1135" s="16">
        <v>9338.61</v>
      </c>
      <c r="G1135" t="s">
        <v>4699</v>
      </c>
      <c r="H1135" t="s">
        <v>4698</v>
      </c>
      <c r="I1135" t="s">
        <v>4730</v>
      </c>
      <c r="J1135" s="17">
        <f t="shared" si="34"/>
        <v>35350</v>
      </c>
      <c r="K1135">
        <f t="shared" ca="1" si="35"/>
        <v>29</v>
      </c>
    </row>
    <row r="1136" spans="1:11" ht="15.75" customHeight="1">
      <c r="A1136" t="s">
        <v>2411</v>
      </c>
      <c r="B1136">
        <v>1988</v>
      </c>
      <c r="C1136" t="s">
        <v>4708</v>
      </c>
      <c r="D1136">
        <v>1</v>
      </c>
      <c r="E1136">
        <v>3</v>
      </c>
      <c r="F1136" s="16">
        <v>9344.2000000000007</v>
      </c>
      <c r="G1136" t="s">
        <v>4699</v>
      </c>
      <c r="H1136" t="s">
        <v>4698</v>
      </c>
      <c r="I1136" t="s">
        <v>4727</v>
      </c>
      <c r="J1136" s="17">
        <f t="shared" si="34"/>
        <v>32325</v>
      </c>
      <c r="K1136">
        <f t="shared" ca="1" si="35"/>
        <v>37</v>
      </c>
    </row>
    <row r="1137" spans="1:11" ht="15.75" customHeight="1">
      <c r="A1137" t="s">
        <v>2409</v>
      </c>
      <c r="B1137">
        <v>1971</v>
      </c>
      <c r="C1137" t="s">
        <v>4717</v>
      </c>
      <c r="D1137">
        <v>8</v>
      </c>
      <c r="E1137">
        <v>0</v>
      </c>
      <c r="F1137" s="16">
        <v>9361.33</v>
      </c>
      <c r="G1137" t="s">
        <v>4700</v>
      </c>
      <c r="H1137" t="s">
        <v>4698</v>
      </c>
      <c r="I1137" t="s">
        <v>4721</v>
      </c>
      <c r="J1137" s="17">
        <f t="shared" si="34"/>
        <v>26214</v>
      </c>
      <c r="K1137">
        <f t="shared" ca="1" si="35"/>
        <v>54</v>
      </c>
    </row>
    <row r="1138" spans="1:11" ht="15.75" customHeight="1">
      <c r="A1138" t="s">
        <v>2407</v>
      </c>
      <c r="B1138">
        <v>1969</v>
      </c>
      <c r="C1138" t="s">
        <v>4710</v>
      </c>
      <c r="D1138">
        <v>24</v>
      </c>
      <c r="E1138">
        <v>0</v>
      </c>
      <c r="F1138" s="16">
        <v>9377.4500000000007</v>
      </c>
      <c r="G1138" t="s">
        <v>4699</v>
      </c>
      <c r="H1138" t="s">
        <v>4700</v>
      </c>
      <c r="I1138" t="s">
        <v>4709</v>
      </c>
      <c r="J1138" s="17">
        <f t="shared" si="34"/>
        <v>25531</v>
      </c>
      <c r="K1138">
        <f t="shared" ca="1" si="35"/>
        <v>56</v>
      </c>
    </row>
    <row r="1139" spans="1:11" ht="15.75" customHeight="1">
      <c r="A1139" t="s">
        <v>2405</v>
      </c>
      <c r="B1139">
        <v>1971</v>
      </c>
      <c r="C1139" t="s">
        <v>4710</v>
      </c>
      <c r="D1139">
        <v>26</v>
      </c>
      <c r="E1139">
        <v>1</v>
      </c>
      <c r="F1139" s="16">
        <v>9377.9</v>
      </c>
      <c r="G1139" t="s">
        <v>4699</v>
      </c>
      <c r="H1139" t="s">
        <v>4698</v>
      </c>
      <c r="I1139" t="s">
        <v>4709</v>
      </c>
      <c r="J1139" s="17">
        <f t="shared" si="34"/>
        <v>26263</v>
      </c>
      <c r="K1139">
        <f t="shared" ca="1" si="35"/>
        <v>54</v>
      </c>
    </row>
    <row r="1140" spans="1:11" ht="15.75" customHeight="1">
      <c r="A1140" t="s">
        <v>2403</v>
      </c>
      <c r="B1140">
        <v>1975</v>
      </c>
      <c r="C1140" t="s">
        <v>4714</v>
      </c>
      <c r="D1140">
        <v>2</v>
      </c>
      <c r="E1140">
        <v>1</v>
      </c>
      <c r="F1140" s="16">
        <v>9380.75</v>
      </c>
      <c r="G1140" t="s">
        <v>4699</v>
      </c>
      <c r="H1140" t="s">
        <v>4699</v>
      </c>
      <c r="I1140" t="s">
        <v>4724</v>
      </c>
      <c r="J1140" s="17">
        <f t="shared" si="34"/>
        <v>27730</v>
      </c>
      <c r="K1140">
        <f t="shared" ca="1" si="35"/>
        <v>49</v>
      </c>
    </row>
    <row r="1141" spans="1:11" ht="15.75" customHeight="1">
      <c r="A1141" t="s">
        <v>2401</v>
      </c>
      <c r="B1141">
        <v>1971</v>
      </c>
      <c r="C1141" t="s">
        <v>4714</v>
      </c>
      <c r="D1141">
        <v>29</v>
      </c>
      <c r="E1141">
        <v>1</v>
      </c>
      <c r="F1141" s="16">
        <v>9386.16</v>
      </c>
      <c r="G1141" t="s">
        <v>4700</v>
      </c>
      <c r="H1141" t="s">
        <v>4699</v>
      </c>
      <c r="I1141" t="s">
        <v>4709</v>
      </c>
      <c r="J1141" s="17">
        <f t="shared" si="34"/>
        <v>26296</v>
      </c>
      <c r="K1141">
        <f t="shared" ca="1" si="35"/>
        <v>53</v>
      </c>
    </row>
    <row r="1142" spans="1:11" ht="15.75" customHeight="1">
      <c r="A1142" t="s">
        <v>2399</v>
      </c>
      <c r="B1142">
        <v>1971</v>
      </c>
      <c r="C1142" t="s">
        <v>4717</v>
      </c>
      <c r="D1142">
        <v>20</v>
      </c>
      <c r="E1142">
        <v>1</v>
      </c>
      <c r="F1142" s="16">
        <v>9391.35</v>
      </c>
      <c r="G1142" t="s">
        <v>4700</v>
      </c>
      <c r="H1142" t="s">
        <v>4700</v>
      </c>
      <c r="I1142" t="s">
        <v>4718</v>
      </c>
      <c r="J1142" s="17">
        <f t="shared" si="34"/>
        <v>26226</v>
      </c>
      <c r="K1142">
        <f t="shared" ca="1" si="35"/>
        <v>54</v>
      </c>
    </row>
    <row r="1143" spans="1:11" ht="15.75" customHeight="1">
      <c r="A1143" t="s">
        <v>2397</v>
      </c>
      <c r="B1143">
        <v>1976</v>
      </c>
      <c r="C1143" t="s">
        <v>4717</v>
      </c>
      <c r="D1143">
        <v>17</v>
      </c>
      <c r="E1143">
        <v>2</v>
      </c>
      <c r="F1143" s="16">
        <v>9411.01</v>
      </c>
      <c r="G1143" t="s">
        <v>4699</v>
      </c>
      <c r="H1143" t="s">
        <v>4700</v>
      </c>
      <c r="I1143" t="s">
        <v>4724</v>
      </c>
      <c r="J1143" s="17">
        <f t="shared" si="34"/>
        <v>28050</v>
      </c>
      <c r="K1143">
        <f t="shared" ca="1" si="35"/>
        <v>49</v>
      </c>
    </row>
    <row r="1144" spans="1:11" ht="15.75" customHeight="1">
      <c r="A1144" t="s">
        <v>2395</v>
      </c>
      <c r="B1144">
        <v>1976</v>
      </c>
      <c r="C1144" t="s">
        <v>4717</v>
      </c>
      <c r="D1144">
        <v>30</v>
      </c>
      <c r="E1144">
        <v>3</v>
      </c>
      <c r="F1144" s="16">
        <v>9414.92</v>
      </c>
      <c r="G1144" t="s">
        <v>4699</v>
      </c>
      <c r="H1144" t="s">
        <v>4699</v>
      </c>
      <c r="I1144" t="s">
        <v>4718</v>
      </c>
      <c r="J1144" s="17">
        <f t="shared" si="34"/>
        <v>28063</v>
      </c>
      <c r="K1144">
        <f t="shared" ca="1" si="35"/>
        <v>49</v>
      </c>
    </row>
    <row r="1145" spans="1:11" ht="15.75" customHeight="1">
      <c r="A1145" t="s">
        <v>2393</v>
      </c>
      <c r="B1145">
        <v>1976</v>
      </c>
      <c r="C1145" t="s">
        <v>4710</v>
      </c>
      <c r="D1145">
        <v>3</v>
      </c>
      <c r="E1145">
        <v>2</v>
      </c>
      <c r="F1145" s="16">
        <v>9432.93</v>
      </c>
      <c r="G1145" t="s">
        <v>4699</v>
      </c>
      <c r="H1145" t="s">
        <v>4698</v>
      </c>
      <c r="I1145" t="s">
        <v>4724</v>
      </c>
      <c r="J1145" s="17">
        <f t="shared" si="34"/>
        <v>28067</v>
      </c>
      <c r="K1145">
        <f t="shared" ca="1" si="35"/>
        <v>49</v>
      </c>
    </row>
    <row r="1146" spans="1:11" ht="15.75" customHeight="1">
      <c r="A1146" t="s">
        <v>2391</v>
      </c>
      <c r="B1146">
        <v>1974</v>
      </c>
      <c r="C1146" t="s">
        <v>4710</v>
      </c>
      <c r="D1146">
        <v>27</v>
      </c>
      <c r="E1146">
        <v>1</v>
      </c>
      <c r="F1146" s="16">
        <v>9447.25</v>
      </c>
      <c r="G1146" t="s">
        <v>4699</v>
      </c>
      <c r="H1146" t="s">
        <v>4698</v>
      </c>
      <c r="I1146" t="s">
        <v>4724</v>
      </c>
      <c r="J1146" s="17">
        <f t="shared" si="34"/>
        <v>27360</v>
      </c>
      <c r="K1146">
        <f t="shared" ca="1" si="35"/>
        <v>51</v>
      </c>
    </row>
    <row r="1147" spans="1:11" ht="15.75" customHeight="1">
      <c r="A1147" t="s">
        <v>2389</v>
      </c>
      <c r="B1147">
        <v>1974</v>
      </c>
      <c r="C1147" t="s">
        <v>4711</v>
      </c>
      <c r="D1147">
        <v>8</v>
      </c>
      <c r="E1147">
        <v>1</v>
      </c>
      <c r="F1147" s="16">
        <v>9447.3799999999992</v>
      </c>
      <c r="G1147" t="s">
        <v>4699</v>
      </c>
      <c r="H1147" t="s">
        <v>4700</v>
      </c>
      <c r="I1147" t="s">
        <v>4724</v>
      </c>
      <c r="J1147" s="17">
        <f t="shared" si="34"/>
        <v>27188</v>
      </c>
      <c r="K1147">
        <f t="shared" ca="1" si="35"/>
        <v>51</v>
      </c>
    </row>
    <row r="1148" spans="1:11" ht="15.75" customHeight="1">
      <c r="A1148" t="s">
        <v>2387</v>
      </c>
      <c r="B1148">
        <v>1987</v>
      </c>
      <c r="C1148" t="s">
        <v>4710</v>
      </c>
      <c r="D1148">
        <v>14</v>
      </c>
      <c r="E1148">
        <v>3</v>
      </c>
      <c r="F1148" s="16">
        <v>9448.42</v>
      </c>
      <c r="G1148" t="s">
        <v>4699</v>
      </c>
      <c r="H1148" t="s">
        <v>4700</v>
      </c>
      <c r="I1148" t="s">
        <v>4727</v>
      </c>
      <c r="J1148" s="17">
        <f t="shared" si="34"/>
        <v>32095</v>
      </c>
      <c r="K1148">
        <f t="shared" ca="1" si="35"/>
        <v>38</v>
      </c>
    </row>
    <row r="1149" spans="1:11" ht="15.75" customHeight="1">
      <c r="A1149" t="s">
        <v>2385</v>
      </c>
      <c r="B1149">
        <v>1979</v>
      </c>
      <c r="C1149" t="s">
        <v>4708</v>
      </c>
      <c r="D1149">
        <v>17</v>
      </c>
      <c r="E1149">
        <v>2</v>
      </c>
      <c r="F1149" s="16">
        <v>9453.92</v>
      </c>
      <c r="G1149" t="s">
        <v>4699</v>
      </c>
      <c r="H1149" t="s">
        <v>4699</v>
      </c>
      <c r="I1149" t="s">
        <v>4727</v>
      </c>
      <c r="J1149" s="17">
        <f t="shared" si="34"/>
        <v>29053</v>
      </c>
      <c r="K1149">
        <f t="shared" ca="1" si="35"/>
        <v>46</v>
      </c>
    </row>
    <row r="1150" spans="1:11" ht="15.75" customHeight="1">
      <c r="A1150" t="s">
        <v>2383</v>
      </c>
      <c r="B1150">
        <v>1969</v>
      </c>
      <c r="C1150" t="s">
        <v>4711</v>
      </c>
      <c r="D1150">
        <v>4</v>
      </c>
      <c r="E1150">
        <v>0</v>
      </c>
      <c r="F1150" s="16">
        <v>9487.64</v>
      </c>
      <c r="G1150" t="s">
        <v>4699</v>
      </c>
      <c r="H1150" t="s">
        <v>4699</v>
      </c>
      <c r="I1150" t="s">
        <v>4709</v>
      </c>
      <c r="J1150" s="17">
        <f t="shared" si="34"/>
        <v>25358</v>
      </c>
      <c r="K1150">
        <f t="shared" ca="1" si="35"/>
        <v>56</v>
      </c>
    </row>
    <row r="1151" spans="1:11" ht="15.75" customHeight="1">
      <c r="A1151" t="s">
        <v>2381</v>
      </c>
      <c r="B1151">
        <v>1976</v>
      </c>
      <c r="C1151" t="s">
        <v>4710</v>
      </c>
      <c r="D1151">
        <v>28</v>
      </c>
      <c r="E1151">
        <v>3</v>
      </c>
      <c r="F1151" s="16">
        <v>9500.57</v>
      </c>
      <c r="G1151" t="s">
        <v>4699</v>
      </c>
      <c r="H1151" t="s">
        <v>4700</v>
      </c>
      <c r="I1151" t="s">
        <v>4728</v>
      </c>
      <c r="J1151" s="17">
        <f t="shared" si="34"/>
        <v>28092</v>
      </c>
      <c r="K1151">
        <f t="shared" ca="1" si="35"/>
        <v>48</v>
      </c>
    </row>
    <row r="1152" spans="1:11" ht="15.75" customHeight="1">
      <c r="A1152" t="s">
        <v>2379</v>
      </c>
      <c r="B1152">
        <v>1969</v>
      </c>
      <c r="C1152" t="s">
        <v>4716</v>
      </c>
      <c r="D1152">
        <v>24</v>
      </c>
      <c r="E1152">
        <v>0</v>
      </c>
      <c r="F1152" s="16">
        <v>9504.31</v>
      </c>
      <c r="G1152" t="s">
        <v>4700</v>
      </c>
      <c r="H1152" t="s">
        <v>4699</v>
      </c>
      <c r="I1152" t="s">
        <v>4709</v>
      </c>
      <c r="J1152" s="17">
        <f t="shared" si="34"/>
        <v>25439</v>
      </c>
      <c r="K1152">
        <f t="shared" ca="1" si="35"/>
        <v>56</v>
      </c>
    </row>
    <row r="1153" spans="1:11" ht="15.75" customHeight="1">
      <c r="A1153" t="s">
        <v>2377</v>
      </c>
      <c r="B1153">
        <v>1992</v>
      </c>
      <c r="C1153" t="s">
        <v>4716</v>
      </c>
      <c r="D1153">
        <v>22</v>
      </c>
      <c r="E1153">
        <v>0</v>
      </c>
      <c r="F1153" s="16">
        <v>9507.68</v>
      </c>
      <c r="G1153" t="s">
        <v>4699</v>
      </c>
      <c r="H1153" t="s">
        <v>4698</v>
      </c>
      <c r="I1153" t="s">
        <v>4713</v>
      </c>
      <c r="J1153" s="17">
        <f t="shared" si="34"/>
        <v>33838</v>
      </c>
      <c r="K1153">
        <f t="shared" ca="1" si="35"/>
        <v>33</v>
      </c>
    </row>
    <row r="1154" spans="1:11" ht="15.75" customHeight="1">
      <c r="A1154" t="s">
        <v>2375</v>
      </c>
      <c r="B1154">
        <v>1971</v>
      </c>
      <c r="C1154" t="s">
        <v>4710</v>
      </c>
      <c r="D1154">
        <v>29</v>
      </c>
      <c r="E1154">
        <v>0</v>
      </c>
      <c r="F1154" s="16">
        <v>9528.9</v>
      </c>
      <c r="G1154" t="s">
        <v>4699</v>
      </c>
      <c r="H1154" t="s">
        <v>4699</v>
      </c>
      <c r="I1154" t="s">
        <v>4718</v>
      </c>
      <c r="J1154" s="17">
        <f t="shared" si="34"/>
        <v>26266</v>
      </c>
      <c r="K1154">
        <f t="shared" ca="1" si="35"/>
        <v>53</v>
      </c>
    </row>
    <row r="1155" spans="1:11" ht="15.75" customHeight="1">
      <c r="A1155" t="s">
        <v>2373</v>
      </c>
      <c r="B1155">
        <v>1973</v>
      </c>
      <c r="C1155" t="s">
        <v>4714</v>
      </c>
      <c r="D1155">
        <v>21</v>
      </c>
      <c r="E1155">
        <v>0</v>
      </c>
      <c r="F1155" s="16">
        <v>9538.65</v>
      </c>
      <c r="G1155" t="s">
        <v>4699</v>
      </c>
      <c r="H1155" t="s">
        <v>4700</v>
      </c>
      <c r="I1155" t="s">
        <v>4727</v>
      </c>
      <c r="J1155" s="17">
        <f t="shared" ref="J1155:J1218" si="36">DATEVALUE(D1155&amp;"-"&amp;C1155&amp;" -"&amp;B1155)</f>
        <v>27019</v>
      </c>
      <c r="K1155">
        <f t="shared" ref="K1155:K1218" ca="1" si="37">DATEDIF(J1155,TODAY(),"Y")</f>
        <v>51</v>
      </c>
    </row>
    <row r="1156" spans="1:11" ht="15.75" customHeight="1">
      <c r="A1156" t="s">
        <v>2371</v>
      </c>
      <c r="B1156">
        <v>1975</v>
      </c>
      <c r="C1156" t="s">
        <v>4708</v>
      </c>
      <c r="D1156">
        <v>28</v>
      </c>
      <c r="E1156">
        <v>1</v>
      </c>
      <c r="F1156" s="16">
        <v>9540.17</v>
      </c>
      <c r="G1156" t="s">
        <v>4699</v>
      </c>
      <c r="H1156" t="s">
        <v>4699</v>
      </c>
      <c r="I1156" t="s">
        <v>4724</v>
      </c>
      <c r="J1156" s="17">
        <f t="shared" si="36"/>
        <v>27603</v>
      </c>
      <c r="K1156">
        <f t="shared" ca="1" si="37"/>
        <v>50</v>
      </c>
    </row>
    <row r="1157" spans="1:11" ht="15.75" customHeight="1">
      <c r="A1157" t="s">
        <v>2369</v>
      </c>
      <c r="B1157">
        <v>1972</v>
      </c>
      <c r="C1157" t="s">
        <v>4712</v>
      </c>
      <c r="D1157">
        <v>22</v>
      </c>
      <c r="E1157">
        <v>0</v>
      </c>
      <c r="F1157" s="16">
        <v>9541.7000000000007</v>
      </c>
      <c r="G1157" t="s">
        <v>4699</v>
      </c>
      <c r="H1157" t="s">
        <v>4698</v>
      </c>
      <c r="I1157" t="s">
        <v>4724</v>
      </c>
      <c r="J1157" s="17">
        <f t="shared" si="36"/>
        <v>26564</v>
      </c>
      <c r="K1157">
        <f t="shared" ca="1" si="37"/>
        <v>53</v>
      </c>
    </row>
    <row r="1158" spans="1:11" ht="15.75" customHeight="1">
      <c r="A1158" t="s">
        <v>2367</v>
      </c>
      <c r="B1158">
        <v>1972</v>
      </c>
      <c r="C1158" t="s">
        <v>4712</v>
      </c>
      <c r="D1158">
        <v>22</v>
      </c>
      <c r="E1158">
        <v>1</v>
      </c>
      <c r="F1158" s="16">
        <v>9549.57</v>
      </c>
      <c r="G1158" t="s">
        <v>4699</v>
      </c>
      <c r="H1158" t="s">
        <v>4698</v>
      </c>
      <c r="I1158" t="s">
        <v>4709</v>
      </c>
      <c r="J1158" s="17">
        <f t="shared" si="36"/>
        <v>26564</v>
      </c>
      <c r="K1158">
        <f t="shared" ca="1" si="37"/>
        <v>53</v>
      </c>
    </row>
    <row r="1159" spans="1:11" ht="15.75" customHeight="1">
      <c r="A1159" t="s">
        <v>2365</v>
      </c>
      <c r="B1159">
        <v>1974</v>
      </c>
      <c r="C1159" t="s">
        <v>4716</v>
      </c>
      <c r="D1159">
        <v>14</v>
      </c>
      <c r="E1159">
        <v>3</v>
      </c>
      <c r="F1159" s="16">
        <v>9563.0300000000007</v>
      </c>
      <c r="G1159" t="s">
        <v>4700</v>
      </c>
      <c r="H1159" t="s">
        <v>4698</v>
      </c>
      <c r="I1159" t="s">
        <v>4718</v>
      </c>
      <c r="J1159" s="17">
        <f t="shared" si="36"/>
        <v>27255</v>
      </c>
      <c r="K1159">
        <f t="shared" ca="1" si="37"/>
        <v>51</v>
      </c>
    </row>
    <row r="1160" spans="1:11" ht="15.75" customHeight="1">
      <c r="A1160" t="s">
        <v>2363</v>
      </c>
      <c r="B1160">
        <v>1973</v>
      </c>
      <c r="C1160" t="s">
        <v>4714</v>
      </c>
      <c r="D1160">
        <v>1</v>
      </c>
      <c r="E1160">
        <v>1</v>
      </c>
      <c r="F1160" s="16">
        <v>9566.99</v>
      </c>
      <c r="G1160" t="s">
        <v>4699</v>
      </c>
      <c r="H1160" t="s">
        <v>4698</v>
      </c>
      <c r="I1160" t="s">
        <v>4713</v>
      </c>
      <c r="J1160" s="17">
        <f t="shared" si="36"/>
        <v>26999</v>
      </c>
      <c r="K1160">
        <f t="shared" ca="1" si="37"/>
        <v>51</v>
      </c>
    </row>
    <row r="1161" spans="1:11" ht="15.75" customHeight="1">
      <c r="A1161" t="s">
        <v>2361</v>
      </c>
      <c r="B1161">
        <v>1966</v>
      </c>
      <c r="C1161" t="s">
        <v>4714</v>
      </c>
      <c r="D1161">
        <v>4</v>
      </c>
      <c r="E1161">
        <v>0</v>
      </c>
      <c r="F1161" s="16">
        <v>9582.5400000000009</v>
      </c>
      <c r="G1161" t="s">
        <v>4700</v>
      </c>
      <c r="H1161" t="s">
        <v>4699</v>
      </c>
      <c r="I1161" t="s">
        <v>4709</v>
      </c>
      <c r="J1161" s="17">
        <f t="shared" si="36"/>
        <v>24445</v>
      </c>
      <c r="K1161">
        <f t="shared" ca="1" si="37"/>
        <v>58</v>
      </c>
    </row>
    <row r="1162" spans="1:11" ht="15.75" customHeight="1">
      <c r="A1162" t="s">
        <v>2359</v>
      </c>
      <c r="B1162">
        <v>1973</v>
      </c>
      <c r="C1162" t="s">
        <v>4710</v>
      </c>
      <c r="D1162">
        <v>28</v>
      </c>
      <c r="E1162">
        <v>1</v>
      </c>
      <c r="F1162" s="16">
        <v>9583.89</v>
      </c>
      <c r="G1162" t="s">
        <v>4699</v>
      </c>
      <c r="H1162" t="s">
        <v>4700</v>
      </c>
      <c r="I1162" t="s">
        <v>4713</v>
      </c>
      <c r="J1162" s="17">
        <f t="shared" si="36"/>
        <v>26996</v>
      </c>
      <c r="K1162">
        <f t="shared" ca="1" si="37"/>
        <v>51</v>
      </c>
    </row>
    <row r="1163" spans="1:11" ht="15.75" customHeight="1">
      <c r="A1163" t="s">
        <v>2357</v>
      </c>
      <c r="B1163">
        <v>1981</v>
      </c>
      <c r="C1163" t="s">
        <v>4717</v>
      </c>
      <c r="D1163">
        <v>18</v>
      </c>
      <c r="E1163">
        <v>1</v>
      </c>
      <c r="F1163" s="16">
        <v>9584.0400000000009</v>
      </c>
      <c r="G1163" t="s">
        <v>4699</v>
      </c>
      <c r="H1163" t="s">
        <v>4698</v>
      </c>
      <c r="I1163" t="s">
        <v>4727</v>
      </c>
      <c r="J1163" s="17">
        <f t="shared" si="36"/>
        <v>29877</v>
      </c>
      <c r="K1163">
        <f t="shared" ca="1" si="37"/>
        <v>44</v>
      </c>
    </row>
    <row r="1164" spans="1:11" ht="15.75" customHeight="1">
      <c r="A1164" t="s">
        <v>2355</v>
      </c>
      <c r="B1164">
        <v>1964</v>
      </c>
      <c r="C1164" t="s">
        <v>4714</v>
      </c>
      <c r="D1164">
        <v>15</v>
      </c>
      <c r="E1164">
        <v>0</v>
      </c>
      <c r="F1164" s="16">
        <v>9597.6299999999992</v>
      </c>
      <c r="G1164" t="s">
        <v>4700</v>
      </c>
      <c r="H1164" t="s">
        <v>4700</v>
      </c>
      <c r="I1164" t="s">
        <v>4709</v>
      </c>
      <c r="J1164" s="17">
        <f t="shared" si="36"/>
        <v>23726</v>
      </c>
      <c r="K1164">
        <f t="shared" ca="1" si="37"/>
        <v>60</v>
      </c>
    </row>
    <row r="1165" spans="1:11" ht="15.75" customHeight="1">
      <c r="A1165" t="s">
        <v>2353</v>
      </c>
      <c r="B1165">
        <v>1972</v>
      </c>
      <c r="C1165" t="s">
        <v>4714</v>
      </c>
      <c r="D1165">
        <v>27</v>
      </c>
      <c r="E1165">
        <v>1</v>
      </c>
      <c r="F1165" s="16">
        <v>9617.66</v>
      </c>
      <c r="G1165" t="s">
        <v>4700</v>
      </c>
      <c r="H1165" t="s">
        <v>4700</v>
      </c>
      <c r="I1165" t="s">
        <v>4721</v>
      </c>
      <c r="J1165" s="17">
        <f t="shared" si="36"/>
        <v>26660</v>
      </c>
      <c r="K1165">
        <f t="shared" ca="1" si="37"/>
        <v>52</v>
      </c>
    </row>
    <row r="1166" spans="1:11" ht="15.75" customHeight="1">
      <c r="A1166" t="s">
        <v>2351</v>
      </c>
      <c r="B1166">
        <v>1982</v>
      </c>
      <c r="C1166" t="s">
        <v>4716</v>
      </c>
      <c r="D1166">
        <v>29</v>
      </c>
      <c r="E1166">
        <v>3</v>
      </c>
      <c r="F1166" s="16">
        <v>9619.18</v>
      </c>
      <c r="G1166" t="s">
        <v>4699</v>
      </c>
      <c r="H1166" t="s">
        <v>4698</v>
      </c>
      <c r="I1166" t="s">
        <v>4723</v>
      </c>
      <c r="J1166" s="17">
        <f t="shared" si="36"/>
        <v>30192</v>
      </c>
      <c r="K1166">
        <f t="shared" ca="1" si="37"/>
        <v>43</v>
      </c>
    </row>
    <row r="1167" spans="1:11" ht="15.75" customHeight="1">
      <c r="A1167" t="s">
        <v>2349</v>
      </c>
      <c r="B1167">
        <v>1975</v>
      </c>
      <c r="C1167" t="s">
        <v>4717</v>
      </c>
      <c r="D1167">
        <v>29</v>
      </c>
      <c r="E1167">
        <v>3</v>
      </c>
      <c r="F1167" s="16">
        <v>9620.33</v>
      </c>
      <c r="G1167" t="s">
        <v>4700</v>
      </c>
      <c r="H1167" t="s">
        <v>4700</v>
      </c>
      <c r="I1167" t="s">
        <v>4713</v>
      </c>
      <c r="J1167" s="17">
        <f t="shared" si="36"/>
        <v>27696</v>
      </c>
      <c r="K1167">
        <f t="shared" ca="1" si="37"/>
        <v>50</v>
      </c>
    </row>
    <row r="1168" spans="1:11" ht="15.75" customHeight="1">
      <c r="A1168" t="s">
        <v>2347</v>
      </c>
      <c r="B1168">
        <v>1970</v>
      </c>
      <c r="C1168" t="s">
        <v>4714</v>
      </c>
      <c r="D1168">
        <v>16</v>
      </c>
      <c r="E1168">
        <v>0</v>
      </c>
      <c r="F1168" s="16">
        <v>9625.92</v>
      </c>
      <c r="G1168" t="s">
        <v>4699</v>
      </c>
      <c r="H1168" t="s">
        <v>4700</v>
      </c>
      <c r="I1168" t="s">
        <v>4718</v>
      </c>
      <c r="J1168" s="17">
        <f t="shared" si="36"/>
        <v>25918</v>
      </c>
      <c r="K1168">
        <f t="shared" ca="1" si="37"/>
        <v>54</v>
      </c>
    </row>
    <row r="1169" spans="1:11" ht="15.75" customHeight="1">
      <c r="A1169" t="s">
        <v>2345</v>
      </c>
      <c r="B1169">
        <v>1998</v>
      </c>
      <c r="C1169" t="s">
        <v>4711</v>
      </c>
      <c r="D1169">
        <v>23</v>
      </c>
      <c r="E1169">
        <v>0</v>
      </c>
      <c r="F1169" s="16">
        <v>9628.7900000000009</v>
      </c>
      <c r="G1169" t="s">
        <v>4699</v>
      </c>
      <c r="H1169" t="s">
        <v>4699</v>
      </c>
      <c r="I1169" t="s">
        <v>4730</v>
      </c>
      <c r="J1169" s="17">
        <f t="shared" si="36"/>
        <v>35969</v>
      </c>
      <c r="K1169">
        <f t="shared" ca="1" si="37"/>
        <v>27</v>
      </c>
    </row>
    <row r="1170" spans="1:11" ht="15.75" customHeight="1">
      <c r="A1170" t="s">
        <v>2343</v>
      </c>
      <c r="B1170">
        <v>1979</v>
      </c>
      <c r="C1170" t="s">
        <v>4714</v>
      </c>
      <c r="D1170">
        <v>19</v>
      </c>
      <c r="E1170">
        <v>2</v>
      </c>
      <c r="F1170" s="16">
        <v>9630.2999999999993</v>
      </c>
      <c r="G1170" t="s">
        <v>4699</v>
      </c>
      <c r="H1170" t="s">
        <v>4699</v>
      </c>
      <c r="I1170" t="s">
        <v>4727</v>
      </c>
      <c r="J1170" s="17">
        <f t="shared" si="36"/>
        <v>29208</v>
      </c>
      <c r="K1170">
        <f t="shared" ca="1" si="37"/>
        <v>45</v>
      </c>
    </row>
    <row r="1171" spans="1:11" ht="15.75" customHeight="1">
      <c r="A1171" t="s">
        <v>2341</v>
      </c>
      <c r="B1171">
        <v>1972</v>
      </c>
      <c r="C1171" t="s">
        <v>4717</v>
      </c>
      <c r="D1171">
        <v>23</v>
      </c>
      <c r="E1171">
        <v>2</v>
      </c>
      <c r="F1171" s="16">
        <v>9630.4</v>
      </c>
      <c r="G1171" t="s">
        <v>4699</v>
      </c>
      <c r="H1171" t="s">
        <v>4699</v>
      </c>
      <c r="I1171" t="s">
        <v>4718</v>
      </c>
      <c r="J1171" s="17">
        <f t="shared" si="36"/>
        <v>26595</v>
      </c>
      <c r="K1171">
        <f t="shared" ca="1" si="37"/>
        <v>53</v>
      </c>
    </row>
    <row r="1172" spans="1:11" ht="15.75" customHeight="1">
      <c r="A1172" t="s">
        <v>2339</v>
      </c>
      <c r="B1172">
        <v>1968</v>
      </c>
      <c r="C1172" t="s">
        <v>4711</v>
      </c>
      <c r="D1172">
        <v>22</v>
      </c>
      <c r="E1172">
        <v>0</v>
      </c>
      <c r="F1172" s="16">
        <v>9630.91</v>
      </c>
      <c r="G1172" t="s">
        <v>4700</v>
      </c>
      <c r="H1172" t="s">
        <v>4699</v>
      </c>
      <c r="I1172" t="s">
        <v>4709</v>
      </c>
      <c r="J1172" s="17">
        <f t="shared" si="36"/>
        <v>25011</v>
      </c>
      <c r="K1172">
        <f t="shared" ca="1" si="37"/>
        <v>57</v>
      </c>
    </row>
    <row r="1173" spans="1:11" ht="15.75" customHeight="1">
      <c r="A1173" t="s">
        <v>2337</v>
      </c>
      <c r="B1173">
        <v>1970</v>
      </c>
      <c r="C1173" t="s">
        <v>4712</v>
      </c>
      <c r="D1173">
        <v>30</v>
      </c>
      <c r="E1173">
        <v>0</v>
      </c>
      <c r="F1173" s="16">
        <v>9634.5400000000009</v>
      </c>
      <c r="G1173" t="s">
        <v>4699</v>
      </c>
      <c r="H1173" t="s">
        <v>4699</v>
      </c>
      <c r="I1173" t="s">
        <v>4718</v>
      </c>
      <c r="J1173" s="17">
        <f t="shared" si="36"/>
        <v>25841</v>
      </c>
      <c r="K1173">
        <f t="shared" ca="1" si="37"/>
        <v>55</v>
      </c>
    </row>
    <row r="1174" spans="1:11" ht="15.75" customHeight="1">
      <c r="A1174" t="s">
        <v>2335</v>
      </c>
      <c r="B1174">
        <v>1971</v>
      </c>
      <c r="C1174" t="s">
        <v>4708</v>
      </c>
      <c r="D1174">
        <v>19</v>
      </c>
      <c r="E1174">
        <v>0</v>
      </c>
      <c r="F1174" s="16">
        <v>9644.25</v>
      </c>
      <c r="G1174" t="s">
        <v>4699</v>
      </c>
      <c r="H1174" t="s">
        <v>4698</v>
      </c>
      <c r="I1174" t="s">
        <v>4713</v>
      </c>
      <c r="J1174" s="17">
        <f t="shared" si="36"/>
        <v>26133</v>
      </c>
      <c r="K1174">
        <f t="shared" ca="1" si="37"/>
        <v>54</v>
      </c>
    </row>
    <row r="1175" spans="1:11" ht="15.75" customHeight="1">
      <c r="A1175" t="s">
        <v>2333</v>
      </c>
      <c r="B1175">
        <v>1974</v>
      </c>
      <c r="C1175" t="s">
        <v>4708</v>
      </c>
      <c r="D1175">
        <v>8</v>
      </c>
      <c r="E1175">
        <v>0</v>
      </c>
      <c r="F1175" s="16">
        <v>9653.81</v>
      </c>
      <c r="G1175" t="s">
        <v>4699</v>
      </c>
      <c r="H1175" t="s">
        <v>4699</v>
      </c>
      <c r="I1175" t="s">
        <v>4718</v>
      </c>
      <c r="J1175" s="17">
        <f t="shared" si="36"/>
        <v>27218</v>
      </c>
      <c r="K1175">
        <f t="shared" ca="1" si="37"/>
        <v>51</v>
      </c>
    </row>
    <row r="1176" spans="1:11" ht="15.75" customHeight="1">
      <c r="A1176" t="s">
        <v>2331</v>
      </c>
      <c r="B1176">
        <v>1981</v>
      </c>
      <c r="C1176" t="s">
        <v>4716</v>
      </c>
      <c r="D1176">
        <v>8</v>
      </c>
      <c r="E1176">
        <v>1</v>
      </c>
      <c r="F1176" s="16">
        <v>9664.34</v>
      </c>
      <c r="G1176" t="s">
        <v>4699</v>
      </c>
      <c r="H1176" t="s">
        <v>4700</v>
      </c>
      <c r="I1176" t="s">
        <v>4718</v>
      </c>
      <c r="J1176" s="17">
        <f t="shared" si="36"/>
        <v>29806</v>
      </c>
      <c r="K1176">
        <f t="shared" ca="1" si="37"/>
        <v>44</v>
      </c>
    </row>
    <row r="1177" spans="1:11" ht="15.75" customHeight="1">
      <c r="A1177" t="s">
        <v>2329</v>
      </c>
      <c r="B1177">
        <v>1966</v>
      </c>
      <c r="C1177" t="s">
        <v>4712</v>
      </c>
      <c r="D1177">
        <v>16</v>
      </c>
      <c r="E1177">
        <v>0</v>
      </c>
      <c r="F1177" s="16">
        <v>9684.2900000000009</v>
      </c>
      <c r="G1177" t="s">
        <v>4700</v>
      </c>
      <c r="H1177" t="s">
        <v>4699</v>
      </c>
      <c r="I1177" t="s">
        <v>4709</v>
      </c>
      <c r="J1177" s="17">
        <f t="shared" si="36"/>
        <v>24366</v>
      </c>
      <c r="K1177">
        <f t="shared" ca="1" si="37"/>
        <v>59</v>
      </c>
    </row>
    <row r="1178" spans="1:11" ht="15.75" customHeight="1">
      <c r="A1178" t="s">
        <v>2327</v>
      </c>
      <c r="B1178">
        <v>1964</v>
      </c>
      <c r="C1178" t="s">
        <v>4710</v>
      </c>
      <c r="D1178">
        <v>7</v>
      </c>
      <c r="E1178">
        <v>0</v>
      </c>
      <c r="F1178" s="16">
        <v>9698.42</v>
      </c>
      <c r="G1178" t="s">
        <v>4700</v>
      </c>
      <c r="H1178" t="s">
        <v>4700</v>
      </c>
      <c r="I1178" t="s">
        <v>4709</v>
      </c>
      <c r="J1178" s="17">
        <f t="shared" si="36"/>
        <v>23688</v>
      </c>
      <c r="K1178">
        <f t="shared" ca="1" si="37"/>
        <v>61</v>
      </c>
    </row>
    <row r="1179" spans="1:11" ht="15.75" customHeight="1">
      <c r="A1179" t="s">
        <v>2325</v>
      </c>
      <c r="B1179">
        <v>1977</v>
      </c>
      <c r="C1179" t="s">
        <v>4712</v>
      </c>
      <c r="D1179">
        <v>19</v>
      </c>
      <c r="E1179">
        <v>3</v>
      </c>
      <c r="F1179" s="16">
        <v>9704.67</v>
      </c>
      <c r="G1179" t="s">
        <v>4699</v>
      </c>
      <c r="H1179" t="s">
        <v>4700</v>
      </c>
      <c r="I1179" t="s">
        <v>4724</v>
      </c>
      <c r="J1179" s="17">
        <f t="shared" si="36"/>
        <v>28387</v>
      </c>
      <c r="K1179">
        <f t="shared" ca="1" si="37"/>
        <v>48</v>
      </c>
    </row>
    <row r="1180" spans="1:11" ht="15.75" customHeight="1">
      <c r="A1180" t="s">
        <v>2323</v>
      </c>
      <c r="B1180">
        <v>1972</v>
      </c>
      <c r="C1180" t="s">
        <v>4708</v>
      </c>
      <c r="D1180">
        <v>10</v>
      </c>
      <c r="E1180">
        <v>0</v>
      </c>
      <c r="F1180" s="16">
        <v>9710.7099999999991</v>
      </c>
      <c r="G1180" t="s">
        <v>4699</v>
      </c>
      <c r="H1180" t="s">
        <v>4698</v>
      </c>
      <c r="I1180" t="s">
        <v>4727</v>
      </c>
      <c r="J1180" s="17">
        <f t="shared" si="36"/>
        <v>26490</v>
      </c>
      <c r="K1180">
        <f t="shared" ca="1" si="37"/>
        <v>53</v>
      </c>
    </row>
    <row r="1181" spans="1:11" ht="15.75" customHeight="1">
      <c r="A1181" t="s">
        <v>2321</v>
      </c>
      <c r="B1181">
        <v>1975</v>
      </c>
      <c r="C1181" t="s">
        <v>4711</v>
      </c>
      <c r="D1181">
        <v>27</v>
      </c>
      <c r="E1181">
        <v>2</v>
      </c>
      <c r="F1181" s="16">
        <v>9715.84</v>
      </c>
      <c r="G1181" t="s">
        <v>4699</v>
      </c>
      <c r="H1181" t="s">
        <v>4698</v>
      </c>
      <c r="I1181" t="s">
        <v>4724</v>
      </c>
      <c r="J1181" s="17">
        <f t="shared" si="36"/>
        <v>27572</v>
      </c>
      <c r="K1181">
        <f t="shared" ca="1" si="37"/>
        <v>50</v>
      </c>
    </row>
    <row r="1182" spans="1:11" ht="15.75" customHeight="1">
      <c r="A1182" t="s">
        <v>2319</v>
      </c>
      <c r="B1182">
        <v>1970</v>
      </c>
      <c r="C1182" t="s">
        <v>4712</v>
      </c>
      <c r="D1182">
        <v>12</v>
      </c>
      <c r="E1182">
        <v>0</v>
      </c>
      <c r="F1182" s="16">
        <v>9722.77</v>
      </c>
      <c r="G1182" t="s">
        <v>4700</v>
      </c>
      <c r="H1182" t="s">
        <v>4698</v>
      </c>
      <c r="I1182" t="s">
        <v>4721</v>
      </c>
      <c r="J1182" s="17">
        <f t="shared" si="36"/>
        <v>25823</v>
      </c>
      <c r="K1182">
        <f t="shared" ca="1" si="37"/>
        <v>55</v>
      </c>
    </row>
    <row r="1183" spans="1:11" ht="15.75" customHeight="1">
      <c r="A1183" t="s">
        <v>2317</v>
      </c>
      <c r="B1183">
        <v>1970</v>
      </c>
      <c r="C1183" t="s">
        <v>4716</v>
      </c>
      <c r="D1183">
        <v>18</v>
      </c>
      <c r="E1183">
        <v>1</v>
      </c>
      <c r="F1183" s="16">
        <v>9724.5300000000007</v>
      </c>
      <c r="G1183" t="s">
        <v>4700</v>
      </c>
      <c r="H1183" t="s">
        <v>4698</v>
      </c>
      <c r="I1183" t="s">
        <v>4718</v>
      </c>
      <c r="J1183" s="17">
        <f t="shared" si="36"/>
        <v>25798</v>
      </c>
      <c r="K1183">
        <f t="shared" ca="1" si="37"/>
        <v>55</v>
      </c>
    </row>
    <row r="1184" spans="1:11" ht="15.75" customHeight="1">
      <c r="A1184" t="s">
        <v>2315</v>
      </c>
      <c r="B1184">
        <v>1970</v>
      </c>
      <c r="C1184" t="s">
        <v>4708</v>
      </c>
      <c r="D1184">
        <v>4</v>
      </c>
      <c r="E1184">
        <v>1</v>
      </c>
      <c r="F1184" s="16">
        <v>9748.91</v>
      </c>
      <c r="G1184" t="s">
        <v>4699</v>
      </c>
      <c r="H1184" t="s">
        <v>4698</v>
      </c>
      <c r="I1184" t="s">
        <v>4709</v>
      </c>
      <c r="J1184" s="17">
        <f t="shared" si="36"/>
        <v>25753</v>
      </c>
      <c r="K1184">
        <f t="shared" ca="1" si="37"/>
        <v>55</v>
      </c>
    </row>
    <row r="1185" spans="1:11" ht="15.75" customHeight="1">
      <c r="A1185" t="s">
        <v>2313</v>
      </c>
      <c r="B1185">
        <v>2001</v>
      </c>
      <c r="C1185" t="s">
        <v>4708</v>
      </c>
      <c r="D1185">
        <v>14</v>
      </c>
      <c r="E1185">
        <v>0</v>
      </c>
      <c r="F1185" s="16">
        <v>9753.49</v>
      </c>
      <c r="G1185" t="s">
        <v>4699</v>
      </c>
      <c r="H1185" t="s">
        <v>4699</v>
      </c>
      <c r="I1185" t="s">
        <v>4713</v>
      </c>
      <c r="J1185" s="17">
        <f t="shared" si="36"/>
        <v>37086</v>
      </c>
      <c r="K1185">
        <f t="shared" ca="1" si="37"/>
        <v>24</v>
      </c>
    </row>
    <row r="1186" spans="1:11" ht="15.75" customHeight="1">
      <c r="A1186" t="s">
        <v>2311</v>
      </c>
      <c r="B1186">
        <v>1965</v>
      </c>
      <c r="C1186" t="s">
        <v>4712</v>
      </c>
      <c r="D1186">
        <v>5</v>
      </c>
      <c r="E1186">
        <v>0</v>
      </c>
      <c r="F1186" s="16">
        <v>9764.08</v>
      </c>
      <c r="G1186" t="s">
        <v>4700</v>
      </c>
      <c r="H1186" t="s">
        <v>4698</v>
      </c>
      <c r="I1186" t="s">
        <v>4713</v>
      </c>
      <c r="J1186" s="17">
        <f t="shared" si="36"/>
        <v>23990</v>
      </c>
      <c r="K1186">
        <f t="shared" ca="1" si="37"/>
        <v>60</v>
      </c>
    </row>
    <row r="1187" spans="1:11" ht="15.75" customHeight="1">
      <c r="A1187" t="s">
        <v>2309</v>
      </c>
      <c r="B1187">
        <v>1973</v>
      </c>
      <c r="C1187" t="s">
        <v>4708</v>
      </c>
      <c r="D1187">
        <v>7</v>
      </c>
      <c r="E1187">
        <v>1</v>
      </c>
      <c r="F1187" s="16">
        <v>9778.35</v>
      </c>
      <c r="G1187" t="s">
        <v>4699</v>
      </c>
      <c r="H1187" t="s">
        <v>4699</v>
      </c>
      <c r="I1187" t="s">
        <v>4724</v>
      </c>
      <c r="J1187" s="17">
        <f t="shared" si="36"/>
        <v>26852</v>
      </c>
      <c r="K1187">
        <f t="shared" ca="1" si="37"/>
        <v>52</v>
      </c>
    </row>
    <row r="1188" spans="1:11" ht="15.75" customHeight="1">
      <c r="A1188" t="s">
        <v>2307</v>
      </c>
      <c r="B1188">
        <v>1996</v>
      </c>
      <c r="C1188" t="s">
        <v>4716</v>
      </c>
      <c r="D1188">
        <v>8</v>
      </c>
      <c r="E1188">
        <v>0</v>
      </c>
      <c r="F1188" s="16">
        <v>9787.32</v>
      </c>
      <c r="G1188" t="s">
        <v>4699</v>
      </c>
      <c r="H1188" t="s">
        <v>4700</v>
      </c>
      <c r="I1188" t="s">
        <v>4725</v>
      </c>
      <c r="J1188" s="17">
        <f t="shared" si="36"/>
        <v>35285</v>
      </c>
      <c r="K1188">
        <f t="shared" ca="1" si="37"/>
        <v>29</v>
      </c>
    </row>
    <row r="1189" spans="1:11" ht="15.75" customHeight="1">
      <c r="A1189" t="s">
        <v>2305</v>
      </c>
      <c r="B1189">
        <v>1977</v>
      </c>
      <c r="C1189" t="s">
        <v>4711</v>
      </c>
      <c r="D1189">
        <v>7</v>
      </c>
      <c r="E1189">
        <v>5</v>
      </c>
      <c r="F1189" s="16">
        <v>9788.8700000000008</v>
      </c>
      <c r="G1189" t="s">
        <v>4700</v>
      </c>
      <c r="H1189" t="s">
        <v>4699</v>
      </c>
      <c r="I1189" t="s">
        <v>4709</v>
      </c>
      <c r="J1189" s="17">
        <f t="shared" si="36"/>
        <v>28283</v>
      </c>
      <c r="K1189">
        <f t="shared" ca="1" si="37"/>
        <v>48</v>
      </c>
    </row>
    <row r="1190" spans="1:11" ht="15.75" customHeight="1">
      <c r="A1190" t="s">
        <v>2303</v>
      </c>
      <c r="B1190">
        <v>1973</v>
      </c>
      <c r="C1190" t="s">
        <v>4712</v>
      </c>
      <c r="D1190">
        <v>17</v>
      </c>
      <c r="E1190">
        <v>2</v>
      </c>
      <c r="F1190" s="16">
        <v>9800.89</v>
      </c>
      <c r="G1190" t="s">
        <v>4699</v>
      </c>
      <c r="H1190" t="s">
        <v>4698</v>
      </c>
      <c r="I1190" t="s">
        <v>4709</v>
      </c>
      <c r="J1190" s="17">
        <f t="shared" si="36"/>
        <v>26924</v>
      </c>
      <c r="K1190">
        <f t="shared" ca="1" si="37"/>
        <v>52</v>
      </c>
    </row>
    <row r="1191" spans="1:11" ht="15.75" customHeight="1">
      <c r="A1191" t="s">
        <v>2301</v>
      </c>
      <c r="B1191">
        <v>1972</v>
      </c>
      <c r="C1191" t="s">
        <v>4711</v>
      </c>
      <c r="D1191">
        <v>28</v>
      </c>
      <c r="E1191">
        <v>0</v>
      </c>
      <c r="F1191" s="16">
        <v>9819.25</v>
      </c>
      <c r="G1191" t="s">
        <v>4699</v>
      </c>
      <c r="H1191" t="s">
        <v>4699</v>
      </c>
      <c r="I1191" t="s">
        <v>4727</v>
      </c>
      <c r="J1191" s="17">
        <f t="shared" si="36"/>
        <v>26478</v>
      </c>
      <c r="K1191">
        <f t="shared" ca="1" si="37"/>
        <v>53</v>
      </c>
    </row>
    <row r="1192" spans="1:11" ht="15.75" customHeight="1">
      <c r="A1192" t="s">
        <v>2299</v>
      </c>
      <c r="B1192">
        <v>1972</v>
      </c>
      <c r="C1192" t="s">
        <v>4712</v>
      </c>
      <c r="D1192">
        <v>26</v>
      </c>
      <c r="E1192">
        <v>0</v>
      </c>
      <c r="F1192" s="16">
        <v>9836.2099999999991</v>
      </c>
      <c r="G1192" t="s">
        <v>4699</v>
      </c>
      <c r="H1192" t="s">
        <v>4700</v>
      </c>
      <c r="I1192" t="s">
        <v>4727</v>
      </c>
      <c r="J1192" s="17">
        <f t="shared" si="36"/>
        <v>26568</v>
      </c>
      <c r="K1192">
        <f t="shared" ca="1" si="37"/>
        <v>53</v>
      </c>
    </row>
    <row r="1193" spans="1:11" ht="15.75" customHeight="1">
      <c r="A1193" t="s">
        <v>2297</v>
      </c>
      <c r="B1193">
        <v>1992</v>
      </c>
      <c r="C1193" t="s">
        <v>4716</v>
      </c>
      <c r="D1193">
        <v>13</v>
      </c>
      <c r="E1193">
        <v>0</v>
      </c>
      <c r="F1193" s="16">
        <v>9844.4500000000007</v>
      </c>
      <c r="G1193" t="s">
        <v>4699</v>
      </c>
      <c r="H1193" t="s">
        <v>4698</v>
      </c>
      <c r="I1193" t="s">
        <v>4713</v>
      </c>
      <c r="J1193" s="17">
        <f t="shared" si="36"/>
        <v>33829</v>
      </c>
      <c r="K1193">
        <f t="shared" ca="1" si="37"/>
        <v>33</v>
      </c>
    </row>
    <row r="1194" spans="1:11" ht="15.75" customHeight="1">
      <c r="A1194" t="s">
        <v>2295</v>
      </c>
      <c r="B1194">
        <v>1968</v>
      </c>
      <c r="C1194" t="s">
        <v>4710</v>
      </c>
      <c r="D1194">
        <v>4</v>
      </c>
      <c r="E1194">
        <v>0</v>
      </c>
      <c r="F1194" s="16">
        <v>9850.43</v>
      </c>
      <c r="G1194" t="s">
        <v>4700</v>
      </c>
      <c r="H1194" t="s">
        <v>4700</v>
      </c>
      <c r="I1194" t="s">
        <v>4718</v>
      </c>
      <c r="J1194" s="17">
        <f t="shared" si="36"/>
        <v>25146</v>
      </c>
      <c r="K1194">
        <f t="shared" ca="1" si="37"/>
        <v>57</v>
      </c>
    </row>
    <row r="1195" spans="1:11" ht="15.75" customHeight="1">
      <c r="A1195" t="s">
        <v>2293</v>
      </c>
      <c r="B1195">
        <v>1971</v>
      </c>
      <c r="C1195" t="s">
        <v>4717</v>
      </c>
      <c r="D1195">
        <v>23</v>
      </c>
      <c r="E1195">
        <v>1</v>
      </c>
      <c r="F1195" s="16">
        <v>9855.1299999999992</v>
      </c>
      <c r="G1195" t="s">
        <v>4699</v>
      </c>
      <c r="H1195" t="s">
        <v>4700</v>
      </c>
      <c r="I1195" t="s">
        <v>4709</v>
      </c>
      <c r="J1195" s="17">
        <f t="shared" si="36"/>
        <v>26229</v>
      </c>
      <c r="K1195">
        <f t="shared" ca="1" si="37"/>
        <v>54</v>
      </c>
    </row>
    <row r="1196" spans="1:11" ht="15.75" customHeight="1">
      <c r="A1196" t="s">
        <v>2291</v>
      </c>
      <c r="B1196">
        <v>1971</v>
      </c>
      <c r="C1196" t="s">
        <v>4708</v>
      </c>
      <c r="D1196">
        <v>17</v>
      </c>
      <c r="E1196">
        <v>1</v>
      </c>
      <c r="F1196" s="16">
        <v>9861.0300000000007</v>
      </c>
      <c r="G1196" t="s">
        <v>4699</v>
      </c>
      <c r="H1196" t="s">
        <v>4699</v>
      </c>
      <c r="I1196" t="s">
        <v>4718</v>
      </c>
      <c r="J1196" s="17">
        <f t="shared" si="36"/>
        <v>26131</v>
      </c>
      <c r="K1196">
        <f t="shared" ca="1" si="37"/>
        <v>54</v>
      </c>
    </row>
    <row r="1197" spans="1:11" ht="15.75" customHeight="1">
      <c r="A1197" t="s">
        <v>2289</v>
      </c>
      <c r="B1197">
        <v>1969</v>
      </c>
      <c r="C1197" t="s">
        <v>4717</v>
      </c>
      <c r="D1197">
        <v>20</v>
      </c>
      <c r="E1197">
        <v>0</v>
      </c>
      <c r="F1197" s="16">
        <v>9863.4699999999993</v>
      </c>
      <c r="G1197" t="s">
        <v>4700</v>
      </c>
      <c r="H1197" t="s">
        <v>4700</v>
      </c>
      <c r="I1197" t="s">
        <v>4713</v>
      </c>
      <c r="J1197" s="17">
        <f t="shared" si="36"/>
        <v>25496</v>
      </c>
      <c r="K1197">
        <f t="shared" ca="1" si="37"/>
        <v>56</v>
      </c>
    </row>
    <row r="1198" spans="1:11" ht="15.75" customHeight="1">
      <c r="A1198" t="s">
        <v>2287</v>
      </c>
      <c r="B1198">
        <v>1971</v>
      </c>
      <c r="C1198" t="s">
        <v>4710</v>
      </c>
      <c r="D1198">
        <v>9</v>
      </c>
      <c r="E1198">
        <v>0</v>
      </c>
      <c r="F1198" s="16">
        <v>9866.2999999999993</v>
      </c>
      <c r="G1198" t="s">
        <v>4699</v>
      </c>
      <c r="H1198" t="s">
        <v>4700</v>
      </c>
      <c r="I1198" t="s">
        <v>4724</v>
      </c>
      <c r="J1198" s="17">
        <f t="shared" si="36"/>
        <v>26246</v>
      </c>
      <c r="K1198">
        <f t="shared" ca="1" si="37"/>
        <v>54</v>
      </c>
    </row>
    <row r="1199" spans="1:11" ht="15.75" customHeight="1">
      <c r="A1199" t="s">
        <v>2285</v>
      </c>
      <c r="B1199">
        <v>1969</v>
      </c>
      <c r="C1199" t="s">
        <v>4716</v>
      </c>
      <c r="D1199">
        <v>13</v>
      </c>
      <c r="E1199">
        <v>0</v>
      </c>
      <c r="F1199" s="16">
        <v>9869.81</v>
      </c>
      <c r="G1199" t="s">
        <v>4700</v>
      </c>
      <c r="H1199" t="s">
        <v>4700</v>
      </c>
      <c r="I1199" t="s">
        <v>4713</v>
      </c>
      <c r="J1199" s="17">
        <f t="shared" si="36"/>
        <v>25428</v>
      </c>
      <c r="K1199">
        <f t="shared" ca="1" si="37"/>
        <v>56</v>
      </c>
    </row>
    <row r="1200" spans="1:11" ht="15.75" customHeight="1">
      <c r="A1200" t="s">
        <v>2283</v>
      </c>
      <c r="B1200">
        <v>1998</v>
      </c>
      <c r="C1200" t="s">
        <v>4708</v>
      </c>
      <c r="D1200">
        <v>6</v>
      </c>
      <c r="E1200">
        <v>0</v>
      </c>
      <c r="F1200" s="16">
        <v>9870.59</v>
      </c>
      <c r="G1200" t="s">
        <v>4699</v>
      </c>
      <c r="H1200" t="s">
        <v>4699</v>
      </c>
      <c r="I1200" t="s">
        <v>4725</v>
      </c>
      <c r="J1200" s="17">
        <f t="shared" si="36"/>
        <v>35982</v>
      </c>
      <c r="K1200">
        <f t="shared" ca="1" si="37"/>
        <v>27</v>
      </c>
    </row>
    <row r="1201" spans="1:11" ht="15.75" customHeight="1">
      <c r="A1201" t="s">
        <v>2281</v>
      </c>
      <c r="B1201">
        <v>1971</v>
      </c>
      <c r="C1201" t="s">
        <v>4714</v>
      </c>
      <c r="D1201">
        <v>22</v>
      </c>
      <c r="E1201">
        <v>1</v>
      </c>
      <c r="F1201" s="16">
        <v>9872.7000000000007</v>
      </c>
      <c r="G1201" t="s">
        <v>4699</v>
      </c>
      <c r="H1201" t="s">
        <v>4699</v>
      </c>
      <c r="I1201" t="s">
        <v>4718</v>
      </c>
      <c r="J1201" s="17">
        <f t="shared" si="36"/>
        <v>26289</v>
      </c>
      <c r="K1201">
        <f t="shared" ca="1" si="37"/>
        <v>53</v>
      </c>
    </row>
    <row r="1202" spans="1:11" ht="15.75" customHeight="1">
      <c r="A1202" t="s">
        <v>2279</v>
      </c>
      <c r="B1202">
        <v>1971</v>
      </c>
      <c r="C1202" t="s">
        <v>4708</v>
      </c>
      <c r="D1202">
        <v>3</v>
      </c>
      <c r="E1202">
        <v>0</v>
      </c>
      <c r="F1202" s="16">
        <v>9875.68</v>
      </c>
      <c r="G1202" t="s">
        <v>4699</v>
      </c>
      <c r="H1202" t="s">
        <v>4700</v>
      </c>
      <c r="I1202" t="s">
        <v>4724</v>
      </c>
      <c r="J1202" s="17">
        <f t="shared" si="36"/>
        <v>26117</v>
      </c>
      <c r="K1202">
        <f t="shared" ca="1" si="37"/>
        <v>54</v>
      </c>
    </row>
    <row r="1203" spans="1:11" ht="15.75" customHeight="1">
      <c r="A1203" t="s">
        <v>2277</v>
      </c>
      <c r="B1203">
        <v>1971</v>
      </c>
      <c r="C1203" t="s">
        <v>4717</v>
      </c>
      <c r="D1203">
        <v>3</v>
      </c>
      <c r="E1203">
        <v>1</v>
      </c>
      <c r="F1203" s="16">
        <v>9877.61</v>
      </c>
      <c r="G1203" t="s">
        <v>4699</v>
      </c>
      <c r="H1203" t="s">
        <v>4698</v>
      </c>
      <c r="I1203" t="s">
        <v>4709</v>
      </c>
      <c r="J1203" s="17">
        <f t="shared" si="36"/>
        <v>26209</v>
      </c>
      <c r="K1203">
        <f t="shared" ca="1" si="37"/>
        <v>54</v>
      </c>
    </row>
    <row r="1204" spans="1:11" ht="15.75" customHeight="1">
      <c r="A1204" t="s">
        <v>2275</v>
      </c>
      <c r="B1204">
        <v>1971</v>
      </c>
      <c r="C1204" t="s">
        <v>4710</v>
      </c>
      <c r="D1204">
        <v>8</v>
      </c>
      <c r="E1204">
        <v>1</v>
      </c>
      <c r="F1204" s="16">
        <v>9880.07</v>
      </c>
      <c r="G1204" t="s">
        <v>4699</v>
      </c>
      <c r="H1204" t="s">
        <v>4700</v>
      </c>
      <c r="I1204" t="s">
        <v>4718</v>
      </c>
      <c r="J1204" s="17">
        <f t="shared" si="36"/>
        <v>26245</v>
      </c>
      <c r="K1204">
        <f t="shared" ca="1" si="37"/>
        <v>54</v>
      </c>
    </row>
    <row r="1205" spans="1:11" ht="15.75" customHeight="1">
      <c r="A1205" t="s">
        <v>2273</v>
      </c>
      <c r="B1205">
        <v>1966</v>
      </c>
      <c r="C1205" t="s">
        <v>4710</v>
      </c>
      <c r="D1205">
        <v>5</v>
      </c>
      <c r="E1205">
        <v>0</v>
      </c>
      <c r="F1205" s="16">
        <v>9890.23</v>
      </c>
      <c r="G1205" t="s">
        <v>4700</v>
      </c>
      <c r="H1205" t="s">
        <v>4700</v>
      </c>
      <c r="I1205" t="s">
        <v>4709</v>
      </c>
      <c r="J1205" s="17">
        <f t="shared" si="36"/>
        <v>24416</v>
      </c>
      <c r="K1205">
        <f t="shared" ca="1" si="37"/>
        <v>59</v>
      </c>
    </row>
    <row r="1206" spans="1:11" ht="15.75" customHeight="1">
      <c r="A1206" t="s">
        <v>2271</v>
      </c>
      <c r="B1206">
        <v>1996</v>
      </c>
      <c r="C1206" t="s">
        <v>4708</v>
      </c>
      <c r="D1206">
        <v>8</v>
      </c>
      <c r="E1206">
        <v>0</v>
      </c>
      <c r="F1206" s="16">
        <v>9894.69</v>
      </c>
      <c r="G1206" t="s">
        <v>4699</v>
      </c>
      <c r="H1206" t="s">
        <v>4700</v>
      </c>
      <c r="I1206" t="s">
        <v>4713</v>
      </c>
      <c r="J1206" s="17">
        <f t="shared" si="36"/>
        <v>35254</v>
      </c>
      <c r="K1206">
        <f t="shared" ca="1" si="37"/>
        <v>29</v>
      </c>
    </row>
    <row r="1207" spans="1:11" ht="15.75" customHeight="1">
      <c r="A1207" t="s">
        <v>2269</v>
      </c>
      <c r="B1207">
        <v>1962</v>
      </c>
      <c r="C1207" t="s">
        <v>4716</v>
      </c>
      <c r="D1207">
        <v>17</v>
      </c>
      <c r="E1207">
        <v>0</v>
      </c>
      <c r="F1207" s="16">
        <v>9907.83</v>
      </c>
      <c r="G1207" t="s">
        <v>4700</v>
      </c>
      <c r="H1207" t="s">
        <v>4699</v>
      </c>
      <c r="I1207" t="s">
        <v>4709</v>
      </c>
      <c r="J1207" s="17">
        <f t="shared" si="36"/>
        <v>22875</v>
      </c>
      <c r="K1207">
        <f t="shared" ca="1" si="37"/>
        <v>63</v>
      </c>
    </row>
    <row r="1208" spans="1:11" ht="15.75" customHeight="1">
      <c r="A1208" t="s">
        <v>2267</v>
      </c>
      <c r="B1208">
        <v>1972</v>
      </c>
      <c r="C1208" t="s">
        <v>4712</v>
      </c>
      <c r="D1208">
        <v>14</v>
      </c>
      <c r="E1208">
        <v>1</v>
      </c>
      <c r="F1208" s="16">
        <v>9910.36</v>
      </c>
      <c r="G1208" t="s">
        <v>4699</v>
      </c>
      <c r="H1208" t="s">
        <v>4700</v>
      </c>
      <c r="I1208" t="s">
        <v>4713</v>
      </c>
      <c r="J1208" s="17">
        <f t="shared" si="36"/>
        <v>26556</v>
      </c>
      <c r="K1208">
        <f t="shared" ca="1" si="37"/>
        <v>53</v>
      </c>
    </row>
    <row r="1209" spans="1:11" ht="15.75" customHeight="1">
      <c r="A1209" t="s">
        <v>2265</v>
      </c>
      <c r="B1209">
        <v>1985</v>
      </c>
      <c r="C1209" t="s">
        <v>4716</v>
      </c>
      <c r="D1209">
        <v>19</v>
      </c>
      <c r="E1209">
        <v>3</v>
      </c>
      <c r="F1209" s="16">
        <v>9930.64</v>
      </c>
      <c r="G1209" t="s">
        <v>4699</v>
      </c>
      <c r="H1209" t="s">
        <v>4700</v>
      </c>
      <c r="I1209" t="s">
        <v>4723</v>
      </c>
      <c r="J1209" s="17">
        <f t="shared" si="36"/>
        <v>31278</v>
      </c>
      <c r="K1209">
        <f t="shared" ca="1" si="37"/>
        <v>40</v>
      </c>
    </row>
    <row r="1210" spans="1:11" ht="15.75" customHeight="1">
      <c r="A1210" t="s">
        <v>2263</v>
      </c>
      <c r="B1210">
        <v>1983</v>
      </c>
      <c r="C1210" t="s">
        <v>4714</v>
      </c>
      <c r="D1210">
        <v>3</v>
      </c>
      <c r="E1210">
        <v>3</v>
      </c>
      <c r="F1210" s="16">
        <v>9931.9599999999991</v>
      </c>
      <c r="G1210" t="s">
        <v>4699</v>
      </c>
      <c r="H1210" t="s">
        <v>4699</v>
      </c>
      <c r="I1210" t="s">
        <v>4713</v>
      </c>
      <c r="J1210" s="17">
        <f t="shared" si="36"/>
        <v>30653</v>
      </c>
      <c r="K1210">
        <f t="shared" ca="1" si="37"/>
        <v>41</v>
      </c>
    </row>
    <row r="1211" spans="1:11" ht="15.75" customHeight="1">
      <c r="A1211" t="s">
        <v>2261</v>
      </c>
      <c r="B1211">
        <v>1964</v>
      </c>
      <c r="C1211" t="s">
        <v>4712</v>
      </c>
      <c r="D1211">
        <v>11</v>
      </c>
      <c r="E1211">
        <v>0</v>
      </c>
      <c r="F1211" s="16">
        <v>9933.44</v>
      </c>
      <c r="G1211" t="s">
        <v>4700</v>
      </c>
      <c r="H1211" t="s">
        <v>4700</v>
      </c>
      <c r="I1211" t="s">
        <v>4709</v>
      </c>
      <c r="J1211" s="17">
        <f t="shared" si="36"/>
        <v>23631</v>
      </c>
      <c r="K1211">
        <f t="shared" ca="1" si="37"/>
        <v>61</v>
      </c>
    </row>
    <row r="1212" spans="1:11" ht="15.75" customHeight="1">
      <c r="A1212" t="s">
        <v>2259</v>
      </c>
      <c r="B1212">
        <v>1971</v>
      </c>
      <c r="C1212" t="s">
        <v>4714</v>
      </c>
      <c r="D1212">
        <v>26</v>
      </c>
      <c r="E1212">
        <v>1</v>
      </c>
      <c r="F1212" s="16">
        <v>9957.7199999999993</v>
      </c>
      <c r="G1212" t="s">
        <v>4699</v>
      </c>
      <c r="H1212" t="s">
        <v>4700</v>
      </c>
      <c r="I1212" t="s">
        <v>4722</v>
      </c>
      <c r="J1212" s="17">
        <f t="shared" si="36"/>
        <v>26293</v>
      </c>
      <c r="K1212">
        <f t="shared" ca="1" si="37"/>
        <v>53</v>
      </c>
    </row>
    <row r="1213" spans="1:11" ht="15.75" customHeight="1">
      <c r="A1213" t="s">
        <v>2257</v>
      </c>
      <c r="B1213">
        <v>1971</v>
      </c>
      <c r="C1213" t="s">
        <v>4717</v>
      </c>
      <c r="D1213">
        <v>6</v>
      </c>
      <c r="E1213">
        <v>1</v>
      </c>
      <c r="F1213" s="16">
        <v>9964.06</v>
      </c>
      <c r="G1213" t="s">
        <v>4699</v>
      </c>
      <c r="H1213" t="s">
        <v>4699</v>
      </c>
      <c r="I1213" t="s">
        <v>4720</v>
      </c>
      <c r="J1213" s="17">
        <f t="shared" si="36"/>
        <v>26212</v>
      </c>
      <c r="K1213">
        <f t="shared" ca="1" si="37"/>
        <v>54</v>
      </c>
    </row>
    <row r="1214" spans="1:11" ht="15.75" customHeight="1">
      <c r="A1214" t="s">
        <v>2255</v>
      </c>
      <c r="B1214">
        <v>1970</v>
      </c>
      <c r="C1214" t="s">
        <v>4716</v>
      </c>
      <c r="D1214">
        <v>11</v>
      </c>
      <c r="E1214">
        <v>0</v>
      </c>
      <c r="F1214" s="16">
        <v>9991.0400000000009</v>
      </c>
      <c r="G1214" t="s">
        <v>4699</v>
      </c>
      <c r="H1214" t="s">
        <v>4700</v>
      </c>
      <c r="I1214" t="s">
        <v>4713</v>
      </c>
      <c r="J1214" s="17">
        <f t="shared" si="36"/>
        <v>25791</v>
      </c>
      <c r="K1214">
        <f t="shared" ca="1" si="37"/>
        <v>55</v>
      </c>
    </row>
    <row r="1215" spans="1:11" ht="15.75" customHeight="1">
      <c r="A1215" t="s">
        <v>2253</v>
      </c>
      <c r="B1215">
        <v>1988</v>
      </c>
      <c r="C1215" t="s">
        <v>4708</v>
      </c>
      <c r="D1215">
        <v>3</v>
      </c>
      <c r="E1215">
        <v>3</v>
      </c>
      <c r="F1215" s="16">
        <v>10011.44</v>
      </c>
      <c r="G1215" t="s">
        <v>4700</v>
      </c>
      <c r="H1215" t="s">
        <v>4700</v>
      </c>
      <c r="I1215" t="s">
        <v>4730</v>
      </c>
      <c r="J1215" s="17">
        <f t="shared" si="36"/>
        <v>32327</v>
      </c>
      <c r="K1215">
        <f t="shared" ca="1" si="37"/>
        <v>37</v>
      </c>
    </row>
    <row r="1216" spans="1:11" ht="15.75" customHeight="1">
      <c r="A1216" t="s">
        <v>2251</v>
      </c>
      <c r="B1216">
        <v>1979</v>
      </c>
      <c r="C1216" t="s">
        <v>4714</v>
      </c>
      <c r="D1216">
        <v>28</v>
      </c>
      <c r="E1216">
        <v>2</v>
      </c>
      <c r="F1216" s="16">
        <v>10027.15</v>
      </c>
      <c r="G1216" t="s">
        <v>4700</v>
      </c>
      <c r="H1216" t="s">
        <v>4698</v>
      </c>
      <c r="I1216" t="s">
        <v>4727</v>
      </c>
      <c r="J1216" s="17">
        <f t="shared" si="36"/>
        <v>29217</v>
      </c>
      <c r="K1216">
        <f t="shared" ca="1" si="37"/>
        <v>45</v>
      </c>
    </row>
    <row r="1217" spans="1:11" ht="15.75" customHeight="1">
      <c r="A1217" t="s">
        <v>2249</v>
      </c>
      <c r="B1217">
        <v>1974</v>
      </c>
      <c r="C1217" t="s">
        <v>4716</v>
      </c>
      <c r="D1217">
        <v>30</v>
      </c>
      <c r="E1217">
        <v>2</v>
      </c>
      <c r="F1217" s="16">
        <v>10043.25</v>
      </c>
      <c r="G1217" t="s">
        <v>4700</v>
      </c>
      <c r="H1217" t="s">
        <v>4699</v>
      </c>
      <c r="I1217" t="s">
        <v>4724</v>
      </c>
      <c r="J1217" s="17">
        <f t="shared" si="36"/>
        <v>27271</v>
      </c>
      <c r="K1217">
        <f t="shared" ca="1" si="37"/>
        <v>51</v>
      </c>
    </row>
    <row r="1218" spans="1:11" ht="15.75" customHeight="1">
      <c r="A1218" t="s">
        <v>2247</v>
      </c>
      <c r="B1218">
        <v>1969</v>
      </c>
      <c r="C1218" t="s">
        <v>4716</v>
      </c>
      <c r="D1218">
        <v>22</v>
      </c>
      <c r="E1218">
        <v>1</v>
      </c>
      <c r="F1218" s="16">
        <v>10065.41</v>
      </c>
      <c r="G1218" t="s">
        <v>4700</v>
      </c>
      <c r="H1218" t="s">
        <v>4699</v>
      </c>
      <c r="I1218" t="s">
        <v>4718</v>
      </c>
      <c r="J1218" s="17">
        <f t="shared" si="36"/>
        <v>25437</v>
      </c>
      <c r="K1218">
        <f t="shared" ca="1" si="37"/>
        <v>56</v>
      </c>
    </row>
    <row r="1219" spans="1:11" ht="15.75" customHeight="1">
      <c r="A1219" t="s">
        <v>2245</v>
      </c>
      <c r="B1219">
        <v>1969</v>
      </c>
      <c r="C1219" t="s">
        <v>4717</v>
      </c>
      <c r="D1219">
        <v>27</v>
      </c>
      <c r="E1219">
        <v>0</v>
      </c>
      <c r="F1219" s="16">
        <v>10072.06</v>
      </c>
      <c r="G1219" t="s">
        <v>4700</v>
      </c>
      <c r="H1219" t="s">
        <v>4698</v>
      </c>
      <c r="I1219" t="s">
        <v>4728</v>
      </c>
      <c r="J1219" s="17">
        <f t="shared" ref="J1219:J1282" si="38">DATEVALUE(D1219&amp;"-"&amp;C1219&amp;" -"&amp;B1219)</f>
        <v>25503</v>
      </c>
      <c r="K1219">
        <f t="shared" ref="K1219:K1282" ca="1" si="39">DATEDIF(J1219,TODAY(),"Y")</f>
        <v>56</v>
      </c>
    </row>
    <row r="1220" spans="1:11" ht="15.75" customHeight="1">
      <c r="A1220" t="s">
        <v>2243</v>
      </c>
      <c r="B1220">
        <v>1969</v>
      </c>
      <c r="C1220" t="s">
        <v>4708</v>
      </c>
      <c r="D1220">
        <v>3</v>
      </c>
      <c r="E1220">
        <v>1</v>
      </c>
      <c r="F1220" s="16">
        <v>10085.85</v>
      </c>
      <c r="G1220" t="s">
        <v>4700</v>
      </c>
      <c r="H1220" t="s">
        <v>4700</v>
      </c>
      <c r="I1220" t="s">
        <v>4718</v>
      </c>
      <c r="J1220" s="17">
        <f t="shared" si="38"/>
        <v>25387</v>
      </c>
      <c r="K1220">
        <f t="shared" ca="1" si="39"/>
        <v>56</v>
      </c>
    </row>
    <row r="1221" spans="1:11" ht="15.75" customHeight="1">
      <c r="A1221" t="s">
        <v>2241</v>
      </c>
      <c r="B1221">
        <v>1976</v>
      </c>
      <c r="C1221" t="s">
        <v>4714</v>
      </c>
      <c r="D1221">
        <v>19</v>
      </c>
      <c r="E1221">
        <v>5</v>
      </c>
      <c r="F1221" s="16">
        <v>10096.969999999999</v>
      </c>
      <c r="G1221" t="s">
        <v>4700</v>
      </c>
      <c r="H1221" t="s">
        <v>4699</v>
      </c>
      <c r="I1221" t="s">
        <v>4718</v>
      </c>
      <c r="J1221" s="17">
        <f t="shared" si="38"/>
        <v>28113</v>
      </c>
      <c r="K1221">
        <f t="shared" ca="1" si="39"/>
        <v>48</v>
      </c>
    </row>
    <row r="1222" spans="1:11" ht="15.75" customHeight="1">
      <c r="A1222" t="s">
        <v>2239</v>
      </c>
      <c r="B1222">
        <v>1972</v>
      </c>
      <c r="C1222" t="s">
        <v>4717</v>
      </c>
      <c r="D1222">
        <v>19</v>
      </c>
      <c r="E1222">
        <v>1</v>
      </c>
      <c r="F1222" s="16">
        <v>10106.129999999999</v>
      </c>
      <c r="G1222" t="s">
        <v>4700</v>
      </c>
      <c r="H1222" t="s">
        <v>4698</v>
      </c>
      <c r="I1222" t="s">
        <v>4724</v>
      </c>
      <c r="J1222" s="17">
        <f t="shared" si="38"/>
        <v>26591</v>
      </c>
      <c r="K1222">
        <f t="shared" ca="1" si="39"/>
        <v>53</v>
      </c>
    </row>
    <row r="1223" spans="1:11" ht="15.75" customHeight="1">
      <c r="A1223" t="s">
        <v>2237</v>
      </c>
      <c r="B1223">
        <v>1972</v>
      </c>
      <c r="C1223" t="s">
        <v>4716</v>
      </c>
      <c r="D1223">
        <v>8</v>
      </c>
      <c r="E1223">
        <v>2</v>
      </c>
      <c r="F1223" s="16">
        <v>10107.219999999999</v>
      </c>
      <c r="G1223" t="s">
        <v>4700</v>
      </c>
      <c r="H1223" t="s">
        <v>4698</v>
      </c>
      <c r="I1223" t="s">
        <v>4709</v>
      </c>
      <c r="J1223" s="17">
        <f t="shared" si="38"/>
        <v>26519</v>
      </c>
      <c r="K1223">
        <f t="shared" ca="1" si="39"/>
        <v>53</v>
      </c>
    </row>
    <row r="1224" spans="1:11" ht="15.75" customHeight="1">
      <c r="A1224" t="s">
        <v>2235</v>
      </c>
      <c r="B1224">
        <v>1975</v>
      </c>
      <c r="C1224" t="s">
        <v>4708</v>
      </c>
      <c r="D1224">
        <v>2</v>
      </c>
      <c r="E1224">
        <v>3</v>
      </c>
      <c r="F1224" s="16">
        <v>10115.01</v>
      </c>
      <c r="G1224" t="s">
        <v>4700</v>
      </c>
      <c r="H1224" t="s">
        <v>4700</v>
      </c>
      <c r="I1224" t="s">
        <v>4713</v>
      </c>
      <c r="J1224" s="17">
        <f t="shared" si="38"/>
        <v>27577</v>
      </c>
      <c r="K1224">
        <f t="shared" ca="1" si="39"/>
        <v>50</v>
      </c>
    </row>
    <row r="1225" spans="1:11" ht="15.75" customHeight="1">
      <c r="A1225" t="s">
        <v>2233</v>
      </c>
      <c r="B1225">
        <v>1972</v>
      </c>
      <c r="C1225" t="s">
        <v>4710</v>
      </c>
      <c r="D1225">
        <v>16</v>
      </c>
      <c r="E1225">
        <v>2</v>
      </c>
      <c r="F1225" s="16">
        <v>10118.42</v>
      </c>
      <c r="G1225" t="s">
        <v>4700</v>
      </c>
      <c r="H1225" t="s">
        <v>4700</v>
      </c>
      <c r="I1225" t="s">
        <v>4718</v>
      </c>
      <c r="J1225" s="17">
        <f t="shared" si="38"/>
        <v>26619</v>
      </c>
      <c r="K1225">
        <f t="shared" ca="1" si="39"/>
        <v>53</v>
      </c>
    </row>
    <row r="1226" spans="1:11" ht="15.75" customHeight="1">
      <c r="A1226" t="s">
        <v>2231</v>
      </c>
      <c r="B1226">
        <v>1997</v>
      </c>
      <c r="C1226" t="s">
        <v>4712</v>
      </c>
      <c r="D1226">
        <v>5</v>
      </c>
      <c r="E1226">
        <v>0</v>
      </c>
      <c r="F1226" s="16">
        <v>10139.84</v>
      </c>
      <c r="G1226" t="s">
        <v>4700</v>
      </c>
      <c r="H1226" t="s">
        <v>4699</v>
      </c>
      <c r="I1226" t="s">
        <v>4713</v>
      </c>
      <c r="J1226" s="17">
        <f t="shared" si="38"/>
        <v>35678</v>
      </c>
      <c r="K1226">
        <f t="shared" ca="1" si="39"/>
        <v>28</v>
      </c>
    </row>
    <row r="1227" spans="1:11" ht="15.75" customHeight="1">
      <c r="A1227" t="s">
        <v>2229</v>
      </c>
      <c r="B1227">
        <v>1974</v>
      </c>
      <c r="C1227" t="s">
        <v>4714</v>
      </c>
      <c r="D1227">
        <v>30</v>
      </c>
      <c r="E1227">
        <v>3</v>
      </c>
      <c r="F1227" s="16">
        <v>10141.14</v>
      </c>
      <c r="G1227" t="s">
        <v>4700</v>
      </c>
      <c r="H1227" t="s">
        <v>4698</v>
      </c>
      <c r="I1227" t="s">
        <v>4721</v>
      </c>
      <c r="J1227" s="17">
        <f t="shared" si="38"/>
        <v>27393</v>
      </c>
      <c r="K1227">
        <f t="shared" ca="1" si="39"/>
        <v>50</v>
      </c>
    </row>
    <row r="1228" spans="1:11" ht="15.75" customHeight="1">
      <c r="A1228" t="s">
        <v>2227</v>
      </c>
      <c r="B1228">
        <v>1981</v>
      </c>
      <c r="C1228" t="s">
        <v>4711</v>
      </c>
      <c r="D1228">
        <v>12</v>
      </c>
      <c r="E1228">
        <v>1</v>
      </c>
      <c r="F1228" s="16">
        <v>10146.129999999999</v>
      </c>
      <c r="G1228" t="s">
        <v>4700</v>
      </c>
      <c r="H1228" t="s">
        <v>4698</v>
      </c>
      <c r="I1228" t="s">
        <v>4723</v>
      </c>
      <c r="J1228" s="17">
        <f t="shared" si="38"/>
        <v>29749</v>
      </c>
      <c r="K1228">
        <f t="shared" ca="1" si="39"/>
        <v>44</v>
      </c>
    </row>
    <row r="1229" spans="1:11" ht="15.75" customHeight="1">
      <c r="A1229" t="s">
        <v>2225</v>
      </c>
      <c r="B1229">
        <v>1973</v>
      </c>
      <c r="C1229" t="s">
        <v>4717</v>
      </c>
      <c r="D1229">
        <v>13</v>
      </c>
      <c r="E1229">
        <v>2</v>
      </c>
      <c r="F1229" s="16">
        <v>10156.780000000001</v>
      </c>
      <c r="G1229" t="s">
        <v>4700</v>
      </c>
      <c r="H1229" t="s">
        <v>4699</v>
      </c>
      <c r="I1229" t="s">
        <v>4713</v>
      </c>
      <c r="J1229" s="17">
        <f t="shared" si="38"/>
        <v>26950</v>
      </c>
      <c r="K1229">
        <f t="shared" ca="1" si="39"/>
        <v>52</v>
      </c>
    </row>
    <row r="1230" spans="1:11" ht="15.75" customHeight="1">
      <c r="A1230" t="s">
        <v>2223</v>
      </c>
      <c r="B1230">
        <v>1972</v>
      </c>
      <c r="C1230" t="s">
        <v>4708</v>
      </c>
      <c r="D1230">
        <v>10</v>
      </c>
      <c r="E1230">
        <v>0</v>
      </c>
      <c r="F1230" s="16">
        <v>10160.870000000001</v>
      </c>
      <c r="G1230" t="s">
        <v>4700</v>
      </c>
      <c r="H1230" t="s">
        <v>4700</v>
      </c>
      <c r="I1230" t="s">
        <v>4723</v>
      </c>
      <c r="J1230" s="17">
        <f t="shared" si="38"/>
        <v>26490</v>
      </c>
      <c r="K1230">
        <f t="shared" ca="1" si="39"/>
        <v>53</v>
      </c>
    </row>
    <row r="1231" spans="1:11" ht="15.75" customHeight="1">
      <c r="A1231" t="s">
        <v>2221</v>
      </c>
      <c r="B1231">
        <v>1985</v>
      </c>
      <c r="C1231" t="s">
        <v>4717</v>
      </c>
      <c r="D1231">
        <v>16</v>
      </c>
      <c r="E1231">
        <v>3</v>
      </c>
      <c r="F1231" s="16">
        <v>10191.82</v>
      </c>
      <c r="G1231" t="s">
        <v>4700</v>
      </c>
      <c r="H1231" t="s">
        <v>4699</v>
      </c>
      <c r="I1231" t="s">
        <v>4730</v>
      </c>
      <c r="J1231" s="17">
        <f t="shared" si="38"/>
        <v>31336</v>
      </c>
      <c r="K1231">
        <f t="shared" ca="1" si="39"/>
        <v>40</v>
      </c>
    </row>
    <row r="1232" spans="1:11" ht="15.75" customHeight="1">
      <c r="A1232" t="s">
        <v>2219</v>
      </c>
      <c r="B1232">
        <v>1970</v>
      </c>
      <c r="C1232" t="s">
        <v>4714</v>
      </c>
      <c r="D1232">
        <v>24</v>
      </c>
      <c r="E1232">
        <v>0</v>
      </c>
      <c r="F1232" s="16">
        <v>10197.77</v>
      </c>
      <c r="G1232" t="s">
        <v>4700</v>
      </c>
      <c r="H1232" t="s">
        <v>4698</v>
      </c>
      <c r="I1232" t="s">
        <v>4724</v>
      </c>
      <c r="J1232" s="17">
        <f t="shared" si="38"/>
        <v>25926</v>
      </c>
      <c r="K1232">
        <f t="shared" ca="1" si="39"/>
        <v>54</v>
      </c>
    </row>
    <row r="1233" spans="1:11" ht="15.75" customHeight="1">
      <c r="A1233" t="s">
        <v>2217</v>
      </c>
      <c r="B1233">
        <v>1967</v>
      </c>
      <c r="C1233" t="s">
        <v>4712</v>
      </c>
      <c r="D1233">
        <v>26</v>
      </c>
      <c r="E1233">
        <v>0</v>
      </c>
      <c r="F1233" s="16">
        <v>10214.64</v>
      </c>
      <c r="G1233" t="s">
        <v>4700</v>
      </c>
      <c r="H1233" t="s">
        <v>4699</v>
      </c>
      <c r="I1233" t="s">
        <v>4718</v>
      </c>
      <c r="J1233" s="17">
        <f t="shared" si="38"/>
        <v>24741</v>
      </c>
      <c r="K1233">
        <f t="shared" ca="1" si="39"/>
        <v>58</v>
      </c>
    </row>
    <row r="1234" spans="1:11" ht="15.75" customHeight="1">
      <c r="A1234" t="s">
        <v>2215</v>
      </c>
      <c r="B1234">
        <v>1967</v>
      </c>
      <c r="C1234" t="s">
        <v>4711</v>
      </c>
      <c r="D1234">
        <v>28</v>
      </c>
      <c r="E1234">
        <v>0</v>
      </c>
      <c r="F1234" s="16">
        <v>10226.280000000001</v>
      </c>
      <c r="G1234" t="s">
        <v>4700</v>
      </c>
      <c r="H1234" t="s">
        <v>4700</v>
      </c>
      <c r="I1234" t="s">
        <v>4709</v>
      </c>
      <c r="J1234" s="17">
        <f t="shared" si="38"/>
        <v>24651</v>
      </c>
      <c r="K1234">
        <f t="shared" ca="1" si="39"/>
        <v>58</v>
      </c>
    </row>
    <row r="1235" spans="1:11" ht="15.75" customHeight="1">
      <c r="A1235" t="s">
        <v>2213</v>
      </c>
      <c r="B1235">
        <v>1968</v>
      </c>
      <c r="C1235" t="s">
        <v>4712</v>
      </c>
      <c r="D1235">
        <v>23</v>
      </c>
      <c r="E1235">
        <v>0</v>
      </c>
      <c r="F1235" s="16">
        <v>10231.5</v>
      </c>
      <c r="G1235" t="s">
        <v>4700</v>
      </c>
      <c r="H1235" t="s">
        <v>4698</v>
      </c>
      <c r="I1235" t="s">
        <v>4713</v>
      </c>
      <c r="J1235" s="17">
        <f t="shared" si="38"/>
        <v>25104</v>
      </c>
      <c r="K1235">
        <f t="shared" ca="1" si="39"/>
        <v>57</v>
      </c>
    </row>
    <row r="1236" spans="1:11" ht="15.75" customHeight="1">
      <c r="A1236" t="s">
        <v>2211</v>
      </c>
      <c r="B1236">
        <v>1975</v>
      </c>
      <c r="C1236" t="s">
        <v>4716</v>
      </c>
      <c r="D1236">
        <v>15</v>
      </c>
      <c r="E1236">
        <v>1</v>
      </c>
      <c r="F1236" s="16">
        <v>10259.129999999999</v>
      </c>
      <c r="G1236" t="s">
        <v>4700</v>
      </c>
      <c r="H1236" t="s">
        <v>4699</v>
      </c>
      <c r="I1236" t="s">
        <v>4718</v>
      </c>
      <c r="J1236" s="17">
        <f t="shared" si="38"/>
        <v>27621</v>
      </c>
      <c r="K1236">
        <f t="shared" ca="1" si="39"/>
        <v>50</v>
      </c>
    </row>
    <row r="1237" spans="1:11" ht="15.75" customHeight="1">
      <c r="A1237" t="s">
        <v>2209</v>
      </c>
      <c r="B1237">
        <v>1973</v>
      </c>
      <c r="C1237" t="s">
        <v>4712</v>
      </c>
      <c r="D1237">
        <v>5</v>
      </c>
      <c r="E1237">
        <v>3</v>
      </c>
      <c r="F1237" s="16">
        <v>10264.44</v>
      </c>
      <c r="G1237" t="s">
        <v>4700</v>
      </c>
      <c r="H1237" t="s">
        <v>4699</v>
      </c>
      <c r="I1237" t="s">
        <v>4713</v>
      </c>
      <c r="J1237" s="17">
        <f t="shared" si="38"/>
        <v>26912</v>
      </c>
      <c r="K1237">
        <f t="shared" ca="1" si="39"/>
        <v>52</v>
      </c>
    </row>
    <row r="1238" spans="1:11" ht="15.75" customHeight="1">
      <c r="A1238" t="s">
        <v>2207</v>
      </c>
      <c r="B1238">
        <v>1973</v>
      </c>
      <c r="C1238" t="s">
        <v>4710</v>
      </c>
      <c r="D1238">
        <v>27</v>
      </c>
      <c r="E1238">
        <v>3</v>
      </c>
      <c r="F1238" s="16">
        <v>10269.459999999999</v>
      </c>
      <c r="G1238" t="s">
        <v>4700</v>
      </c>
      <c r="H1238" t="s">
        <v>4700</v>
      </c>
      <c r="I1238" t="s">
        <v>4713</v>
      </c>
      <c r="J1238" s="17">
        <f t="shared" si="38"/>
        <v>26995</v>
      </c>
      <c r="K1238">
        <f t="shared" ca="1" si="39"/>
        <v>52</v>
      </c>
    </row>
    <row r="1239" spans="1:11" ht="15.75" customHeight="1">
      <c r="A1239" t="s">
        <v>2205</v>
      </c>
      <c r="B1239">
        <v>1970</v>
      </c>
      <c r="C1239" t="s">
        <v>4711</v>
      </c>
      <c r="D1239">
        <v>21</v>
      </c>
      <c r="E1239">
        <v>0</v>
      </c>
      <c r="F1239" s="16">
        <v>10274.33</v>
      </c>
      <c r="G1239" t="s">
        <v>4700</v>
      </c>
      <c r="H1239" t="s">
        <v>4698</v>
      </c>
      <c r="I1239" t="s">
        <v>4724</v>
      </c>
      <c r="J1239" s="17">
        <f t="shared" si="38"/>
        <v>25740</v>
      </c>
      <c r="K1239">
        <f t="shared" ca="1" si="39"/>
        <v>55</v>
      </c>
    </row>
    <row r="1240" spans="1:11" ht="15.75" customHeight="1">
      <c r="A1240" t="s">
        <v>2203</v>
      </c>
      <c r="B1240">
        <v>1988</v>
      </c>
      <c r="C1240" t="s">
        <v>4712</v>
      </c>
      <c r="D1240">
        <v>14</v>
      </c>
      <c r="E1240">
        <v>3</v>
      </c>
      <c r="F1240" s="16">
        <v>10276.99</v>
      </c>
      <c r="G1240" t="s">
        <v>4700</v>
      </c>
      <c r="H1240" t="s">
        <v>4698</v>
      </c>
      <c r="I1240" t="s">
        <v>4727</v>
      </c>
      <c r="J1240" s="17">
        <f t="shared" si="38"/>
        <v>32400</v>
      </c>
      <c r="K1240">
        <f t="shared" ca="1" si="39"/>
        <v>37</v>
      </c>
    </row>
    <row r="1241" spans="1:11" ht="15.75" customHeight="1">
      <c r="A1241" t="s">
        <v>2201</v>
      </c>
      <c r="B1241">
        <v>1963</v>
      </c>
      <c r="C1241" t="s">
        <v>4712</v>
      </c>
      <c r="D1241">
        <v>24</v>
      </c>
      <c r="E1241">
        <v>0</v>
      </c>
      <c r="F1241" s="16">
        <v>10308.040000000001</v>
      </c>
      <c r="G1241" t="s">
        <v>4700</v>
      </c>
      <c r="H1241" t="s">
        <v>4698</v>
      </c>
      <c r="I1241" t="s">
        <v>4709</v>
      </c>
      <c r="J1241" s="17">
        <f t="shared" si="38"/>
        <v>23278</v>
      </c>
      <c r="K1241">
        <f t="shared" ca="1" si="39"/>
        <v>62</v>
      </c>
    </row>
    <row r="1242" spans="1:11" ht="15.75" customHeight="1">
      <c r="A1242" t="s">
        <v>2199</v>
      </c>
      <c r="B1242">
        <v>1962</v>
      </c>
      <c r="C1242" t="s">
        <v>4708</v>
      </c>
      <c r="D1242">
        <v>12</v>
      </c>
      <c r="E1242">
        <v>0</v>
      </c>
      <c r="F1242" s="16">
        <v>10310.780000000001</v>
      </c>
      <c r="G1242" t="s">
        <v>4700</v>
      </c>
      <c r="H1242" t="s">
        <v>4700</v>
      </c>
      <c r="I1242" t="s">
        <v>4713</v>
      </c>
      <c r="J1242" s="17">
        <f t="shared" si="38"/>
        <v>22839</v>
      </c>
      <c r="K1242">
        <f t="shared" ca="1" si="39"/>
        <v>63</v>
      </c>
    </row>
    <row r="1243" spans="1:11" ht="15.75" customHeight="1">
      <c r="A1243" t="s">
        <v>2197</v>
      </c>
      <c r="B1243">
        <v>1991</v>
      </c>
      <c r="C1243" t="s">
        <v>4710</v>
      </c>
      <c r="D1243">
        <v>17</v>
      </c>
      <c r="E1243">
        <v>3</v>
      </c>
      <c r="F1243" s="16">
        <v>10315.91</v>
      </c>
      <c r="G1243" t="s">
        <v>4700</v>
      </c>
      <c r="H1243" t="s">
        <v>4699</v>
      </c>
      <c r="I1243" t="s">
        <v>4713</v>
      </c>
      <c r="J1243" s="17">
        <f t="shared" si="38"/>
        <v>33559</v>
      </c>
      <c r="K1243">
        <f t="shared" ca="1" si="39"/>
        <v>34</v>
      </c>
    </row>
    <row r="1244" spans="1:11" ht="15.75" customHeight="1">
      <c r="A1244" t="s">
        <v>2195</v>
      </c>
      <c r="B1244">
        <v>1991</v>
      </c>
      <c r="C1244" t="s">
        <v>4716</v>
      </c>
      <c r="D1244">
        <v>21</v>
      </c>
      <c r="E1244">
        <v>3</v>
      </c>
      <c r="F1244" s="16">
        <v>10322.9</v>
      </c>
      <c r="G1244" t="s">
        <v>4700</v>
      </c>
      <c r="H1244" t="s">
        <v>4698</v>
      </c>
      <c r="I1244" t="s">
        <v>4730</v>
      </c>
      <c r="J1244" s="17">
        <f t="shared" si="38"/>
        <v>33471</v>
      </c>
      <c r="K1244">
        <f t="shared" ca="1" si="39"/>
        <v>34</v>
      </c>
    </row>
    <row r="1245" spans="1:11" ht="15.75" customHeight="1">
      <c r="A1245" t="s">
        <v>2193</v>
      </c>
      <c r="B1245">
        <v>1970</v>
      </c>
      <c r="C1245" t="s">
        <v>4714</v>
      </c>
      <c r="D1245">
        <v>1</v>
      </c>
      <c r="E1245">
        <v>2</v>
      </c>
      <c r="F1245" s="16">
        <v>10325.209999999999</v>
      </c>
      <c r="G1245" t="s">
        <v>4700</v>
      </c>
      <c r="H1245" t="s">
        <v>4700</v>
      </c>
      <c r="I1245" t="s">
        <v>4718</v>
      </c>
      <c r="J1245" s="17">
        <f t="shared" si="38"/>
        <v>25903</v>
      </c>
      <c r="K1245">
        <f t="shared" ca="1" si="39"/>
        <v>54</v>
      </c>
    </row>
    <row r="1246" spans="1:11" ht="15.75" customHeight="1">
      <c r="A1246" t="s">
        <v>2191</v>
      </c>
      <c r="B1246">
        <v>1982</v>
      </c>
      <c r="C1246" t="s">
        <v>4708</v>
      </c>
      <c r="D1246">
        <v>21</v>
      </c>
      <c r="E1246">
        <v>3</v>
      </c>
      <c r="F1246" s="16">
        <v>10329.06</v>
      </c>
      <c r="G1246" t="s">
        <v>4700</v>
      </c>
      <c r="H1246" t="s">
        <v>4698</v>
      </c>
      <c r="I1246" t="s">
        <v>4727</v>
      </c>
      <c r="J1246" s="17">
        <f t="shared" si="38"/>
        <v>30153</v>
      </c>
      <c r="K1246">
        <f t="shared" ca="1" si="39"/>
        <v>43</v>
      </c>
    </row>
    <row r="1247" spans="1:11" ht="15.75" customHeight="1">
      <c r="A1247" t="s">
        <v>2189</v>
      </c>
      <c r="B1247">
        <v>1968</v>
      </c>
      <c r="C1247" t="s">
        <v>4708</v>
      </c>
      <c r="D1247">
        <v>19</v>
      </c>
      <c r="E1247">
        <v>0</v>
      </c>
      <c r="F1247" s="16">
        <v>10338.93</v>
      </c>
      <c r="G1247" t="s">
        <v>4700</v>
      </c>
      <c r="H1247" t="s">
        <v>4698</v>
      </c>
      <c r="I1247" t="s">
        <v>4709</v>
      </c>
      <c r="J1247" s="17">
        <f t="shared" si="38"/>
        <v>25038</v>
      </c>
      <c r="K1247">
        <f t="shared" ca="1" si="39"/>
        <v>57</v>
      </c>
    </row>
    <row r="1248" spans="1:11" ht="15.75" customHeight="1">
      <c r="A1248" t="s">
        <v>2187</v>
      </c>
      <c r="B1248">
        <v>1973</v>
      </c>
      <c r="C1248" t="s">
        <v>4716</v>
      </c>
      <c r="D1248">
        <v>8</v>
      </c>
      <c r="E1248">
        <v>0</v>
      </c>
      <c r="F1248" s="16">
        <v>10345.93</v>
      </c>
      <c r="G1248" t="s">
        <v>4700</v>
      </c>
      <c r="H1248" t="s">
        <v>4699</v>
      </c>
      <c r="I1248" t="s">
        <v>4727</v>
      </c>
      <c r="J1248" s="17">
        <f t="shared" si="38"/>
        <v>26884</v>
      </c>
      <c r="K1248">
        <f t="shared" ca="1" si="39"/>
        <v>52</v>
      </c>
    </row>
    <row r="1249" spans="1:11" ht="15.75" customHeight="1">
      <c r="A1249" t="s">
        <v>2185</v>
      </c>
      <c r="B1249">
        <v>1974</v>
      </c>
      <c r="C1249" t="s">
        <v>4712</v>
      </c>
      <c r="D1249">
        <v>29</v>
      </c>
      <c r="E1249">
        <v>0</v>
      </c>
      <c r="F1249" s="16">
        <v>10352.48</v>
      </c>
      <c r="G1249" t="s">
        <v>4700</v>
      </c>
      <c r="H1249" t="s">
        <v>4698</v>
      </c>
      <c r="I1249" t="s">
        <v>4713</v>
      </c>
      <c r="J1249" s="17">
        <f t="shared" si="38"/>
        <v>27301</v>
      </c>
      <c r="K1249">
        <f t="shared" ca="1" si="39"/>
        <v>51</v>
      </c>
    </row>
    <row r="1250" spans="1:11" ht="15.75" customHeight="1">
      <c r="A1250" t="s">
        <v>2183</v>
      </c>
      <c r="B1250">
        <v>1969</v>
      </c>
      <c r="C1250" t="s">
        <v>4711</v>
      </c>
      <c r="D1250">
        <v>17</v>
      </c>
      <c r="E1250">
        <v>0</v>
      </c>
      <c r="F1250" s="16">
        <v>10355.64</v>
      </c>
      <c r="G1250" t="s">
        <v>4700</v>
      </c>
      <c r="H1250" t="s">
        <v>4698</v>
      </c>
      <c r="I1250" t="s">
        <v>4713</v>
      </c>
      <c r="J1250" s="17">
        <f t="shared" si="38"/>
        <v>25371</v>
      </c>
      <c r="K1250">
        <f t="shared" ca="1" si="39"/>
        <v>56</v>
      </c>
    </row>
    <row r="1251" spans="1:11" ht="15.75" customHeight="1">
      <c r="A1251" t="s">
        <v>2181</v>
      </c>
      <c r="B1251">
        <v>1971</v>
      </c>
      <c r="C1251" t="s">
        <v>4712</v>
      </c>
      <c r="D1251">
        <v>6</v>
      </c>
      <c r="E1251">
        <v>0</v>
      </c>
      <c r="F1251" s="16">
        <v>10356.67</v>
      </c>
      <c r="G1251" t="s">
        <v>4700</v>
      </c>
      <c r="H1251" t="s">
        <v>4698</v>
      </c>
      <c r="I1251" t="s">
        <v>4723</v>
      </c>
      <c r="J1251" s="17">
        <f t="shared" si="38"/>
        <v>26182</v>
      </c>
      <c r="K1251">
        <f t="shared" ca="1" si="39"/>
        <v>54</v>
      </c>
    </row>
    <row r="1252" spans="1:11" ht="15.75" customHeight="1">
      <c r="A1252" t="s">
        <v>2179</v>
      </c>
      <c r="B1252">
        <v>1973</v>
      </c>
      <c r="C1252" t="s">
        <v>4712</v>
      </c>
      <c r="D1252">
        <v>29</v>
      </c>
      <c r="E1252">
        <v>2</v>
      </c>
      <c r="F1252" s="16">
        <v>10370.91</v>
      </c>
      <c r="G1252" t="s">
        <v>4700</v>
      </c>
      <c r="H1252" t="s">
        <v>4700</v>
      </c>
      <c r="I1252" t="s">
        <v>4724</v>
      </c>
      <c r="J1252" s="17">
        <f t="shared" si="38"/>
        <v>26936</v>
      </c>
      <c r="K1252">
        <f t="shared" ca="1" si="39"/>
        <v>52</v>
      </c>
    </row>
    <row r="1253" spans="1:11" ht="15.75" customHeight="1">
      <c r="A1253" t="s">
        <v>2177</v>
      </c>
      <c r="B1253">
        <v>1973</v>
      </c>
      <c r="C1253" t="s">
        <v>4712</v>
      </c>
      <c r="D1253">
        <v>19</v>
      </c>
      <c r="E1253">
        <v>3</v>
      </c>
      <c r="F1253" s="16">
        <v>10381.48</v>
      </c>
      <c r="G1253" t="s">
        <v>4700</v>
      </c>
      <c r="H1253" t="s">
        <v>4700</v>
      </c>
      <c r="I1253" t="s">
        <v>4709</v>
      </c>
      <c r="J1253" s="17">
        <f t="shared" si="38"/>
        <v>26926</v>
      </c>
      <c r="K1253">
        <f t="shared" ca="1" si="39"/>
        <v>52</v>
      </c>
    </row>
    <row r="1254" spans="1:11" ht="15.75" customHeight="1">
      <c r="A1254" t="s">
        <v>2175</v>
      </c>
      <c r="B1254">
        <v>1969</v>
      </c>
      <c r="C1254" t="s">
        <v>4708</v>
      </c>
      <c r="D1254">
        <v>7</v>
      </c>
      <c r="E1254">
        <v>0</v>
      </c>
      <c r="F1254" s="16">
        <v>10403.27</v>
      </c>
      <c r="G1254" t="s">
        <v>4700</v>
      </c>
      <c r="H1254" t="s">
        <v>4699</v>
      </c>
      <c r="I1254" t="s">
        <v>4729</v>
      </c>
      <c r="J1254" s="17">
        <f t="shared" si="38"/>
        <v>25391</v>
      </c>
      <c r="K1254">
        <f t="shared" ca="1" si="39"/>
        <v>56</v>
      </c>
    </row>
    <row r="1255" spans="1:11" ht="15.75" customHeight="1">
      <c r="A1255" t="s">
        <v>2173</v>
      </c>
      <c r="B1255">
        <v>1975</v>
      </c>
      <c r="C1255" t="s">
        <v>4711</v>
      </c>
      <c r="D1255">
        <v>5</v>
      </c>
      <c r="E1255">
        <v>4</v>
      </c>
      <c r="F1255" s="16">
        <v>10407.09</v>
      </c>
      <c r="G1255" t="s">
        <v>4700</v>
      </c>
      <c r="H1255" t="s">
        <v>4698</v>
      </c>
      <c r="I1255" t="s">
        <v>4719</v>
      </c>
      <c r="J1255" s="17">
        <f t="shared" si="38"/>
        <v>27550</v>
      </c>
      <c r="K1255">
        <f t="shared" ca="1" si="39"/>
        <v>50</v>
      </c>
    </row>
    <row r="1256" spans="1:11" ht="15.75" customHeight="1">
      <c r="A1256" t="s">
        <v>2171</v>
      </c>
      <c r="B1256">
        <v>1980</v>
      </c>
      <c r="C1256" t="s">
        <v>4717</v>
      </c>
      <c r="D1256">
        <v>24</v>
      </c>
      <c r="E1256">
        <v>2</v>
      </c>
      <c r="F1256" s="16">
        <v>10407.98</v>
      </c>
      <c r="G1256" t="s">
        <v>4700</v>
      </c>
      <c r="H1256" t="s">
        <v>4698</v>
      </c>
      <c r="I1256" t="s">
        <v>4727</v>
      </c>
      <c r="J1256" s="17">
        <f t="shared" si="38"/>
        <v>29518</v>
      </c>
      <c r="K1256">
        <f t="shared" ca="1" si="39"/>
        <v>45</v>
      </c>
    </row>
    <row r="1257" spans="1:11" ht="15.75" customHeight="1">
      <c r="A1257" t="s">
        <v>2169</v>
      </c>
      <c r="B1257">
        <v>1973</v>
      </c>
      <c r="C1257" t="s">
        <v>4717</v>
      </c>
      <c r="D1257">
        <v>11</v>
      </c>
      <c r="E1257">
        <v>0</v>
      </c>
      <c r="F1257" s="16">
        <v>10419.59</v>
      </c>
      <c r="G1257" t="s">
        <v>4700</v>
      </c>
      <c r="H1257" t="s">
        <v>4699</v>
      </c>
      <c r="I1257" t="s">
        <v>4723</v>
      </c>
      <c r="J1257" s="17">
        <f t="shared" si="38"/>
        <v>26948</v>
      </c>
      <c r="K1257">
        <f t="shared" ca="1" si="39"/>
        <v>52</v>
      </c>
    </row>
    <row r="1258" spans="1:11" ht="15.75" customHeight="1">
      <c r="A1258" t="s">
        <v>2167</v>
      </c>
      <c r="B1258">
        <v>1979</v>
      </c>
      <c r="C1258" t="s">
        <v>4710</v>
      </c>
      <c r="D1258">
        <v>25</v>
      </c>
      <c r="E1258">
        <v>2</v>
      </c>
      <c r="F1258" s="16">
        <v>10419.65</v>
      </c>
      <c r="G1258" t="s">
        <v>4700</v>
      </c>
      <c r="H1258" t="s">
        <v>4699</v>
      </c>
      <c r="I1258" t="s">
        <v>4723</v>
      </c>
      <c r="J1258" s="17">
        <f t="shared" si="38"/>
        <v>29184</v>
      </c>
      <c r="K1258">
        <f t="shared" ca="1" si="39"/>
        <v>46</v>
      </c>
    </row>
    <row r="1259" spans="1:11" ht="15.75" customHeight="1">
      <c r="A1259" t="s">
        <v>2165</v>
      </c>
      <c r="B1259">
        <v>1968</v>
      </c>
      <c r="C1259" t="s">
        <v>4714</v>
      </c>
      <c r="D1259">
        <v>27</v>
      </c>
      <c r="E1259">
        <v>0</v>
      </c>
      <c r="F1259" s="16">
        <v>10422.92</v>
      </c>
      <c r="G1259" t="s">
        <v>4700</v>
      </c>
      <c r="H1259" t="s">
        <v>4698</v>
      </c>
      <c r="I1259" t="s">
        <v>4728</v>
      </c>
      <c r="J1259" s="17">
        <f t="shared" si="38"/>
        <v>25199</v>
      </c>
      <c r="K1259">
        <f t="shared" ca="1" si="39"/>
        <v>56</v>
      </c>
    </row>
    <row r="1260" spans="1:11" ht="15.75" customHeight="1">
      <c r="A1260" t="s">
        <v>2163</v>
      </c>
      <c r="B1260">
        <v>1968</v>
      </c>
      <c r="C1260" t="s">
        <v>4716</v>
      </c>
      <c r="D1260">
        <v>23</v>
      </c>
      <c r="E1260">
        <v>0</v>
      </c>
      <c r="F1260" s="16">
        <v>10435.07</v>
      </c>
      <c r="G1260" t="s">
        <v>4700</v>
      </c>
      <c r="H1260" t="s">
        <v>4698</v>
      </c>
      <c r="I1260" t="s">
        <v>4721</v>
      </c>
      <c r="J1260" s="17">
        <f t="shared" si="38"/>
        <v>25073</v>
      </c>
      <c r="K1260">
        <f t="shared" ca="1" si="39"/>
        <v>57</v>
      </c>
    </row>
    <row r="1261" spans="1:11" ht="15.75" customHeight="1">
      <c r="A1261" t="s">
        <v>2161</v>
      </c>
      <c r="B1261">
        <v>1968</v>
      </c>
      <c r="C1261" t="s">
        <v>4716</v>
      </c>
      <c r="D1261">
        <v>29</v>
      </c>
      <c r="E1261">
        <v>1</v>
      </c>
      <c r="F1261" s="16">
        <v>10436.1</v>
      </c>
      <c r="G1261" t="s">
        <v>4700</v>
      </c>
      <c r="H1261" t="s">
        <v>4700</v>
      </c>
      <c r="I1261" t="s">
        <v>4718</v>
      </c>
      <c r="J1261" s="17">
        <f t="shared" si="38"/>
        <v>25079</v>
      </c>
      <c r="K1261">
        <f t="shared" ca="1" si="39"/>
        <v>57</v>
      </c>
    </row>
    <row r="1262" spans="1:11" ht="15.75" customHeight="1">
      <c r="A1262" t="s">
        <v>2159</v>
      </c>
      <c r="B1262">
        <v>1968</v>
      </c>
      <c r="C1262" t="s">
        <v>4710</v>
      </c>
      <c r="D1262">
        <v>8</v>
      </c>
      <c r="E1262">
        <v>1</v>
      </c>
      <c r="F1262" s="16">
        <v>10450.549999999999</v>
      </c>
      <c r="G1262" t="s">
        <v>4700</v>
      </c>
      <c r="H1262" t="s">
        <v>4698</v>
      </c>
      <c r="I1262" t="s">
        <v>4718</v>
      </c>
      <c r="J1262" s="17">
        <f t="shared" si="38"/>
        <v>25150</v>
      </c>
      <c r="K1262">
        <f t="shared" ca="1" si="39"/>
        <v>57</v>
      </c>
    </row>
    <row r="1263" spans="1:11" ht="15.75" customHeight="1">
      <c r="A1263" t="s">
        <v>2157</v>
      </c>
      <c r="B1263">
        <v>1964</v>
      </c>
      <c r="C1263" t="s">
        <v>4717</v>
      </c>
      <c r="D1263">
        <v>14</v>
      </c>
      <c r="E1263">
        <v>0</v>
      </c>
      <c r="F1263" s="16">
        <v>10455.1</v>
      </c>
      <c r="G1263" t="s">
        <v>4700</v>
      </c>
      <c r="H1263" t="s">
        <v>4698</v>
      </c>
      <c r="I1263" t="s">
        <v>4713</v>
      </c>
      <c r="J1263" s="17">
        <f t="shared" si="38"/>
        <v>23664</v>
      </c>
      <c r="K1263">
        <f t="shared" ca="1" si="39"/>
        <v>61</v>
      </c>
    </row>
    <row r="1264" spans="1:11" ht="15.75" customHeight="1">
      <c r="A1264" t="s">
        <v>2155</v>
      </c>
      <c r="B1264">
        <v>1976</v>
      </c>
      <c r="C1264" t="s">
        <v>4716</v>
      </c>
      <c r="D1264">
        <v>3</v>
      </c>
      <c r="E1264">
        <v>2</v>
      </c>
      <c r="F1264" s="16">
        <v>10455.14</v>
      </c>
      <c r="G1264" t="s">
        <v>4700</v>
      </c>
      <c r="H1264" t="s">
        <v>4699</v>
      </c>
      <c r="I1264" t="s">
        <v>4727</v>
      </c>
      <c r="J1264" s="17">
        <f t="shared" si="38"/>
        <v>27975</v>
      </c>
      <c r="K1264">
        <f t="shared" ca="1" si="39"/>
        <v>49</v>
      </c>
    </row>
    <row r="1265" spans="1:11" ht="15.75" customHeight="1">
      <c r="A1265" t="s">
        <v>2153</v>
      </c>
      <c r="B1265">
        <v>1964</v>
      </c>
      <c r="C1265" t="s">
        <v>4708</v>
      </c>
      <c r="D1265">
        <v>27</v>
      </c>
      <c r="E1265">
        <v>0</v>
      </c>
      <c r="F1265" s="16">
        <v>10459.19</v>
      </c>
      <c r="G1265" t="s">
        <v>4700</v>
      </c>
      <c r="H1265" t="s">
        <v>4698</v>
      </c>
      <c r="I1265" t="s">
        <v>4709</v>
      </c>
      <c r="J1265" s="17">
        <f t="shared" si="38"/>
        <v>23585</v>
      </c>
      <c r="K1265">
        <f t="shared" ca="1" si="39"/>
        <v>61</v>
      </c>
    </row>
    <row r="1266" spans="1:11" ht="15.75" customHeight="1">
      <c r="A1266" t="s">
        <v>2151</v>
      </c>
      <c r="B1266">
        <v>1969</v>
      </c>
      <c r="C1266" t="s">
        <v>4712</v>
      </c>
      <c r="D1266">
        <v>22</v>
      </c>
      <c r="E1266">
        <v>1</v>
      </c>
      <c r="F1266" s="16">
        <v>10461.98</v>
      </c>
      <c r="G1266" t="s">
        <v>4700</v>
      </c>
      <c r="H1266" t="s">
        <v>4698</v>
      </c>
      <c r="I1266" t="s">
        <v>4713</v>
      </c>
      <c r="J1266" s="17">
        <f t="shared" si="38"/>
        <v>25468</v>
      </c>
      <c r="K1266">
        <f t="shared" ca="1" si="39"/>
        <v>56</v>
      </c>
    </row>
    <row r="1267" spans="1:11" ht="15.75" customHeight="1">
      <c r="A1267" t="s">
        <v>2149</v>
      </c>
      <c r="B1267">
        <v>1987</v>
      </c>
      <c r="C1267" t="s">
        <v>4711</v>
      </c>
      <c r="D1267">
        <v>28</v>
      </c>
      <c r="E1267">
        <v>3</v>
      </c>
      <c r="F1267" s="16">
        <v>10464.83</v>
      </c>
      <c r="G1267" t="s">
        <v>4700</v>
      </c>
      <c r="H1267" t="s">
        <v>4698</v>
      </c>
      <c r="I1267" t="s">
        <v>4713</v>
      </c>
      <c r="J1267" s="17">
        <f t="shared" si="38"/>
        <v>31956</v>
      </c>
      <c r="K1267">
        <f t="shared" ca="1" si="39"/>
        <v>38</v>
      </c>
    </row>
    <row r="1268" spans="1:11" ht="15.75" customHeight="1">
      <c r="A1268" t="s">
        <v>2147</v>
      </c>
      <c r="B1268">
        <v>1978</v>
      </c>
      <c r="C1268" t="s">
        <v>4716</v>
      </c>
      <c r="D1268">
        <v>21</v>
      </c>
      <c r="E1268">
        <v>2</v>
      </c>
      <c r="F1268" s="16">
        <v>10486.55</v>
      </c>
      <c r="G1268" t="s">
        <v>4700</v>
      </c>
      <c r="H1268" t="s">
        <v>4700</v>
      </c>
      <c r="I1268" t="s">
        <v>4723</v>
      </c>
      <c r="J1268" s="17">
        <f t="shared" si="38"/>
        <v>28723</v>
      </c>
      <c r="K1268">
        <f t="shared" ca="1" si="39"/>
        <v>47</v>
      </c>
    </row>
    <row r="1269" spans="1:11" ht="15.75" customHeight="1">
      <c r="A1269" t="s">
        <v>2145</v>
      </c>
      <c r="B1269">
        <v>1972</v>
      </c>
      <c r="C1269" t="s">
        <v>4717</v>
      </c>
      <c r="D1269">
        <v>19</v>
      </c>
      <c r="E1269">
        <v>2</v>
      </c>
      <c r="F1269" s="16">
        <v>10493.95</v>
      </c>
      <c r="G1269" t="s">
        <v>4700</v>
      </c>
      <c r="H1269" t="s">
        <v>4698</v>
      </c>
      <c r="I1269" t="s">
        <v>4713</v>
      </c>
      <c r="J1269" s="17">
        <f t="shared" si="38"/>
        <v>26591</v>
      </c>
      <c r="K1269">
        <f t="shared" ca="1" si="39"/>
        <v>53</v>
      </c>
    </row>
    <row r="1270" spans="1:11" ht="15.75" customHeight="1">
      <c r="A1270" t="s">
        <v>2143</v>
      </c>
      <c r="B1270">
        <v>1977</v>
      </c>
      <c r="C1270" t="s">
        <v>4717</v>
      </c>
      <c r="D1270">
        <v>25</v>
      </c>
      <c r="E1270">
        <v>2</v>
      </c>
      <c r="F1270" s="16">
        <v>10495.6</v>
      </c>
      <c r="G1270" t="s">
        <v>4700</v>
      </c>
      <c r="H1270" t="s">
        <v>4698</v>
      </c>
      <c r="I1270" t="s">
        <v>4713</v>
      </c>
      <c r="J1270" s="17">
        <f t="shared" si="38"/>
        <v>28423</v>
      </c>
      <c r="K1270">
        <f t="shared" ca="1" si="39"/>
        <v>48</v>
      </c>
    </row>
    <row r="1271" spans="1:11" ht="15.75" customHeight="1">
      <c r="A1271" t="s">
        <v>2141</v>
      </c>
      <c r="B1271">
        <v>1971</v>
      </c>
      <c r="C1271" t="s">
        <v>4712</v>
      </c>
      <c r="D1271">
        <v>26</v>
      </c>
      <c r="E1271">
        <v>0</v>
      </c>
      <c r="F1271" s="16">
        <v>10546.48</v>
      </c>
      <c r="G1271" t="s">
        <v>4700</v>
      </c>
      <c r="H1271" t="s">
        <v>4700</v>
      </c>
      <c r="I1271" t="s">
        <v>4718</v>
      </c>
      <c r="J1271" s="17">
        <f t="shared" si="38"/>
        <v>26202</v>
      </c>
      <c r="K1271">
        <f t="shared" ca="1" si="39"/>
        <v>54</v>
      </c>
    </row>
    <row r="1272" spans="1:11" ht="15.75" customHeight="1">
      <c r="A1272" t="s">
        <v>2139</v>
      </c>
      <c r="B1272">
        <v>1971</v>
      </c>
      <c r="C1272" t="s">
        <v>4711</v>
      </c>
      <c r="D1272">
        <v>29</v>
      </c>
      <c r="E1272">
        <v>3</v>
      </c>
      <c r="F1272" s="16">
        <v>10560.49</v>
      </c>
      <c r="G1272" t="s">
        <v>4700</v>
      </c>
      <c r="H1272" t="s">
        <v>4699</v>
      </c>
      <c r="I1272" t="s">
        <v>4709</v>
      </c>
      <c r="J1272" s="17">
        <f t="shared" si="38"/>
        <v>26113</v>
      </c>
      <c r="K1272">
        <f t="shared" ca="1" si="39"/>
        <v>54</v>
      </c>
    </row>
    <row r="1273" spans="1:11" ht="15.75" customHeight="1">
      <c r="A1273" t="s">
        <v>2137</v>
      </c>
      <c r="B1273">
        <v>1969</v>
      </c>
      <c r="C1273" t="s">
        <v>4708</v>
      </c>
      <c r="D1273">
        <v>17</v>
      </c>
      <c r="E1273">
        <v>0</v>
      </c>
      <c r="F1273" s="16">
        <v>10564.88</v>
      </c>
      <c r="G1273" t="s">
        <v>4700</v>
      </c>
      <c r="H1273" t="s">
        <v>4698</v>
      </c>
      <c r="I1273" t="s">
        <v>4724</v>
      </c>
      <c r="J1273" s="17">
        <f t="shared" si="38"/>
        <v>25401</v>
      </c>
      <c r="K1273">
        <f t="shared" ca="1" si="39"/>
        <v>56</v>
      </c>
    </row>
    <row r="1274" spans="1:11" ht="15.75" customHeight="1">
      <c r="A1274" t="s">
        <v>2135</v>
      </c>
      <c r="B1274">
        <v>1966</v>
      </c>
      <c r="C1274" t="s">
        <v>4714</v>
      </c>
      <c r="D1274">
        <v>11</v>
      </c>
      <c r="E1274">
        <v>0</v>
      </c>
      <c r="F1274" s="16">
        <v>10577.09</v>
      </c>
      <c r="G1274" t="s">
        <v>4700</v>
      </c>
      <c r="H1274" t="s">
        <v>4700</v>
      </c>
      <c r="I1274" t="s">
        <v>4718</v>
      </c>
      <c r="J1274" s="17">
        <f t="shared" si="38"/>
        <v>24452</v>
      </c>
      <c r="K1274">
        <f t="shared" ca="1" si="39"/>
        <v>58</v>
      </c>
    </row>
    <row r="1275" spans="1:11" ht="15.75" customHeight="1">
      <c r="A1275" t="s">
        <v>2133</v>
      </c>
      <c r="B1275">
        <v>1969</v>
      </c>
      <c r="C1275" t="s">
        <v>4714</v>
      </c>
      <c r="D1275">
        <v>25</v>
      </c>
      <c r="E1275">
        <v>1</v>
      </c>
      <c r="F1275" s="16">
        <v>10579.71</v>
      </c>
      <c r="G1275" t="s">
        <v>4700</v>
      </c>
      <c r="H1275" t="s">
        <v>4700</v>
      </c>
      <c r="I1275" t="s">
        <v>4709</v>
      </c>
      <c r="J1275" s="17">
        <f t="shared" si="38"/>
        <v>25562</v>
      </c>
      <c r="K1275">
        <f t="shared" ca="1" si="39"/>
        <v>55</v>
      </c>
    </row>
    <row r="1276" spans="1:11" ht="15.75" customHeight="1">
      <c r="A1276" t="s">
        <v>2131</v>
      </c>
      <c r="B1276">
        <v>1966</v>
      </c>
      <c r="C1276" t="s">
        <v>4710</v>
      </c>
      <c r="D1276">
        <v>3</v>
      </c>
      <c r="E1276">
        <v>0</v>
      </c>
      <c r="F1276" s="16">
        <v>10594.23</v>
      </c>
      <c r="G1276" t="s">
        <v>4700</v>
      </c>
      <c r="H1276" t="s">
        <v>4700</v>
      </c>
      <c r="I1276" t="s">
        <v>4709</v>
      </c>
      <c r="J1276" s="17">
        <f t="shared" si="38"/>
        <v>24414</v>
      </c>
      <c r="K1276">
        <f t="shared" ca="1" si="39"/>
        <v>59</v>
      </c>
    </row>
    <row r="1277" spans="1:11" ht="15.75" customHeight="1">
      <c r="A1277" t="s">
        <v>2129</v>
      </c>
      <c r="B1277">
        <v>1967</v>
      </c>
      <c r="C1277" t="s">
        <v>4710</v>
      </c>
      <c r="D1277">
        <v>29</v>
      </c>
      <c r="E1277">
        <v>0</v>
      </c>
      <c r="F1277" s="16">
        <v>10594.5</v>
      </c>
      <c r="G1277" t="s">
        <v>4700</v>
      </c>
      <c r="H1277" t="s">
        <v>4698</v>
      </c>
      <c r="I1277" t="s">
        <v>4713</v>
      </c>
      <c r="J1277" s="17">
        <f t="shared" si="38"/>
        <v>24805</v>
      </c>
      <c r="K1277">
        <f t="shared" ca="1" si="39"/>
        <v>57</v>
      </c>
    </row>
    <row r="1278" spans="1:11" ht="15.75" customHeight="1">
      <c r="A1278" t="s">
        <v>2127</v>
      </c>
      <c r="B1278">
        <v>1972</v>
      </c>
      <c r="C1278" t="s">
        <v>4714</v>
      </c>
      <c r="D1278">
        <v>14</v>
      </c>
      <c r="E1278">
        <v>3</v>
      </c>
      <c r="F1278" s="16">
        <v>10600.55</v>
      </c>
      <c r="G1278" t="s">
        <v>4700</v>
      </c>
      <c r="H1278" t="s">
        <v>4698</v>
      </c>
      <c r="I1278" t="s">
        <v>4713</v>
      </c>
      <c r="J1278" s="17">
        <f t="shared" si="38"/>
        <v>26647</v>
      </c>
      <c r="K1278">
        <f t="shared" ca="1" si="39"/>
        <v>52</v>
      </c>
    </row>
    <row r="1279" spans="1:11" ht="15.75" customHeight="1">
      <c r="A1279" t="s">
        <v>2125</v>
      </c>
      <c r="B1279">
        <v>1966</v>
      </c>
      <c r="C1279" t="s">
        <v>4708</v>
      </c>
      <c r="D1279">
        <v>20</v>
      </c>
      <c r="E1279">
        <v>0</v>
      </c>
      <c r="F1279" s="16">
        <v>10601.41</v>
      </c>
      <c r="G1279" t="s">
        <v>4700</v>
      </c>
      <c r="H1279" t="s">
        <v>4699</v>
      </c>
      <c r="I1279" t="s">
        <v>4718</v>
      </c>
      <c r="J1279" s="17">
        <f t="shared" si="38"/>
        <v>24308</v>
      </c>
      <c r="K1279">
        <f t="shared" ca="1" si="39"/>
        <v>59</v>
      </c>
    </row>
    <row r="1280" spans="1:11" ht="15.75" customHeight="1">
      <c r="A1280" t="s">
        <v>2123</v>
      </c>
      <c r="B1280">
        <v>1967</v>
      </c>
      <c r="C1280" t="s">
        <v>4711</v>
      </c>
      <c r="D1280">
        <v>23</v>
      </c>
      <c r="E1280">
        <v>0</v>
      </c>
      <c r="F1280" s="16">
        <v>10601.63</v>
      </c>
      <c r="G1280" t="s">
        <v>4700</v>
      </c>
      <c r="H1280" t="s">
        <v>4699</v>
      </c>
      <c r="I1280" t="s">
        <v>4713</v>
      </c>
      <c r="J1280" s="17">
        <f t="shared" si="38"/>
        <v>24646</v>
      </c>
      <c r="K1280">
        <f t="shared" ca="1" si="39"/>
        <v>58</v>
      </c>
    </row>
    <row r="1281" spans="1:11" ht="15.75" customHeight="1">
      <c r="A1281" t="s">
        <v>2121</v>
      </c>
      <c r="B1281">
        <v>1966</v>
      </c>
      <c r="C1281" t="s">
        <v>4708</v>
      </c>
      <c r="D1281">
        <v>2</v>
      </c>
      <c r="E1281">
        <v>0</v>
      </c>
      <c r="F1281" s="16">
        <v>10602.39</v>
      </c>
      <c r="G1281" t="s">
        <v>4700</v>
      </c>
      <c r="H1281" t="s">
        <v>4700</v>
      </c>
      <c r="I1281" t="s">
        <v>4718</v>
      </c>
      <c r="J1281" s="17">
        <f t="shared" si="38"/>
        <v>24290</v>
      </c>
      <c r="K1281">
        <f t="shared" ca="1" si="39"/>
        <v>59</v>
      </c>
    </row>
    <row r="1282" spans="1:11" ht="15.75" customHeight="1">
      <c r="A1282" t="s">
        <v>2119</v>
      </c>
      <c r="B1282">
        <v>1965</v>
      </c>
      <c r="C1282" t="s">
        <v>4711</v>
      </c>
      <c r="D1282">
        <v>27</v>
      </c>
      <c r="E1282">
        <v>0</v>
      </c>
      <c r="F1282" s="16">
        <v>10608.67</v>
      </c>
      <c r="G1282" t="s">
        <v>4700</v>
      </c>
      <c r="H1282" t="s">
        <v>4700</v>
      </c>
      <c r="I1282" t="s">
        <v>4713</v>
      </c>
      <c r="J1282" s="17">
        <f t="shared" si="38"/>
        <v>23920</v>
      </c>
      <c r="K1282">
        <f t="shared" ca="1" si="39"/>
        <v>60</v>
      </c>
    </row>
    <row r="1283" spans="1:11" ht="15.75" customHeight="1">
      <c r="A1283" t="s">
        <v>2117</v>
      </c>
      <c r="B1283">
        <v>1992</v>
      </c>
      <c r="C1283" t="s">
        <v>4708</v>
      </c>
      <c r="D1283">
        <v>23</v>
      </c>
      <c r="E1283">
        <v>0</v>
      </c>
      <c r="F1283" s="16">
        <v>10617.04</v>
      </c>
      <c r="G1283" t="s">
        <v>4700</v>
      </c>
      <c r="H1283" t="s">
        <v>4700</v>
      </c>
      <c r="I1283" t="s">
        <v>4730</v>
      </c>
      <c r="J1283" s="17">
        <f t="shared" ref="J1283:J1346" si="40">DATEVALUE(D1283&amp;"-"&amp;C1283&amp;" -"&amp;B1283)</f>
        <v>33808</v>
      </c>
      <c r="K1283">
        <f t="shared" ref="K1283:K1346" ca="1" si="41">DATEDIF(J1283,TODAY(),"Y")</f>
        <v>33</v>
      </c>
    </row>
    <row r="1284" spans="1:11" ht="15.75" customHeight="1">
      <c r="A1284" t="s">
        <v>2115</v>
      </c>
      <c r="B1284">
        <v>1990</v>
      </c>
      <c r="C1284" t="s">
        <v>4708</v>
      </c>
      <c r="D1284">
        <v>6</v>
      </c>
      <c r="E1284">
        <v>3</v>
      </c>
      <c r="F1284" s="16">
        <v>10620.26</v>
      </c>
      <c r="G1284" t="s">
        <v>4700</v>
      </c>
      <c r="H1284" t="s">
        <v>4700</v>
      </c>
      <c r="I1284" t="s">
        <v>4713</v>
      </c>
      <c r="J1284" s="17">
        <f t="shared" si="40"/>
        <v>33060</v>
      </c>
      <c r="K1284">
        <f t="shared" ca="1" si="41"/>
        <v>35</v>
      </c>
    </row>
    <row r="1285" spans="1:11" ht="15.75" customHeight="1">
      <c r="A1285" t="s">
        <v>2113</v>
      </c>
      <c r="B1285">
        <v>1964</v>
      </c>
      <c r="C1285" t="s">
        <v>4716</v>
      </c>
      <c r="D1285">
        <v>8</v>
      </c>
      <c r="E1285">
        <v>0</v>
      </c>
      <c r="F1285" s="16">
        <v>10627.81</v>
      </c>
      <c r="G1285" t="s">
        <v>4700</v>
      </c>
      <c r="H1285" t="s">
        <v>4700</v>
      </c>
      <c r="I1285" t="s">
        <v>4709</v>
      </c>
      <c r="J1285" s="17">
        <f t="shared" si="40"/>
        <v>23597</v>
      </c>
      <c r="K1285">
        <f t="shared" ca="1" si="41"/>
        <v>61</v>
      </c>
    </row>
    <row r="1286" spans="1:11" ht="15.75" customHeight="1">
      <c r="A1286" t="s">
        <v>2111</v>
      </c>
      <c r="B1286">
        <v>1976</v>
      </c>
      <c r="C1286" t="s">
        <v>4710</v>
      </c>
      <c r="D1286">
        <v>22</v>
      </c>
      <c r="E1286">
        <v>2</v>
      </c>
      <c r="F1286" s="16">
        <v>10665.44</v>
      </c>
      <c r="G1286" t="s">
        <v>4700</v>
      </c>
      <c r="H1286" t="s">
        <v>4699</v>
      </c>
      <c r="I1286" t="s">
        <v>4727</v>
      </c>
      <c r="J1286" s="17">
        <f t="shared" si="40"/>
        <v>28086</v>
      </c>
      <c r="K1286">
        <f t="shared" ca="1" si="41"/>
        <v>49</v>
      </c>
    </row>
    <row r="1287" spans="1:11" ht="15.75" customHeight="1">
      <c r="A1287" t="s">
        <v>2109</v>
      </c>
      <c r="B1287">
        <v>1962</v>
      </c>
      <c r="C1287" t="s">
        <v>4712</v>
      </c>
      <c r="D1287">
        <v>7</v>
      </c>
      <c r="E1287">
        <v>0</v>
      </c>
      <c r="F1287" s="16">
        <v>10676.83</v>
      </c>
      <c r="G1287" t="s">
        <v>4700</v>
      </c>
      <c r="H1287" t="s">
        <v>4700</v>
      </c>
      <c r="I1287" t="s">
        <v>4709</v>
      </c>
      <c r="J1287" s="17">
        <f t="shared" si="40"/>
        <v>22896</v>
      </c>
      <c r="K1287">
        <f t="shared" ca="1" si="41"/>
        <v>63</v>
      </c>
    </row>
    <row r="1288" spans="1:11" ht="15.75" customHeight="1">
      <c r="A1288" t="s">
        <v>2107</v>
      </c>
      <c r="B1288">
        <v>1977</v>
      </c>
      <c r="C1288" t="s">
        <v>4716</v>
      </c>
      <c r="D1288">
        <v>2</v>
      </c>
      <c r="E1288">
        <v>2</v>
      </c>
      <c r="F1288" s="16">
        <v>10690.11</v>
      </c>
      <c r="G1288" t="s">
        <v>4700</v>
      </c>
      <c r="H1288" t="s">
        <v>4699</v>
      </c>
      <c r="I1288" t="s">
        <v>4727</v>
      </c>
      <c r="J1288" s="17">
        <f t="shared" si="40"/>
        <v>28339</v>
      </c>
      <c r="K1288">
        <f t="shared" ca="1" si="41"/>
        <v>48</v>
      </c>
    </row>
    <row r="1289" spans="1:11" ht="15.75" customHeight="1">
      <c r="A1289" t="s">
        <v>2105</v>
      </c>
      <c r="B1289">
        <v>1976</v>
      </c>
      <c r="C1289" t="s">
        <v>4712</v>
      </c>
      <c r="D1289">
        <v>30</v>
      </c>
      <c r="E1289">
        <v>2</v>
      </c>
      <c r="F1289" s="16">
        <v>10698.38</v>
      </c>
      <c r="G1289" t="s">
        <v>4700</v>
      </c>
      <c r="H1289" t="s">
        <v>4698</v>
      </c>
      <c r="I1289" t="s">
        <v>4723</v>
      </c>
      <c r="J1289" s="17">
        <f t="shared" si="40"/>
        <v>28033</v>
      </c>
      <c r="K1289">
        <f t="shared" ca="1" si="41"/>
        <v>49</v>
      </c>
    </row>
    <row r="1290" spans="1:11" ht="15.75" customHeight="1">
      <c r="A1290" t="s">
        <v>2103</v>
      </c>
      <c r="B1290">
        <v>1972</v>
      </c>
      <c r="C1290" t="s">
        <v>4717</v>
      </c>
      <c r="D1290">
        <v>24</v>
      </c>
      <c r="E1290">
        <v>3</v>
      </c>
      <c r="F1290" s="16">
        <v>10702.64</v>
      </c>
      <c r="G1290" t="s">
        <v>4700</v>
      </c>
      <c r="H1290" t="s">
        <v>4700</v>
      </c>
      <c r="I1290" t="s">
        <v>4709</v>
      </c>
      <c r="J1290" s="17">
        <f t="shared" si="40"/>
        <v>26596</v>
      </c>
      <c r="K1290">
        <f t="shared" ca="1" si="41"/>
        <v>53</v>
      </c>
    </row>
    <row r="1291" spans="1:11" ht="15.75" customHeight="1">
      <c r="A1291" t="s">
        <v>2101</v>
      </c>
      <c r="B1291">
        <v>1967</v>
      </c>
      <c r="C1291" t="s">
        <v>4708</v>
      </c>
      <c r="D1291">
        <v>30</v>
      </c>
      <c r="E1291">
        <v>0</v>
      </c>
      <c r="F1291" s="16">
        <v>10704.47</v>
      </c>
      <c r="G1291" t="s">
        <v>4700</v>
      </c>
      <c r="H1291" t="s">
        <v>4699</v>
      </c>
      <c r="I1291" t="s">
        <v>4718</v>
      </c>
      <c r="J1291" s="17">
        <f t="shared" si="40"/>
        <v>24683</v>
      </c>
      <c r="K1291">
        <f t="shared" ca="1" si="41"/>
        <v>58</v>
      </c>
    </row>
    <row r="1292" spans="1:11" ht="15.75" customHeight="1">
      <c r="A1292" t="s">
        <v>2099</v>
      </c>
      <c r="B1292">
        <v>1967</v>
      </c>
      <c r="C1292" t="s">
        <v>4717</v>
      </c>
      <c r="D1292">
        <v>5</v>
      </c>
      <c r="E1292">
        <v>0</v>
      </c>
      <c r="F1292" s="16">
        <v>10713.64</v>
      </c>
      <c r="G1292" t="s">
        <v>4700</v>
      </c>
      <c r="H1292" t="s">
        <v>4700</v>
      </c>
      <c r="I1292" t="s">
        <v>4718</v>
      </c>
      <c r="J1292" s="17">
        <f t="shared" si="40"/>
        <v>24750</v>
      </c>
      <c r="K1292">
        <f t="shared" ca="1" si="41"/>
        <v>58</v>
      </c>
    </row>
    <row r="1293" spans="1:11" ht="15.75" customHeight="1">
      <c r="A1293" t="s">
        <v>2097</v>
      </c>
      <c r="B1293">
        <v>1992</v>
      </c>
      <c r="C1293" t="s">
        <v>4711</v>
      </c>
      <c r="D1293">
        <v>25</v>
      </c>
      <c r="E1293">
        <v>0</v>
      </c>
      <c r="F1293" s="16">
        <v>10719.57</v>
      </c>
      <c r="G1293" t="s">
        <v>4700</v>
      </c>
      <c r="H1293" t="s">
        <v>4698</v>
      </c>
      <c r="I1293" t="s">
        <v>4713</v>
      </c>
      <c r="J1293" s="17">
        <f t="shared" si="40"/>
        <v>33780</v>
      </c>
      <c r="K1293">
        <f t="shared" ca="1" si="41"/>
        <v>33</v>
      </c>
    </row>
    <row r="1294" spans="1:11" ht="15.75" customHeight="1">
      <c r="A1294" t="s">
        <v>2095</v>
      </c>
      <c r="B1294">
        <v>1974</v>
      </c>
      <c r="C1294" t="s">
        <v>4714</v>
      </c>
      <c r="D1294">
        <v>9</v>
      </c>
      <c r="E1294">
        <v>4</v>
      </c>
      <c r="F1294" s="16">
        <v>10736.87</v>
      </c>
      <c r="G1294" t="s">
        <v>4700</v>
      </c>
      <c r="H1294" t="s">
        <v>4698</v>
      </c>
      <c r="I1294" t="s">
        <v>4721</v>
      </c>
      <c r="J1294" s="17">
        <f t="shared" si="40"/>
        <v>27372</v>
      </c>
      <c r="K1294">
        <f t="shared" ca="1" si="41"/>
        <v>50</v>
      </c>
    </row>
    <row r="1295" spans="1:11" ht="15.75" customHeight="1">
      <c r="A1295" t="s">
        <v>2093</v>
      </c>
      <c r="B1295">
        <v>1986</v>
      </c>
      <c r="C1295" t="s">
        <v>4716</v>
      </c>
      <c r="D1295">
        <v>29</v>
      </c>
      <c r="E1295">
        <v>3</v>
      </c>
      <c r="F1295" s="16">
        <v>10749.02</v>
      </c>
      <c r="G1295" t="s">
        <v>4700</v>
      </c>
      <c r="H1295" t="s">
        <v>4698</v>
      </c>
      <c r="I1295" t="s">
        <v>4730</v>
      </c>
      <c r="J1295" s="17">
        <f t="shared" si="40"/>
        <v>31653</v>
      </c>
      <c r="K1295">
        <f t="shared" ca="1" si="41"/>
        <v>39</v>
      </c>
    </row>
    <row r="1296" spans="1:11" ht="15.75" customHeight="1">
      <c r="A1296" t="s">
        <v>2091</v>
      </c>
      <c r="B1296">
        <v>1989</v>
      </c>
      <c r="C1296" t="s">
        <v>4710</v>
      </c>
      <c r="D1296">
        <v>25</v>
      </c>
      <c r="E1296">
        <v>3</v>
      </c>
      <c r="F1296" s="16">
        <v>10769.75</v>
      </c>
      <c r="G1296" t="s">
        <v>4700</v>
      </c>
      <c r="H1296" t="s">
        <v>4699</v>
      </c>
      <c r="I1296" t="s">
        <v>4731</v>
      </c>
      <c r="J1296" s="17">
        <f t="shared" si="40"/>
        <v>32837</v>
      </c>
      <c r="K1296">
        <f t="shared" ca="1" si="41"/>
        <v>36</v>
      </c>
    </row>
    <row r="1297" spans="1:11" ht="15.75" customHeight="1">
      <c r="A1297" t="s">
        <v>2089</v>
      </c>
      <c r="B1297">
        <v>1967</v>
      </c>
      <c r="C1297" t="s">
        <v>4710</v>
      </c>
      <c r="D1297">
        <v>11</v>
      </c>
      <c r="E1297">
        <v>1</v>
      </c>
      <c r="F1297" s="16">
        <v>10791.96</v>
      </c>
      <c r="G1297" t="s">
        <v>4700</v>
      </c>
      <c r="H1297" t="s">
        <v>4699</v>
      </c>
      <c r="I1297" t="s">
        <v>4718</v>
      </c>
      <c r="J1297" s="17">
        <f t="shared" si="40"/>
        <v>24787</v>
      </c>
      <c r="K1297">
        <f t="shared" ca="1" si="41"/>
        <v>58</v>
      </c>
    </row>
    <row r="1298" spans="1:11" ht="15.75" customHeight="1">
      <c r="A1298" t="s">
        <v>2087</v>
      </c>
      <c r="B1298">
        <v>1999</v>
      </c>
      <c r="C1298" t="s">
        <v>4714</v>
      </c>
      <c r="D1298">
        <v>24</v>
      </c>
      <c r="E1298">
        <v>0</v>
      </c>
      <c r="F1298" s="16">
        <v>10795.94</v>
      </c>
      <c r="G1298" t="s">
        <v>4700</v>
      </c>
      <c r="H1298" t="s">
        <v>4698</v>
      </c>
      <c r="I1298" t="s">
        <v>4718</v>
      </c>
      <c r="J1298" s="17">
        <f t="shared" si="40"/>
        <v>36518</v>
      </c>
      <c r="K1298">
        <f t="shared" ca="1" si="41"/>
        <v>25</v>
      </c>
    </row>
    <row r="1299" spans="1:11" ht="15.75" customHeight="1">
      <c r="A1299" t="s">
        <v>2085</v>
      </c>
      <c r="B1299">
        <v>1967</v>
      </c>
      <c r="C1299" t="s">
        <v>4717</v>
      </c>
      <c r="D1299">
        <v>23</v>
      </c>
      <c r="E1299">
        <v>0</v>
      </c>
      <c r="F1299" s="16">
        <v>10796.35</v>
      </c>
      <c r="G1299" t="s">
        <v>4700</v>
      </c>
      <c r="H1299" t="s">
        <v>4698</v>
      </c>
      <c r="I1299" t="s">
        <v>4720</v>
      </c>
      <c r="J1299" s="17">
        <f t="shared" si="40"/>
        <v>24768</v>
      </c>
      <c r="K1299">
        <f t="shared" ca="1" si="41"/>
        <v>58</v>
      </c>
    </row>
    <row r="1300" spans="1:11" ht="15.75" customHeight="1">
      <c r="A1300" t="s">
        <v>2083</v>
      </c>
      <c r="B1300">
        <v>1970</v>
      </c>
      <c r="C1300" t="s">
        <v>4717</v>
      </c>
      <c r="D1300">
        <v>28</v>
      </c>
      <c r="E1300">
        <v>1</v>
      </c>
      <c r="F1300" s="16">
        <v>10797.34</v>
      </c>
      <c r="G1300" t="s">
        <v>4700</v>
      </c>
      <c r="H1300" t="s">
        <v>4699</v>
      </c>
      <c r="I1300" t="s">
        <v>4725</v>
      </c>
      <c r="J1300" s="17">
        <f t="shared" si="40"/>
        <v>25869</v>
      </c>
      <c r="K1300">
        <f t="shared" ca="1" si="41"/>
        <v>55</v>
      </c>
    </row>
    <row r="1301" spans="1:11" ht="15.75" customHeight="1">
      <c r="A1301" t="s">
        <v>2081</v>
      </c>
      <c r="B1301">
        <v>1970</v>
      </c>
      <c r="C1301" t="s">
        <v>4714</v>
      </c>
      <c r="D1301">
        <v>18</v>
      </c>
      <c r="E1301">
        <v>2</v>
      </c>
      <c r="F1301" s="16">
        <v>10806.84</v>
      </c>
      <c r="G1301" t="s">
        <v>4700</v>
      </c>
      <c r="H1301" t="s">
        <v>4699</v>
      </c>
      <c r="I1301" t="s">
        <v>4718</v>
      </c>
      <c r="J1301" s="17">
        <f t="shared" si="40"/>
        <v>25920</v>
      </c>
      <c r="K1301">
        <f t="shared" ca="1" si="41"/>
        <v>54</v>
      </c>
    </row>
    <row r="1302" spans="1:11" ht="15.75" customHeight="1">
      <c r="A1302" t="s">
        <v>2079</v>
      </c>
      <c r="B1302">
        <v>1967</v>
      </c>
      <c r="C1302" t="s">
        <v>4717</v>
      </c>
      <c r="D1302">
        <v>2</v>
      </c>
      <c r="E1302">
        <v>1</v>
      </c>
      <c r="F1302" s="16">
        <v>10807.49</v>
      </c>
      <c r="G1302" t="s">
        <v>4700</v>
      </c>
      <c r="H1302" t="s">
        <v>4699</v>
      </c>
      <c r="I1302" t="s">
        <v>4709</v>
      </c>
      <c r="J1302" s="17">
        <f t="shared" si="40"/>
        <v>24747</v>
      </c>
      <c r="K1302">
        <f t="shared" ca="1" si="41"/>
        <v>58</v>
      </c>
    </row>
    <row r="1303" spans="1:11" ht="15.75" customHeight="1">
      <c r="A1303" t="s">
        <v>2077</v>
      </c>
      <c r="B1303">
        <v>1968</v>
      </c>
      <c r="C1303" t="s">
        <v>4708</v>
      </c>
      <c r="D1303">
        <v>28</v>
      </c>
      <c r="E1303">
        <v>1</v>
      </c>
      <c r="F1303" s="16">
        <v>10825.25</v>
      </c>
      <c r="G1303" t="s">
        <v>4700</v>
      </c>
      <c r="H1303" t="s">
        <v>4700</v>
      </c>
      <c r="I1303" t="s">
        <v>4713</v>
      </c>
      <c r="J1303" s="17">
        <f t="shared" si="40"/>
        <v>25047</v>
      </c>
      <c r="K1303">
        <f t="shared" ca="1" si="41"/>
        <v>57</v>
      </c>
    </row>
    <row r="1304" spans="1:11" ht="15.75" customHeight="1">
      <c r="A1304" t="s">
        <v>2075</v>
      </c>
      <c r="B1304">
        <v>1971</v>
      </c>
      <c r="C1304" t="s">
        <v>4714</v>
      </c>
      <c r="D1304">
        <v>20</v>
      </c>
      <c r="E1304">
        <v>2</v>
      </c>
      <c r="F1304" s="16">
        <v>10848.13</v>
      </c>
      <c r="G1304" t="s">
        <v>4700</v>
      </c>
      <c r="H1304" t="s">
        <v>4700</v>
      </c>
      <c r="I1304" t="s">
        <v>4713</v>
      </c>
      <c r="J1304" s="17">
        <f t="shared" si="40"/>
        <v>26287</v>
      </c>
      <c r="K1304">
        <f t="shared" ca="1" si="41"/>
        <v>53</v>
      </c>
    </row>
    <row r="1305" spans="1:11" ht="15.75" customHeight="1">
      <c r="A1305" t="s">
        <v>2073</v>
      </c>
      <c r="B1305">
        <v>1994</v>
      </c>
      <c r="C1305" t="s">
        <v>4712</v>
      </c>
      <c r="D1305">
        <v>6</v>
      </c>
      <c r="E1305">
        <v>0</v>
      </c>
      <c r="F1305" s="16">
        <v>10886.66</v>
      </c>
      <c r="G1305" t="s">
        <v>4700</v>
      </c>
      <c r="H1305" t="s">
        <v>4700</v>
      </c>
      <c r="I1305" t="s">
        <v>4713</v>
      </c>
      <c r="J1305" s="17">
        <f t="shared" si="40"/>
        <v>34583</v>
      </c>
      <c r="K1305">
        <f t="shared" ca="1" si="41"/>
        <v>31</v>
      </c>
    </row>
    <row r="1306" spans="1:11" ht="15.75" customHeight="1">
      <c r="A1306" t="s">
        <v>2071</v>
      </c>
      <c r="B1306">
        <v>1968</v>
      </c>
      <c r="C1306" t="s">
        <v>4710</v>
      </c>
      <c r="D1306">
        <v>13</v>
      </c>
      <c r="E1306">
        <v>0</v>
      </c>
      <c r="F1306" s="16">
        <v>10923.93</v>
      </c>
      <c r="G1306" t="s">
        <v>4700</v>
      </c>
      <c r="H1306" t="s">
        <v>4698</v>
      </c>
      <c r="I1306" t="s">
        <v>4724</v>
      </c>
      <c r="J1306" s="17">
        <f t="shared" si="40"/>
        <v>25155</v>
      </c>
      <c r="K1306">
        <f t="shared" ca="1" si="41"/>
        <v>57</v>
      </c>
    </row>
    <row r="1307" spans="1:11" ht="15.75" customHeight="1">
      <c r="A1307" t="s">
        <v>2069</v>
      </c>
      <c r="B1307">
        <v>1968</v>
      </c>
      <c r="C1307" t="s">
        <v>4710</v>
      </c>
      <c r="D1307">
        <v>12</v>
      </c>
      <c r="E1307">
        <v>1</v>
      </c>
      <c r="F1307" s="16">
        <v>10928.85</v>
      </c>
      <c r="G1307" t="s">
        <v>4700</v>
      </c>
      <c r="H1307" t="s">
        <v>4700</v>
      </c>
      <c r="I1307" t="s">
        <v>4709</v>
      </c>
      <c r="J1307" s="17">
        <f t="shared" si="40"/>
        <v>25154</v>
      </c>
      <c r="K1307">
        <f t="shared" ca="1" si="41"/>
        <v>57</v>
      </c>
    </row>
    <row r="1308" spans="1:11" ht="15.75" customHeight="1">
      <c r="A1308" t="s">
        <v>2067</v>
      </c>
      <c r="B1308">
        <v>1969</v>
      </c>
      <c r="C1308" t="s">
        <v>4710</v>
      </c>
      <c r="D1308">
        <v>10</v>
      </c>
      <c r="E1308">
        <v>1</v>
      </c>
      <c r="F1308" s="16">
        <v>10942.13</v>
      </c>
      <c r="G1308" t="s">
        <v>4700</v>
      </c>
      <c r="H1308" t="s">
        <v>4700</v>
      </c>
      <c r="I1308" t="s">
        <v>4713</v>
      </c>
      <c r="J1308" s="17">
        <f t="shared" si="40"/>
        <v>25517</v>
      </c>
      <c r="K1308">
        <f t="shared" ca="1" si="41"/>
        <v>56</v>
      </c>
    </row>
    <row r="1309" spans="1:11" ht="15.75" customHeight="1">
      <c r="A1309" t="s">
        <v>2065</v>
      </c>
      <c r="B1309">
        <v>1965</v>
      </c>
      <c r="C1309" t="s">
        <v>4714</v>
      </c>
      <c r="D1309">
        <v>4</v>
      </c>
      <c r="E1309">
        <v>0</v>
      </c>
      <c r="F1309" s="16">
        <v>10959.33</v>
      </c>
      <c r="G1309" t="s">
        <v>4700</v>
      </c>
      <c r="H1309" t="s">
        <v>4700</v>
      </c>
      <c r="I1309" t="s">
        <v>4718</v>
      </c>
      <c r="J1309" s="17">
        <f t="shared" si="40"/>
        <v>24080</v>
      </c>
      <c r="K1309">
        <f t="shared" ca="1" si="41"/>
        <v>59</v>
      </c>
    </row>
    <row r="1310" spans="1:11" ht="15.75" customHeight="1">
      <c r="A1310" t="s">
        <v>2063</v>
      </c>
      <c r="B1310">
        <v>1969</v>
      </c>
      <c r="C1310" t="s">
        <v>4716</v>
      </c>
      <c r="D1310">
        <v>14</v>
      </c>
      <c r="E1310">
        <v>1</v>
      </c>
      <c r="F1310" s="16">
        <v>10959.69</v>
      </c>
      <c r="G1310" t="s">
        <v>4700</v>
      </c>
      <c r="H1310" t="s">
        <v>4700</v>
      </c>
      <c r="I1310" t="s">
        <v>4713</v>
      </c>
      <c r="J1310" s="17">
        <f t="shared" si="40"/>
        <v>25429</v>
      </c>
      <c r="K1310">
        <f t="shared" ca="1" si="41"/>
        <v>56</v>
      </c>
    </row>
    <row r="1311" spans="1:11" ht="15.75" customHeight="1">
      <c r="A1311" t="s">
        <v>2061</v>
      </c>
      <c r="B1311">
        <v>1965</v>
      </c>
      <c r="C1311" t="s">
        <v>4711</v>
      </c>
      <c r="D1311">
        <v>19</v>
      </c>
      <c r="E1311">
        <v>0</v>
      </c>
      <c r="F1311" s="16">
        <v>10965.45</v>
      </c>
      <c r="G1311" t="s">
        <v>4700</v>
      </c>
      <c r="H1311" t="s">
        <v>4699</v>
      </c>
      <c r="I1311" t="s">
        <v>4718</v>
      </c>
      <c r="J1311" s="17">
        <f t="shared" si="40"/>
        <v>23912</v>
      </c>
      <c r="K1311">
        <f t="shared" ca="1" si="41"/>
        <v>60</v>
      </c>
    </row>
    <row r="1312" spans="1:11" ht="15.75" customHeight="1">
      <c r="A1312" t="s">
        <v>2059</v>
      </c>
      <c r="B1312">
        <v>1966</v>
      </c>
      <c r="C1312" t="s">
        <v>4708</v>
      </c>
      <c r="D1312">
        <v>9</v>
      </c>
      <c r="E1312">
        <v>0</v>
      </c>
      <c r="F1312" s="16">
        <v>10976.25</v>
      </c>
      <c r="G1312" t="s">
        <v>4700</v>
      </c>
      <c r="H1312" t="s">
        <v>4699</v>
      </c>
      <c r="I1312" t="s">
        <v>4713</v>
      </c>
      <c r="J1312" s="17">
        <f t="shared" si="40"/>
        <v>24297</v>
      </c>
      <c r="K1312">
        <f t="shared" ca="1" si="41"/>
        <v>59</v>
      </c>
    </row>
    <row r="1313" spans="1:11" ht="15.75" customHeight="1">
      <c r="A1313" t="s">
        <v>2057</v>
      </c>
      <c r="B1313">
        <v>1973</v>
      </c>
      <c r="C1313" t="s">
        <v>4717</v>
      </c>
      <c r="D1313">
        <v>21</v>
      </c>
      <c r="E1313">
        <v>4</v>
      </c>
      <c r="F1313" s="16">
        <v>10977.21</v>
      </c>
      <c r="G1313" t="s">
        <v>4700</v>
      </c>
      <c r="H1313" t="s">
        <v>4698</v>
      </c>
      <c r="I1313" t="s">
        <v>4709</v>
      </c>
      <c r="J1313" s="17">
        <f t="shared" si="40"/>
        <v>26958</v>
      </c>
      <c r="K1313">
        <f t="shared" ca="1" si="41"/>
        <v>52</v>
      </c>
    </row>
    <row r="1314" spans="1:11" ht="15.75" customHeight="1">
      <c r="A1314" t="s">
        <v>2055</v>
      </c>
      <c r="B1314">
        <v>1965</v>
      </c>
      <c r="C1314" t="s">
        <v>4714</v>
      </c>
      <c r="D1314">
        <v>18</v>
      </c>
      <c r="E1314">
        <v>0</v>
      </c>
      <c r="F1314" s="16">
        <v>10982.5</v>
      </c>
      <c r="G1314" t="s">
        <v>4700</v>
      </c>
      <c r="H1314" t="s">
        <v>4700</v>
      </c>
      <c r="I1314" t="s">
        <v>4709</v>
      </c>
      <c r="J1314" s="17">
        <f t="shared" si="40"/>
        <v>24094</v>
      </c>
      <c r="K1314">
        <f t="shared" ca="1" si="41"/>
        <v>59</v>
      </c>
    </row>
    <row r="1315" spans="1:11" ht="15.75" customHeight="1">
      <c r="A1315" t="s">
        <v>2053</v>
      </c>
      <c r="B1315">
        <v>2000</v>
      </c>
      <c r="C1315" t="s">
        <v>4712</v>
      </c>
      <c r="D1315">
        <v>17</v>
      </c>
      <c r="E1315">
        <v>0</v>
      </c>
      <c r="F1315" s="16">
        <v>10991.58</v>
      </c>
      <c r="G1315" t="s">
        <v>4700</v>
      </c>
      <c r="H1315" t="s">
        <v>4700</v>
      </c>
      <c r="I1315" t="s">
        <v>4713</v>
      </c>
      <c r="J1315" s="17">
        <f t="shared" si="40"/>
        <v>36786</v>
      </c>
      <c r="K1315">
        <f t="shared" ca="1" si="41"/>
        <v>25</v>
      </c>
    </row>
    <row r="1316" spans="1:11" ht="15.75" customHeight="1">
      <c r="A1316" t="s">
        <v>2051</v>
      </c>
      <c r="B1316">
        <v>1968</v>
      </c>
      <c r="C1316" t="s">
        <v>4717</v>
      </c>
      <c r="D1316">
        <v>24</v>
      </c>
      <c r="E1316">
        <v>2</v>
      </c>
      <c r="F1316" s="16">
        <v>11013.71</v>
      </c>
      <c r="G1316" t="s">
        <v>4700</v>
      </c>
      <c r="H1316" t="s">
        <v>4698</v>
      </c>
      <c r="I1316" t="s">
        <v>4709</v>
      </c>
      <c r="J1316" s="17">
        <f t="shared" si="40"/>
        <v>25135</v>
      </c>
      <c r="K1316">
        <f t="shared" ca="1" si="41"/>
        <v>57</v>
      </c>
    </row>
    <row r="1317" spans="1:11" ht="15.75" customHeight="1">
      <c r="A1317" t="s">
        <v>2049</v>
      </c>
      <c r="B1317">
        <v>1974</v>
      </c>
      <c r="C1317" t="s">
        <v>4714</v>
      </c>
      <c r="D1317">
        <v>15</v>
      </c>
      <c r="E1317">
        <v>4</v>
      </c>
      <c r="F1317" s="16">
        <v>11015.17</v>
      </c>
      <c r="G1317" t="s">
        <v>4700</v>
      </c>
      <c r="H1317" t="s">
        <v>4698</v>
      </c>
      <c r="I1317" t="s">
        <v>4713</v>
      </c>
      <c r="J1317" s="17">
        <f t="shared" si="40"/>
        <v>27378</v>
      </c>
      <c r="K1317">
        <f t="shared" ca="1" si="41"/>
        <v>50</v>
      </c>
    </row>
    <row r="1318" spans="1:11" ht="15.75" customHeight="1">
      <c r="A1318" t="s">
        <v>2047</v>
      </c>
      <c r="B1318">
        <v>1991</v>
      </c>
      <c r="C1318" t="s">
        <v>4711</v>
      </c>
      <c r="D1318">
        <v>26</v>
      </c>
      <c r="E1318">
        <v>3</v>
      </c>
      <c r="F1318" s="16">
        <v>11018.05</v>
      </c>
      <c r="G1318" t="s">
        <v>4700</v>
      </c>
      <c r="H1318" t="s">
        <v>4699</v>
      </c>
      <c r="I1318" t="s">
        <v>4713</v>
      </c>
      <c r="J1318" s="17">
        <f t="shared" si="40"/>
        <v>33415</v>
      </c>
      <c r="K1318">
        <f t="shared" ca="1" si="41"/>
        <v>34</v>
      </c>
    </row>
    <row r="1319" spans="1:11" ht="15.75" customHeight="1">
      <c r="A1319" t="s">
        <v>2045</v>
      </c>
      <c r="B1319">
        <v>1996</v>
      </c>
      <c r="C1319" t="s">
        <v>4708</v>
      </c>
      <c r="D1319">
        <v>21</v>
      </c>
      <c r="E1319">
        <v>0</v>
      </c>
      <c r="F1319" s="16">
        <v>11028.56</v>
      </c>
      <c r="G1319" t="s">
        <v>4700</v>
      </c>
      <c r="H1319" t="s">
        <v>4700</v>
      </c>
      <c r="I1319" t="s">
        <v>4713</v>
      </c>
      <c r="J1319" s="17">
        <f t="shared" si="40"/>
        <v>35267</v>
      </c>
      <c r="K1319">
        <f t="shared" ca="1" si="41"/>
        <v>29</v>
      </c>
    </row>
    <row r="1320" spans="1:11" ht="15.75" customHeight="1">
      <c r="A1320" t="s">
        <v>2043</v>
      </c>
      <c r="B1320">
        <v>1974</v>
      </c>
      <c r="C1320" t="s">
        <v>4714</v>
      </c>
      <c r="D1320">
        <v>10</v>
      </c>
      <c r="E1320">
        <v>4</v>
      </c>
      <c r="F1320" s="16">
        <v>11033.66</v>
      </c>
      <c r="G1320" t="s">
        <v>4700</v>
      </c>
      <c r="H1320" t="s">
        <v>4700</v>
      </c>
      <c r="I1320" t="s">
        <v>4713</v>
      </c>
      <c r="J1320" s="17">
        <f t="shared" si="40"/>
        <v>27373</v>
      </c>
      <c r="K1320">
        <f t="shared" ca="1" si="41"/>
        <v>50</v>
      </c>
    </row>
    <row r="1321" spans="1:11" ht="15.75" customHeight="1">
      <c r="A1321" t="s">
        <v>2041</v>
      </c>
      <c r="B1321">
        <v>1989</v>
      </c>
      <c r="C1321" t="s">
        <v>4717</v>
      </c>
      <c r="D1321">
        <v>25</v>
      </c>
      <c r="E1321">
        <v>3</v>
      </c>
      <c r="F1321" s="16">
        <v>11037.51</v>
      </c>
      <c r="G1321" t="s">
        <v>4700</v>
      </c>
      <c r="H1321" t="s">
        <v>4698</v>
      </c>
      <c r="I1321" t="s">
        <v>4713</v>
      </c>
      <c r="J1321" s="17">
        <f t="shared" si="40"/>
        <v>32806</v>
      </c>
      <c r="K1321">
        <f t="shared" ca="1" si="41"/>
        <v>36</v>
      </c>
    </row>
    <row r="1322" spans="1:11" ht="15.75" customHeight="1">
      <c r="A1322" t="s">
        <v>2039</v>
      </c>
      <c r="B1322">
        <v>1974</v>
      </c>
      <c r="C1322" t="s">
        <v>4716</v>
      </c>
      <c r="D1322">
        <v>30</v>
      </c>
      <c r="E1322">
        <v>0</v>
      </c>
      <c r="F1322" s="16">
        <v>11037.85</v>
      </c>
      <c r="G1322" t="s">
        <v>4700</v>
      </c>
      <c r="H1322" t="s">
        <v>4699</v>
      </c>
      <c r="I1322" t="s">
        <v>4723</v>
      </c>
      <c r="J1322" s="17">
        <f t="shared" si="40"/>
        <v>27271</v>
      </c>
      <c r="K1322">
        <f t="shared" ca="1" si="41"/>
        <v>51</v>
      </c>
    </row>
    <row r="1323" spans="1:11" ht="15.75" customHeight="1">
      <c r="A1323" t="s">
        <v>2037</v>
      </c>
      <c r="B1323">
        <v>2001</v>
      </c>
      <c r="C1323" t="s">
        <v>4714</v>
      </c>
      <c r="D1323">
        <v>17</v>
      </c>
      <c r="E1323">
        <v>0</v>
      </c>
      <c r="F1323" s="16">
        <v>11046.02</v>
      </c>
      <c r="G1323" t="s">
        <v>4700</v>
      </c>
      <c r="H1323" t="s">
        <v>4698</v>
      </c>
      <c r="I1323" t="s">
        <v>4730</v>
      </c>
      <c r="J1323" s="17">
        <f t="shared" si="40"/>
        <v>37242</v>
      </c>
      <c r="K1323">
        <f t="shared" ca="1" si="41"/>
        <v>23</v>
      </c>
    </row>
    <row r="1324" spans="1:11" ht="15.75" customHeight="1">
      <c r="A1324" t="s">
        <v>2035</v>
      </c>
      <c r="B1324">
        <v>2000</v>
      </c>
      <c r="C1324" t="s">
        <v>4712</v>
      </c>
      <c r="D1324">
        <v>18</v>
      </c>
      <c r="E1324">
        <v>0</v>
      </c>
      <c r="F1324" s="16">
        <v>11068.7</v>
      </c>
      <c r="G1324" t="s">
        <v>4700</v>
      </c>
      <c r="H1324" t="s">
        <v>4698</v>
      </c>
      <c r="I1324" t="s">
        <v>4718</v>
      </c>
      <c r="J1324" s="17">
        <f t="shared" si="40"/>
        <v>36787</v>
      </c>
      <c r="K1324">
        <f t="shared" ca="1" si="41"/>
        <v>25</v>
      </c>
    </row>
    <row r="1325" spans="1:11" ht="15.75" customHeight="1">
      <c r="A1325" t="s">
        <v>2033</v>
      </c>
      <c r="B1325">
        <v>1971</v>
      </c>
      <c r="C1325" t="s">
        <v>4710</v>
      </c>
      <c r="D1325">
        <v>9</v>
      </c>
      <c r="E1325">
        <v>0</v>
      </c>
      <c r="F1325" s="16">
        <v>11068.77</v>
      </c>
      <c r="G1325" t="s">
        <v>4700</v>
      </c>
      <c r="H1325" t="s">
        <v>4699</v>
      </c>
      <c r="I1325" t="s">
        <v>4713</v>
      </c>
      <c r="J1325" s="17">
        <f t="shared" si="40"/>
        <v>26246</v>
      </c>
      <c r="K1325">
        <f t="shared" ca="1" si="41"/>
        <v>54</v>
      </c>
    </row>
    <row r="1326" spans="1:11" ht="15.75" customHeight="1">
      <c r="A1326" t="s">
        <v>2031</v>
      </c>
      <c r="B1326">
        <v>1966</v>
      </c>
      <c r="C1326" t="s">
        <v>4710</v>
      </c>
      <c r="D1326">
        <v>7</v>
      </c>
      <c r="E1326">
        <v>0</v>
      </c>
      <c r="F1326" s="16">
        <v>11070.54</v>
      </c>
      <c r="G1326" t="s">
        <v>4700</v>
      </c>
      <c r="H1326" t="s">
        <v>4700</v>
      </c>
      <c r="I1326" t="s">
        <v>4718</v>
      </c>
      <c r="J1326" s="17">
        <f t="shared" si="40"/>
        <v>24418</v>
      </c>
      <c r="K1326">
        <f t="shared" ca="1" si="41"/>
        <v>59</v>
      </c>
    </row>
    <row r="1327" spans="1:11" ht="15.75" customHeight="1">
      <c r="A1327" t="s">
        <v>2029</v>
      </c>
      <c r="B1327">
        <v>1966</v>
      </c>
      <c r="C1327" t="s">
        <v>4710</v>
      </c>
      <c r="D1327">
        <v>20</v>
      </c>
      <c r="E1327">
        <v>0</v>
      </c>
      <c r="F1327" s="16">
        <v>11073.18</v>
      </c>
      <c r="G1327" t="s">
        <v>4700</v>
      </c>
      <c r="H1327" t="s">
        <v>4700</v>
      </c>
      <c r="I1327" t="s">
        <v>4718</v>
      </c>
      <c r="J1327" s="17">
        <f t="shared" si="40"/>
        <v>24431</v>
      </c>
      <c r="K1327">
        <f t="shared" ca="1" si="41"/>
        <v>59</v>
      </c>
    </row>
    <row r="1328" spans="1:11" ht="15.75" customHeight="1">
      <c r="A1328" t="s">
        <v>2027</v>
      </c>
      <c r="B1328">
        <v>1967</v>
      </c>
      <c r="C1328" t="s">
        <v>4712</v>
      </c>
      <c r="D1328">
        <v>4</v>
      </c>
      <c r="E1328">
        <v>0</v>
      </c>
      <c r="F1328" s="16">
        <v>11082.58</v>
      </c>
      <c r="G1328" t="s">
        <v>4700</v>
      </c>
      <c r="H1328" t="s">
        <v>4699</v>
      </c>
      <c r="I1328" t="s">
        <v>4713</v>
      </c>
      <c r="J1328" s="17">
        <f t="shared" si="40"/>
        <v>24719</v>
      </c>
      <c r="K1328">
        <f t="shared" ca="1" si="41"/>
        <v>58</v>
      </c>
    </row>
    <row r="1329" spans="1:11" ht="15.75" customHeight="1">
      <c r="A1329" t="s">
        <v>2025</v>
      </c>
      <c r="B1329">
        <v>1972</v>
      </c>
      <c r="C1329" t="s">
        <v>4717</v>
      </c>
      <c r="D1329">
        <v>7</v>
      </c>
      <c r="E1329">
        <v>3</v>
      </c>
      <c r="F1329" s="16">
        <v>11085.59</v>
      </c>
      <c r="G1329" t="s">
        <v>4700</v>
      </c>
      <c r="H1329" t="s">
        <v>4699</v>
      </c>
      <c r="I1329" t="s">
        <v>4713</v>
      </c>
      <c r="J1329" s="17">
        <f t="shared" si="40"/>
        <v>26579</v>
      </c>
      <c r="K1329">
        <f t="shared" ca="1" si="41"/>
        <v>53</v>
      </c>
    </row>
    <row r="1330" spans="1:11" ht="15.75" customHeight="1">
      <c r="A1330" t="s">
        <v>2023</v>
      </c>
      <c r="B1330">
        <v>1966</v>
      </c>
      <c r="C1330" t="s">
        <v>4712</v>
      </c>
      <c r="D1330">
        <v>9</v>
      </c>
      <c r="E1330">
        <v>0</v>
      </c>
      <c r="F1330" s="16">
        <v>11090.72</v>
      </c>
      <c r="G1330" t="s">
        <v>4700</v>
      </c>
      <c r="H1330" t="s">
        <v>4698</v>
      </c>
      <c r="I1330" t="s">
        <v>4709</v>
      </c>
      <c r="J1330" s="17">
        <f t="shared" si="40"/>
        <v>24359</v>
      </c>
      <c r="K1330">
        <f t="shared" ca="1" si="41"/>
        <v>59</v>
      </c>
    </row>
    <row r="1331" spans="1:11" ht="15.75" customHeight="1">
      <c r="A1331" t="s">
        <v>2021</v>
      </c>
      <c r="B1331">
        <v>1966</v>
      </c>
      <c r="C1331" t="s">
        <v>4708</v>
      </c>
      <c r="D1331">
        <v>5</v>
      </c>
      <c r="E1331">
        <v>0</v>
      </c>
      <c r="F1331" s="16">
        <v>11093.62</v>
      </c>
      <c r="G1331" t="s">
        <v>4700</v>
      </c>
      <c r="H1331" t="s">
        <v>4698</v>
      </c>
      <c r="I1331" t="s">
        <v>4709</v>
      </c>
      <c r="J1331" s="17">
        <f t="shared" si="40"/>
        <v>24293</v>
      </c>
      <c r="K1331">
        <f t="shared" ca="1" si="41"/>
        <v>59</v>
      </c>
    </row>
    <row r="1332" spans="1:11" ht="15.75" customHeight="1">
      <c r="A1332" t="s">
        <v>2019</v>
      </c>
      <c r="B1332">
        <v>1980</v>
      </c>
      <c r="C1332" t="s">
        <v>4716</v>
      </c>
      <c r="D1332">
        <v>20</v>
      </c>
      <c r="E1332">
        <v>2</v>
      </c>
      <c r="F1332" s="16">
        <v>11103.33</v>
      </c>
      <c r="G1332" t="s">
        <v>4700</v>
      </c>
      <c r="H1332" t="s">
        <v>4698</v>
      </c>
      <c r="I1332" t="s">
        <v>4727</v>
      </c>
      <c r="J1332" s="17">
        <f t="shared" si="40"/>
        <v>29453</v>
      </c>
      <c r="K1332">
        <f t="shared" ca="1" si="41"/>
        <v>45</v>
      </c>
    </row>
    <row r="1333" spans="1:11" ht="15.75" customHeight="1">
      <c r="A1333" t="s">
        <v>2017</v>
      </c>
      <c r="B1333">
        <v>1969</v>
      </c>
      <c r="C1333" t="s">
        <v>4710</v>
      </c>
      <c r="D1333">
        <v>30</v>
      </c>
      <c r="E1333">
        <v>2</v>
      </c>
      <c r="F1333" s="16">
        <v>11150.78</v>
      </c>
      <c r="G1333" t="s">
        <v>4700</v>
      </c>
      <c r="H1333" t="s">
        <v>4699</v>
      </c>
      <c r="I1333" t="s">
        <v>4718</v>
      </c>
      <c r="J1333" s="17">
        <f t="shared" si="40"/>
        <v>25537</v>
      </c>
      <c r="K1333">
        <f t="shared" ca="1" si="41"/>
        <v>55</v>
      </c>
    </row>
    <row r="1334" spans="1:11" ht="15.75" customHeight="1">
      <c r="A1334" t="s">
        <v>2015</v>
      </c>
      <c r="B1334">
        <v>1969</v>
      </c>
      <c r="C1334" t="s">
        <v>4711</v>
      </c>
      <c r="D1334">
        <v>25</v>
      </c>
      <c r="E1334">
        <v>2</v>
      </c>
      <c r="F1334" s="16">
        <v>11163.57</v>
      </c>
      <c r="G1334" t="s">
        <v>4700</v>
      </c>
      <c r="H1334" t="s">
        <v>4699</v>
      </c>
      <c r="I1334" t="s">
        <v>4718</v>
      </c>
      <c r="J1334" s="17">
        <f t="shared" si="40"/>
        <v>25379</v>
      </c>
      <c r="K1334">
        <f t="shared" ca="1" si="41"/>
        <v>56</v>
      </c>
    </row>
    <row r="1335" spans="1:11" ht="15.75" customHeight="1">
      <c r="A1335" t="s">
        <v>2013</v>
      </c>
      <c r="B1335">
        <v>1966</v>
      </c>
      <c r="C1335" t="s">
        <v>4716</v>
      </c>
      <c r="D1335">
        <v>6</v>
      </c>
      <c r="E1335">
        <v>0</v>
      </c>
      <c r="F1335" s="16">
        <v>11165.42</v>
      </c>
      <c r="G1335" t="s">
        <v>4700</v>
      </c>
      <c r="H1335" t="s">
        <v>4698</v>
      </c>
      <c r="I1335" t="s">
        <v>4721</v>
      </c>
      <c r="J1335" s="17">
        <f t="shared" si="40"/>
        <v>24325</v>
      </c>
      <c r="K1335">
        <f t="shared" ca="1" si="41"/>
        <v>59</v>
      </c>
    </row>
    <row r="1336" spans="1:11" ht="15.75" customHeight="1">
      <c r="A1336" t="s">
        <v>2011</v>
      </c>
      <c r="B1336">
        <v>1972</v>
      </c>
      <c r="C1336" t="s">
        <v>4712</v>
      </c>
      <c r="D1336">
        <v>3</v>
      </c>
      <c r="E1336">
        <v>0</v>
      </c>
      <c r="F1336" s="16">
        <v>11186.2</v>
      </c>
      <c r="G1336" t="s">
        <v>4700</v>
      </c>
      <c r="H1336" t="s">
        <v>4699</v>
      </c>
      <c r="I1336" t="s">
        <v>4727</v>
      </c>
      <c r="J1336" s="17">
        <f t="shared" si="40"/>
        <v>26545</v>
      </c>
      <c r="K1336">
        <f t="shared" ca="1" si="41"/>
        <v>53</v>
      </c>
    </row>
    <row r="1337" spans="1:11" ht="15.75" customHeight="1">
      <c r="A1337" t="s">
        <v>2009</v>
      </c>
      <c r="B1337">
        <v>1970</v>
      </c>
      <c r="C1337" t="s">
        <v>4711</v>
      </c>
      <c r="D1337">
        <v>14</v>
      </c>
      <c r="E1337">
        <v>2</v>
      </c>
      <c r="F1337" s="16">
        <v>11187.66</v>
      </c>
      <c r="G1337" t="s">
        <v>4700</v>
      </c>
      <c r="H1337" t="s">
        <v>4699</v>
      </c>
      <c r="I1337" t="s">
        <v>4713</v>
      </c>
      <c r="J1337" s="17">
        <f t="shared" si="40"/>
        <v>25733</v>
      </c>
      <c r="K1337">
        <f t="shared" ca="1" si="41"/>
        <v>55</v>
      </c>
    </row>
    <row r="1338" spans="1:11" ht="15.75" customHeight="1">
      <c r="A1338" t="s">
        <v>2007</v>
      </c>
      <c r="B1338">
        <v>1976</v>
      </c>
      <c r="C1338" t="s">
        <v>4711</v>
      </c>
      <c r="D1338">
        <v>28</v>
      </c>
      <c r="E1338">
        <v>2</v>
      </c>
      <c r="F1338" s="16">
        <v>11217.35</v>
      </c>
      <c r="G1338" t="s">
        <v>4700</v>
      </c>
      <c r="H1338" t="s">
        <v>4699</v>
      </c>
      <c r="I1338" t="s">
        <v>4723</v>
      </c>
      <c r="J1338" s="17">
        <f t="shared" si="40"/>
        <v>27939</v>
      </c>
      <c r="K1338">
        <f t="shared" ca="1" si="41"/>
        <v>49</v>
      </c>
    </row>
    <row r="1339" spans="1:11" ht="15.75" customHeight="1">
      <c r="A1339" t="s">
        <v>2005</v>
      </c>
      <c r="B1339">
        <v>1969</v>
      </c>
      <c r="C1339" t="s">
        <v>4714</v>
      </c>
      <c r="D1339">
        <v>30</v>
      </c>
      <c r="E1339">
        <v>2</v>
      </c>
      <c r="F1339" s="16">
        <v>11244.38</v>
      </c>
      <c r="G1339" t="s">
        <v>4700</v>
      </c>
      <c r="H1339" t="s">
        <v>4698</v>
      </c>
      <c r="I1339" t="s">
        <v>4721</v>
      </c>
      <c r="J1339" s="17">
        <f t="shared" si="40"/>
        <v>25567</v>
      </c>
      <c r="K1339">
        <f t="shared" ca="1" si="41"/>
        <v>55</v>
      </c>
    </row>
    <row r="1340" spans="1:11" ht="15.75" customHeight="1">
      <c r="A1340" t="s">
        <v>2003</v>
      </c>
      <c r="B1340">
        <v>1989</v>
      </c>
      <c r="C1340" t="s">
        <v>4714</v>
      </c>
      <c r="D1340">
        <v>17</v>
      </c>
      <c r="E1340">
        <v>3</v>
      </c>
      <c r="F1340" s="16">
        <v>11250.43</v>
      </c>
      <c r="G1340" t="s">
        <v>4700</v>
      </c>
      <c r="H1340" t="s">
        <v>4699</v>
      </c>
      <c r="I1340" t="s">
        <v>4730</v>
      </c>
      <c r="J1340" s="17">
        <f t="shared" si="40"/>
        <v>32859</v>
      </c>
      <c r="K1340">
        <f t="shared" ca="1" si="41"/>
        <v>35</v>
      </c>
    </row>
    <row r="1341" spans="1:11" ht="15.75" customHeight="1">
      <c r="A1341" t="s">
        <v>2001</v>
      </c>
      <c r="B1341">
        <v>1969</v>
      </c>
      <c r="C1341" t="s">
        <v>4716</v>
      </c>
      <c r="D1341">
        <v>20</v>
      </c>
      <c r="E1341">
        <v>3</v>
      </c>
      <c r="F1341" s="16">
        <v>11253.42</v>
      </c>
      <c r="G1341" t="s">
        <v>4700</v>
      </c>
      <c r="H1341" t="s">
        <v>4698</v>
      </c>
      <c r="I1341" t="s">
        <v>4718</v>
      </c>
      <c r="J1341" s="17">
        <f t="shared" si="40"/>
        <v>25435</v>
      </c>
      <c r="K1341">
        <f t="shared" ca="1" si="41"/>
        <v>56</v>
      </c>
    </row>
    <row r="1342" spans="1:11" ht="15.75" customHeight="1">
      <c r="A1342" t="s">
        <v>1999</v>
      </c>
      <c r="B1342">
        <v>1981</v>
      </c>
      <c r="C1342" t="s">
        <v>4717</v>
      </c>
      <c r="D1342">
        <v>2</v>
      </c>
      <c r="E1342">
        <v>1</v>
      </c>
      <c r="F1342" s="16">
        <v>11255.29</v>
      </c>
      <c r="G1342" t="s">
        <v>4700</v>
      </c>
      <c r="H1342" t="s">
        <v>4698</v>
      </c>
      <c r="I1342" t="s">
        <v>4730</v>
      </c>
      <c r="J1342" s="17">
        <f t="shared" si="40"/>
        <v>29861</v>
      </c>
      <c r="K1342">
        <f t="shared" ca="1" si="41"/>
        <v>44</v>
      </c>
    </row>
    <row r="1343" spans="1:11" ht="15.75" customHeight="1">
      <c r="A1343" t="s">
        <v>1997</v>
      </c>
      <c r="B1343">
        <v>1969</v>
      </c>
      <c r="C1343" t="s">
        <v>4717</v>
      </c>
      <c r="D1343">
        <v>11</v>
      </c>
      <c r="E1343">
        <v>3</v>
      </c>
      <c r="F1343" s="16">
        <v>11264.54</v>
      </c>
      <c r="G1343" t="s">
        <v>4700</v>
      </c>
      <c r="H1343" t="s">
        <v>4699</v>
      </c>
      <c r="I1343" t="s">
        <v>4718</v>
      </c>
      <c r="J1343" s="17">
        <f t="shared" si="40"/>
        <v>25487</v>
      </c>
      <c r="K1343">
        <f t="shared" ca="1" si="41"/>
        <v>56</v>
      </c>
    </row>
    <row r="1344" spans="1:11" ht="15.75" customHeight="1">
      <c r="A1344" t="s">
        <v>1995</v>
      </c>
      <c r="B1344">
        <v>1971</v>
      </c>
      <c r="C1344" t="s">
        <v>4714</v>
      </c>
      <c r="D1344">
        <v>26</v>
      </c>
      <c r="E1344">
        <v>0</v>
      </c>
      <c r="F1344" s="16">
        <v>11265.71</v>
      </c>
      <c r="G1344" t="s">
        <v>4700</v>
      </c>
      <c r="H1344" t="s">
        <v>4698</v>
      </c>
      <c r="I1344" t="s">
        <v>4723</v>
      </c>
      <c r="J1344" s="17">
        <f t="shared" si="40"/>
        <v>26293</v>
      </c>
      <c r="K1344">
        <f t="shared" ca="1" si="41"/>
        <v>53</v>
      </c>
    </row>
    <row r="1345" spans="1:11" ht="15.75" customHeight="1">
      <c r="A1345" t="s">
        <v>1993</v>
      </c>
      <c r="B1345">
        <v>2004</v>
      </c>
      <c r="C1345" t="s">
        <v>4717</v>
      </c>
      <c r="D1345">
        <v>4</v>
      </c>
      <c r="E1345">
        <v>1</v>
      </c>
      <c r="F1345" s="16">
        <v>11272.33</v>
      </c>
      <c r="G1345" t="s">
        <v>4700</v>
      </c>
      <c r="H1345" t="s">
        <v>4699</v>
      </c>
      <c r="I1345" t="s">
        <v>4720</v>
      </c>
      <c r="J1345" s="17">
        <f t="shared" si="40"/>
        <v>38264</v>
      </c>
      <c r="K1345">
        <f t="shared" ca="1" si="41"/>
        <v>21</v>
      </c>
    </row>
    <row r="1346" spans="1:11" ht="15.75" customHeight="1">
      <c r="A1346" t="s">
        <v>1991</v>
      </c>
      <c r="B1346">
        <v>1967</v>
      </c>
      <c r="C1346" t="s">
        <v>4711</v>
      </c>
      <c r="D1346">
        <v>14</v>
      </c>
      <c r="E1346">
        <v>0</v>
      </c>
      <c r="F1346" s="16">
        <v>11286.54</v>
      </c>
      <c r="G1346" t="s">
        <v>4700</v>
      </c>
      <c r="H1346" t="s">
        <v>4700</v>
      </c>
      <c r="I1346" t="s">
        <v>4724</v>
      </c>
      <c r="J1346" s="17">
        <f t="shared" si="40"/>
        <v>24637</v>
      </c>
      <c r="K1346">
        <f t="shared" ca="1" si="41"/>
        <v>58</v>
      </c>
    </row>
    <row r="1347" spans="1:11" ht="15.75" customHeight="1">
      <c r="A1347" t="s">
        <v>1989</v>
      </c>
      <c r="B1347">
        <v>1970</v>
      </c>
      <c r="C1347" t="s">
        <v>4711</v>
      </c>
      <c r="D1347">
        <v>22</v>
      </c>
      <c r="E1347">
        <v>3</v>
      </c>
      <c r="F1347" s="16">
        <v>11289.11</v>
      </c>
      <c r="G1347" t="s">
        <v>4700</v>
      </c>
      <c r="H1347" t="s">
        <v>4698</v>
      </c>
      <c r="I1347" t="s">
        <v>4713</v>
      </c>
      <c r="J1347" s="17">
        <f t="shared" ref="J1347:J1410" si="42">DATEVALUE(D1347&amp;"-"&amp;C1347&amp;" -"&amp;B1347)</f>
        <v>25741</v>
      </c>
      <c r="K1347">
        <f t="shared" ref="K1347:K1410" ca="1" si="43">DATEDIF(J1347,TODAY(),"Y")</f>
        <v>55</v>
      </c>
    </row>
    <row r="1348" spans="1:11" ht="15.75" customHeight="1">
      <c r="A1348" t="s">
        <v>1987</v>
      </c>
      <c r="B1348">
        <v>1988</v>
      </c>
      <c r="C1348" t="s">
        <v>4710</v>
      </c>
      <c r="D1348">
        <v>14</v>
      </c>
      <c r="E1348">
        <v>3</v>
      </c>
      <c r="F1348" s="16">
        <v>11294.57</v>
      </c>
      <c r="G1348" t="s">
        <v>4700</v>
      </c>
      <c r="H1348" t="s">
        <v>4698</v>
      </c>
      <c r="I1348" t="s">
        <v>4731</v>
      </c>
      <c r="J1348" s="17">
        <f t="shared" si="42"/>
        <v>32461</v>
      </c>
      <c r="K1348">
        <f t="shared" ca="1" si="43"/>
        <v>37</v>
      </c>
    </row>
    <row r="1349" spans="1:11" ht="15.75" customHeight="1">
      <c r="A1349" t="s">
        <v>1985</v>
      </c>
      <c r="B1349">
        <v>1972</v>
      </c>
      <c r="C1349" t="s">
        <v>4712</v>
      </c>
      <c r="D1349">
        <v>25</v>
      </c>
      <c r="E1349">
        <v>4</v>
      </c>
      <c r="F1349" s="16">
        <v>11299.34</v>
      </c>
      <c r="G1349" t="s">
        <v>4700</v>
      </c>
      <c r="H1349" t="s">
        <v>4699</v>
      </c>
      <c r="I1349" t="s">
        <v>4718</v>
      </c>
      <c r="J1349" s="17">
        <f t="shared" si="42"/>
        <v>26567</v>
      </c>
      <c r="K1349">
        <f t="shared" ca="1" si="43"/>
        <v>53</v>
      </c>
    </row>
    <row r="1350" spans="1:11" ht="15.75" customHeight="1">
      <c r="A1350" t="s">
        <v>1983</v>
      </c>
      <c r="B1350">
        <v>1968</v>
      </c>
      <c r="C1350" t="s">
        <v>4717</v>
      </c>
      <c r="D1350">
        <v>6</v>
      </c>
      <c r="E1350">
        <v>1</v>
      </c>
      <c r="F1350" s="16">
        <v>11305.93</v>
      </c>
      <c r="G1350" t="s">
        <v>4700</v>
      </c>
      <c r="H1350" t="s">
        <v>4698</v>
      </c>
      <c r="I1350" t="s">
        <v>4713</v>
      </c>
      <c r="J1350" s="17">
        <f t="shared" si="42"/>
        <v>25117</v>
      </c>
      <c r="K1350">
        <f t="shared" ca="1" si="43"/>
        <v>57</v>
      </c>
    </row>
    <row r="1351" spans="1:11" ht="15.75" customHeight="1">
      <c r="A1351" t="s">
        <v>1981</v>
      </c>
      <c r="B1351">
        <v>1963</v>
      </c>
      <c r="C1351" t="s">
        <v>4710</v>
      </c>
      <c r="D1351">
        <v>22</v>
      </c>
      <c r="E1351">
        <v>0</v>
      </c>
      <c r="F1351" s="16">
        <v>11312.33</v>
      </c>
      <c r="G1351" t="s">
        <v>4700</v>
      </c>
      <c r="H1351" t="s">
        <v>4700</v>
      </c>
      <c r="I1351" t="s">
        <v>4713</v>
      </c>
      <c r="J1351" s="17">
        <f t="shared" si="42"/>
        <v>23337</v>
      </c>
      <c r="K1351">
        <f t="shared" ca="1" si="43"/>
        <v>62</v>
      </c>
    </row>
    <row r="1352" spans="1:11" ht="15.75" customHeight="1">
      <c r="A1352" t="s">
        <v>1979</v>
      </c>
      <c r="B1352">
        <v>1995</v>
      </c>
      <c r="C1352" t="s">
        <v>4714</v>
      </c>
      <c r="D1352">
        <v>10</v>
      </c>
      <c r="E1352">
        <v>0</v>
      </c>
      <c r="F1352" s="16">
        <v>11318.57</v>
      </c>
      <c r="G1352" t="s">
        <v>4700</v>
      </c>
      <c r="H1352" t="s">
        <v>4699</v>
      </c>
      <c r="I1352" t="s">
        <v>4730</v>
      </c>
      <c r="J1352" s="17">
        <f t="shared" si="42"/>
        <v>35043</v>
      </c>
      <c r="K1352">
        <f t="shared" ca="1" si="43"/>
        <v>29</v>
      </c>
    </row>
    <row r="1353" spans="1:11" ht="15.75" customHeight="1">
      <c r="A1353" t="s">
        <v>1977</v>
      </c>
      <c r="B1353">
        <v>1963</v>
      </c>
      <c r="C1353" t="s">
        <v>4708</v>
      </c>
      <c r="D1353">
        <v>11</v>
      </c>
      <c r="E1353">
        <v>0</v>
      </c>
      <c r="F1353" s="16">
        <v>11319.12</v>
      </c>
      <c r="G1353" t="s">
        <v>4700</v>
      </c>
      <c r="H1353" t="s">
        <v>4698</v>
      </c>
      <c r="I1353" t="s">
        <v>4713</v>
      </c>
      <c r="J1353" s="17">
        <f t="shared" si="42"/>
        <v>23203</v>
      </c>
      <c r="K1353">
        <f t="shared" ca="1" si="43"/>
        <v>62</v>
      </c>
    </row>
    <row r="1354" spans="1:11" ht="15.75" customHeight="1">
      <c r="A1354" t="s">
        <v>1975</v>
      </c>
      <c r="B1354">
        <v>2002</v>
      </c>
      <c r="C1354" t="s">
        <v>4712</v>
      </c>
      <c r="D1354">
        <v>20</v>
      </c>
      <c r="E1354">
        <v>0</v>
      </c>
      <c r="F1354" s="16">
        <v>11321.49</v>
      </c>
      <c r="G1354" t="s">
        <v>4700</v>
      </c>
      <c r="H1354" t="s">
        <v>4700</v>
      </c>
      <c r="I1354" t="s">
        <v>4713</v>
      </c>
      <c r="J1354" s="17">
        <f t="shared" si="42"/>
        <v>37519</v>
      </c>
      <c r="K1354">
        <f t="shared" ca="1" si="43"/>
        <v>23</v>
      </c>
    </row>
    <row r="1355" spans="1:11" ht="15.75" customHeight="1">
      <c r="A1355" t="s">
        <v>1973</v>
      </c>
      <c r="B1355">
        <v>1989</v>
      </c>
      <c r="C1355" t="s">
        <v>4716</v>
      </c>
      <c r="D1355">
        <v>19</v>
      </c>
      <c r="E1355">
        <v>1</v>
      </c>
      <c r="F1355" s="16">
        <v>11326.71</v>
      </c>
      <c r="G1355" t="s">
        <v>4700</v>
      </c>
      <c r="H1355" t="s">
        <v>4700</v>
      </c>
      <c r="I1355" t="s">
        <v>4709</v>
      </c>
      <c r="J1355" s="17">
        <f t="shared" si="42"/>
        <v>32739</v>
      </c>
      <c r="K1355">
        <f t="shared" ca="1" si="43"/>
        <v>36</v>
      </c>
    </row>
    <row r="1356" spans="1:11" ht="15.75" customHeight="1">
      <c r="A1356" t="s">
        <v>1971</v>
      </c>
      <c r="B1356">
        <v>1968</v>
      </c>
      <c r="C1356" t="s">
        <v>4710</v>
      </c>
      <c r="D1356">
        <v>2</v>
      </c>
      <c r="E1356">
        <v>0</v>
      </c>
      <c r="F1356" s="16">
        <v>11344.32</v>
      </c>
      <c r="G1356" t="s">
        <v>4700</v>
      </c>
      <c r="H1356" t="s">
        <v>4699</v>
      </c>
      <c r="I1356" t="s">
        <v>4723</v>
      </c>
      <c r="J1356" s="17">
        <f t="shared" si="42"/>
        <v>25144</v>
      </c>
      <c r="K1356">
        <f t="shared" ca="1" si="43"/>
        <v>57</v>
      </c>
    </row>
    <row r="1357" spans="1:11" ht="15.75" customHeight="1">
      <c r="A1357" t="s">
        <v>1969</v>
      </c>
      <c r="B1357">
        <v>1964</v>
      </c>
      <c r="C1357" t="s">
        <v>4708</v>
      </c>
      <c r="D1357">
        <v>12</v>
      </c>
      <c r="E1357">
        <v>0</v>
      </c>
      <c r="F1357" s="16">
        <v>11345.52</v>
      </c>
      <c r="G1357" t="s">
        <v>4700</v>
      </c>
      <c r="H1357" t="s">
        <v>4700</v>
      </c>
      <c r="I1357" t="s">
        <v>4718</v>
      </c>
      <c r="J1357" s="17">
        <f t="shared" si="42"/>
        <v>23570</v>
      </c>
      <c r="K1357">
        <f t="shared" ca="1" si="43"/>
        <v>61</v>
      </c>
    </row>
    <row r="1358" spans="1:11" ht="15.75" customHeight="1">
      <c r="A1358" t="s">
        <v>1967</v>
      </c>
      <c r="B1358">
        <v>1965</v>
      </c>
      <c r="C1358" t="s">
        <v>4710</v>
      </c>
      <c r="D1358">
        <v>29</v>
      </c>
      <c r="E1358">
        <v>0</v>
      </c>
      <c r="F1358" s="16">
        <v>11353.23</v>
      </c>
      <c r="G1358" t="s">
        <v>4700</v>
      </c>
      <c r="H1358" t="s">
        <v>4698</v>
      </c>
      <c r="I1358" t="s">
        <v>4713</v>
      </c>
      <c r="J1358" s="17">
        <f t="shared" si="42"/>
        <v>24075</v>
      </c>
      <c r="K1358">
        <f t="shared" ca="1" si="43"/>
        <v>59</v>
      </c>
    </row>
    <row r="1359" spans="1:11" ht="15.75" customHeight="1">
      <c r="A1359" t="s">
        <v>1965</v>
      </c>
      <c r="B1359">
        <v>1965</v>
      </c>
      <c r="C1359" t="s">
        <v>4712</v>
      </c>
      <c r="D1359">
        <v>26</v>
      </c>
      <c r="E1359">
        <v>0</v>
      </c>
      <c r="F1359" s="16">
        <v>11356.66</v>
      </c>
      <c r="G1359" t="s">
        <v>4700</v>
      </c>
      <c r="H1359" t="s">
        <v>4700</v>
      </c>
      <c r="I1359" t="s">
        <v>4713</v>
      </c>
      <c r="J1359" s="17">
        <f t="shared" si="42"/>
        <v>24011</v>
      </c>
      <c r="K1359">
        <f t="shared" ca="1" si="43"/>
        <v>60</v>
      </c>
    </row>
    <row r="1360" spans="1:11" ht="15.75" customHeight="1">
      <c r="A1360" t="s">
        <v>1963</v>
      </c>
      <c r="B1360">
        <v>1964</v>
      </c>
      <c r="C1360" t="s">
        <v>4708</v>
      </c>
      <c r="D1360">
        <v>4</v>
      </c>
      <c r="E1360">
        <v>0</v>
      </c>
      <c r="F1360" s="16">
        <v>11362.76</v>
      </c>
      <c r="G1360" t="s">
        <v>4700</v>
      </c>
      <c r="H1360" t="s">
        <v>4698</v>
      </c>
      <c r="I1360" t="s">
        <v>4718</v>
      </c>
      <c r="J1360" s="17">
        <f t="shared" si="42"/>
        <v>23562</v>
      </c>
      <c r="K1360">
        <f t="shared" ca="1" si="43"/>
        <v>61</v>
      </c>
    </row>
    <row r="1361" spans="1:11" ht="15.75" customHeight="1">
      <c r="A1361" t="s">
        <v>1961</v>
      </c>
      <c r="B1361">
        <v>1964</v>
      </c>
      <c r="C1361" t="s">
        <v>4708</v>
      </c>
      <c r="D1361">
        <v>3</v>
      </c>
      <c r="E1361">
        <v>0</v>
      </c>
      <c r="F1361" s="16">
        <v>11363.28</v>
      </c>
      <c r="G1361" t="s">
        <v>4700</v>
      </c>
      <c r="H1361" t="s">
        <v>4698</v>
      </c>
      <c r="I1361" t="s">
        <v>4709</v>
      </c>
      <c r="J1361" s="17">
        <f t="shared" si="42"/>
        <v>23561</v>
      </c>
      <c r="K1361">
        <f t="shared" ca="1" si="43"/>
        <v>61</v>
      </c>
    </row>
    <row r="1362" spans="1:11" ht="15.75" customHeight="1">
      <c r="A1362" t="s">
        <v>1959</v>
      </c>
      <c r="B1362">
        <v>1964</v>
      </c>
      <c r="C1362" t="s">
        <v>4714</v>
      </c>
      <c r="D1362">
        <v>13</v>
      </c>
      <c r="E1362">
        <v>0</v>
      </c>
      <c r="F1362" s="16">
        <v>11365.95</v>
      </c>
      <c r="G1362" t="s">
        <v>4700</v>
      </c>
      <c r="H1362" t="s">
        <v>4699</v>
      </c>
      <c r="I1362" t="s">
        <v>4718</v>
      </c>
      <c r="J1362" s="17">
        <f t="shared" si="42"/>
        <v>23724</v>
      </c>
      <c r="K1362">
        <f t="shared" ca="1" si="43"/>
        <v>60</v>
      </c>
    </row>
    <row r="1363" spans="1:11" ht="15.75" customHeight="1">
      <c r="A1363" t="s">
        <v>1957</v>
      </c>
      <c r="B1363">
        <v>1979</v>
      </c>
      <c r="C1363" t="s">
        <v>4711</v>
      </c>
      <c r="D1363">
        <v>7</v>
      </c>
      <c r="E1363">
        <v>2</v>
      </c>
      <c r="F1363" s="16">
        <v>11369.39</v>
      </c>
      <c r="G1363" t="s">
        <v>4700</v>
      </c>
      <c r="H1363" t="s">
        <v>4698</v>
      </c>
      <c r="I1363" t="s">
        <v>4730</v>
      </c>
      <c r="J1363" s="17">
        <f t="shared" si="42"/>
        <v>29013</v>
      </c>
      <c r="K1363">
        <f t="shared" ca="1" si="43"/>
        <v>46</v>
      </c>
    </row>
    <row r="1364" spans="1:11" ht="15.75" customHeight="1">
      <c r="A1364" t="s">
        <v>1955</v>
      </c>
      <c r="B1364">
        <v>1972</v>
      </c>
      <c r="C1364" t="s">
        <v>4714</v>
      </c>
      <c r="D1364">
        <v>6</v>
      </c>
      <c r="E1364">
        <v>0</v>
      </c>
      <c r="F1364" s="16">
        <v>11378.57</v>
      </c>
      <c r="G1364" t="s">
        <v>4700</v>
      </c>
      <c r="H1364" t="s">
        <v>4699</v>
      </c>
      <c r="I1364" t="s">
        <v>4723</v>
      </c>
      <c r="J1364" s="17">
        <f t="shared" si="42"/>
        <v>26639</v>
      </c>
      <c r="K1364">
        <f t="shared" ca="1" si="43"/>
        <v>52</v>
      </c>
    </row>
    <row r="1365" spans="1:11" ht="15.75" customHeight="1">
      <c r="A1365" t="s">
        <v>1953</v>
      </c>
      <c r="B1365">
        <v>1964</v>
      </c>
      <c r="C1365" t="s">
        <v>4711</v>
      </c>
      <c r="D1365">
        <v>13</v>
      </c>
      <c r="E1365">
        <v>0</v>
      </c>
      <c r="F1365" s="16">
        <v>11381.33</v>
      </c>
      <c r="G1365" t="s">
        <v>4700</v>
      </c>
      <c r="H1365" t="s">
        <v>4699</v>
      </c>
      <c r="I1365" t="s">
        <v>4709</v>
      </c>
      <c r="J1365" s="17">
        <f t="shared" si="42"/>
        <v>23541</v>
      </c>
      <c r="K1365">
        <f t="shared" ca="1" si="43"/>
        <v>61</v>
      </c>
    </row>
    <row r="1366" spans="1:11" ht="15.75" customHeight="1">
      <c r="A1366" t="s">
        <v>1951</v>
      </c>
      <c r="B1366">
        <v>1997</v>
      </c>
      <c r="C1366" t="s">
        <v>4708</v>
      </c>
      <c r="D1366">
        <v>28</v>
      </c>
      <c r="E1366">
        <v>0</v>
      </c>
      <c r="F1366" s="16">
        <v>11388.27</v>
      </c>
      <c r="G1366" t="s">
        <v>4700</v>
      </c>
      <c r="H1366" t="s">
        <v>4699</v>
      </c>
      <c r="I1366" t="s">
        <v>4730</v>
      </c>
      <c r="J1366" s="17">
        <f t="shared" si="42"/>
        <v>35639</v>
      </c>
      <c r="K1366">
        <f t="shared" ca="1" si="43"/>
        <v>28</v>
      </c>
    </row>
    <row r="1367" spans="1:11" ht="15.75" customHeight="1">
      <c r="A1367" t="s">
        <v>1949</v>
      </c>
      <c r="B1367">
        <v>1967</v>
      </c>
      <c r="C1367" t="s">
        <v>4714</v>
      </c>
      <c r="D1367">
        <v>19</v>
      </c>
      <c r="E1367">
        <v>1</v>
      </c>
      <c r="F1367" s="16">
        <v>11394.07</v>
      </c>
      <c r="G1367" t="s">
        <v>4700</v>
      </c>
      <c r="H1367" t="s">
        <v>4698</v>
      </c>
      <c r="I1367" t="s">
        <v>4722</v>
      </c>
      <c r="J1367" s="17">
        <f t="shared" si="42"/>
        <v>24825</v>
      </c>
      <c r="K1367">
        <f t="shared" ca="1" si="43"/>
        <v>57</v>
      </c>
    </row>
    <row r="1368" spans="1:11" ht="15.75" customHeight="1">
      <c r="A1368" t="s">
        <v>1947</v>
      </c>
      <c r="B1368">
        <v>1970</v>
      </c>
      <c r="C1368" t="s">
        <v>4717</v>
      </c>
      <c r="D1368">
        <v>2</v>
      </c>
      <c r="E1368">
        <v>2</v>
      </c>
      <c r="F1368" s="16">
        <v>11396.9</v>
      </c>
      <c r="G1368" t="s">
        <v>4700</v>
      </c>
      <c r="H1368" t="s">
        <v>4700</v>
      </c>
      <c r="I1368" t="s">
        <v>4724</v>
      </c>
      <c r="J1368" s="17">
        <f t="shared" si="42"/>
        <v>25843</v>
      </c>
      <c r="K1368">
        <f t="shared" ca="1" si="43"/>
        <v>55</v>
      </c>
    </row>
    <row r="1369" spans="1:11" ht="15.75" customHeight="1">
      <c r="A1369" t="s">
        <v>1945</v>
      </c>
      <c r="B1369">
        <v>1970</v>
      </c>
      <c r="C1369" t="s">
        <v>4717</v>
      </c>
      <c r="D1369">
        <v>7</v>
      </c>
      <c r="E1369">
        <v>3</v>
      </c>
      <c r="F1369" s="16">
        <v>11411.69</v>
      </c>
      <c r="G1369" t="s">
        <v>4700</v>
      </c>
      <c r="H1369" t="s">
        <v>4699</v>
      </c>
      <c r="I1369" t="s">
        <v>4718</v>
      </c>
      <c r="J1369" s="17">
        <f t="shared" si="42"/>
        <v>25848</v>
      </c>
      <c r="K1369">
        <f t="shared" ca="1" si="43"/>
        <v>55</v>
      </c>
    </row>
    <row r="1370" spans="1:11" ht="15.75" customHeight="1">
      <c r="A1370" t="s">
        <v>1943</v>
      </c>
      <c r="B1370">
        <v>1983</v>
      </c>
      <c r="C1370" t="s">
        <v>4717</v>
      </c>
      <c r="D1370">
        <v>23</v>
      </c>
      <c r="E1370">
        <v>3</v>
      </c>
      <c r="F1370" s="16">
        <v>11412.02</v>
      </c>
      <c r="G1370" t="s">
        <v>4700</v>
      </c>
      <c r="H1370" t="s">
        <v>4698</v>
      </c>
      <c r="I1370" t="s">
        <v>4727</v>
      </c>
      <c r="J1370" s="17">
        <f t="shared" si="42"/>
        <v>30612</v>
      </c>
      <c r="K1370">
        <f t="shared" ca="1" si="43"/>
        <v>42</v>
      </c>
    </row>
    <row r="1371" spans="1:11" ht="15.75" customHeight="1">
      <c r="A1371" t="s">
        <v>1941</v>
      </c>
      <c r="B1371">
        <v>1985</v>
      </c>
      <c r="C1371" t="s">
        <v>4711</v>
      </c>
      <c r="D1371">
        <v>9</v>
      </c>
      <c r="E1371">
        <v>3</v>
      </c>
      <c r="F1371" s="16">
        <v>11419.49</v>
      </c>
      <c r="G1371" t="s">
        <v>4700</v>
      </c>
      <c r="H1371" t="s">
        <v>4698</v>
      </c>
      <c r="I1371" t="s">
        <v>4713</v>
      </c>
      <c r="J1371" s="17">
        <f t="shared" si="42"/>
        <v>31207</v>
      </c>
      <c r="K1371">
        <f t="shared" ca="1" si="43"/>
        <v>40</v>
      </c>
    </row>
    <row r="1372" spans="1:11" ht="15.75" customHeight="1">
      <c r="A1372" t="s">
        <v>1939</v>
      </c>
      <c r="B1372">
        <v>1980</v>
      </c>
      <c r="C1372" t="s">
        <v>4708</v>
      </c>
      <c r="D1372">
        <v>17</v>
      </c>
      <c r="E1372">
        <v>2</v>
      </c>
      <c r="F1372" s="16">
        <v>11435.74</v>
      </c>
      <c r="G1372" t="s">
        <v>4700</v>
      </c>
      <c r="H1372" t="s">
        <v>4700</v>
      </c>
      <c r="I1372" t="s">
        <v>4727</v>
      </c>
      <c r="J1372" s="17">
        <f t="shared" si="42"/>
        <v>29419</v>
      </c>
      <c r="K1372">
        <f t="shared" ca="1" si="43"/>
        <v>45</v>
      </c>
    </row>
    <row r="1373" spans="1:11" ht="15.75" customHeight="1">
      <c r="A1373" t="s">
        <v>1937</v>
      </c>
      <c r="B1373">
        <v>1971</v>
      </c>
      <c r="C1373" t="s">
        <v>4712</v>
      </c>
      <c r="D1373">
        <v>12</v>
      </c>
      <c r="E1373">
        <v>3</v>
      </c>
      <c r="F1373" s="16">
        <v>11436.74</v>
      </c>
      <c r="G1373" t="s">
        <v>4700</v>
      </c>
      <c r="H1373" t="s">
        <v>4700</v>
      </c>
      <c r="I1373" t="s">
        <v>4713</v>
      </c>
      <c r="J1373" s="17">
        <f t="shared" si="42"/>
        <v>26188</v>
      </c>
      <c r="K1373">
        <f t="shared" ca="1" si="43"/>
        <v>54</v>
      </c>
    </row>
    <row r="1374" spans="1:11" ht="15.75" customHeight="1">
      <c r="A1374" t="s">
        <v>1935</v>
      </c>
      <c r="B1374">
        <v>1966</v>
      </c>
      <c r="C1374" t="s">
        <v>4711</v>
      </c>
      <c r="D1374">
        <v>14</v>
      </c>
      <c r="E1374">
        <v>0</v>
      </c>
      <c r="F1374" s="16">
        <v>11454.02</v>
      </c>
      <c r="G1374" t="s">
        <v>4700</v>
      </c>
      <c r="H1374" t="s">
        <v>4698</v>
      </c>
      <c r="I1374" t="s">
        <v>4713</v>
      </c>
      <c r="J1374" s="17">
        <f t="shared" si="42"/>
        <v>24272</v>
      </c>
      <c r="K1374">
        <f t="shared" ca="1" si="43"/>
        <v>59</v>
      </c>
    </row>
    <row r="1375" spans="1:11" ht="15.75" customHeight="1">
      <c r="A1375" t="s">
        <v>1933</v>
      </c>
      <c r="B1375">
        <v>1965</v>
      </c>
      <c r="C1375" t="s">
        <v>4711</v>
      </c>
      <c r="D1375">
        <v>23</v>
      </c>
      <c r="E1375">
        <v>0</v>
      </c>
      <c r="F1375" s="16">
        <v>11455.28</v>
      </c>
      <c r="G1375" t="s">
        <v>4700</v>
      </c>
      <c r="H1375" t="s">
        <v>4699</v>
      </c>
      <c r="I1375" t="s">
        <v>4718</v>
      </c>
      <c r="J1375" s="17">
        <f t="shared" si="42"/>
        <v>23916</v>
      </c>
      <c r="K1375">
        <f t="shared" ca="1" si="43"/>
        <v>60</v>
      </c>
    </row>
    <row r="1376" spans="1:11" ht="15.75" customHeight="1">
      <c r="A1376" t="s">
        <v>1931</v>
      </c>
      <c r="B1376">
        <v>1966</v>
      </c>
      <c r="C1376" t="s">
        <v>4712</v>
      </c>
      <c r="D1376">
        <v>7</v>
      </c>
      <c r="E1376">
        <v>0</v>
      </c>
      <c r="F1376" s="16">
        <v>11478.14</v>
      </c>
      <c r="G1376" t="s">
        <v>4700</v>
      </c>
      <c r="H1376" t="s">
        <v>4699</v>
      </c>
      <c r="I1376" t="s">
        <v>4723</v>
      </c>
      <c r="J1376" s="17">
        <f t="shared" si="42"/>
        <v>24357</v>
      </c>
      <c r="K1376">
        <f t="shared" ca="1" si="43"/>
        <v>59</v>
      </c>
    </row>
    <row r="1377" spans="1:11" ht="15.75" customHeight="1">
      <c r="A1377" t="s">
        <v>1929</v>
      </c>
      <c r="B1377">
        <v>2004</v>
      </c>
      <c r="C1377" t="s">
        <v>4712</v>
      </c>
      <c r="D1377">
        <v>10</v>
      </c>
      <c r="E1377">
        <v>0</v>
      </c>
      <c r="F1377" s="16">
        <v>11482.63</v>
      </c>
      <c r="G1377" t="s">
        <v>4700</v>
      </c>
      <c r="H1377" t="s">
        <v>4699</v>
      </c>
      <c r="I1377" t="s">
        <v>4709</v>
      </c>
      <c r="J1377" s="17">
        <f t="shared" si="42"/>
        <v>38240</v>
      </c>
      <c r="K1377">
        <f t="shared" ca="1" si="43"/>
        <v>21</v>
      </c>
    </row>
    <row r="1378" spans="1:11" ht="15.75" customHeight="1">
      <c r="A1378" t="s">
        <v>1927</v>
      </c>
      <c r="B1378">
        <v>1970</v>
      </c>
      <c r="C1378" t="s">
        <v>4717</v>
      </c>
      <c r="D1378">
        <v>13</v>
      </c>
      <c r="E1378">
        <v>3</v>
      </c>
      <c r="F1378" s="16">
        <v>11488.32</v>
      </c>
      <c r="G1378" t="s">
        <v>4700</v>
      </c>
      <c r="H1378" t="s">
        <v>4698</v>
      </c>
      <c r="I1378" t="s">
        <v>4726</v>
      </c>
      <c r="J1378" s="17">
        <f t="shared" si="42"/>
        <v>25854</v>
      </c>
      <c r="K1378">
        <f t="shared" ca="1" si="43"/>
        <v>55</v>
      </c>
    </row>
    <row r="1379" spans="1:11" ht="15.75" customHeight="1">
      <c r="A1379" t="s">
        <v>1925</v>
      </c>
      <c r="B1379">
        <v>1983</v>
      </c>
      <c r="C1379" t="s">
        <v>4711</v>
      </c>
      <c r="D1379">
        <v>7</v>
      </c>
      <c r="E1379">
        <v>3</v>
      </c>
      <c r="F1379" s="16">
        <v>11492.46</v>
      </c>
      <c r="G1379" t="s">
        <v>4700</v>
      </c>
      <c r="H1379" t="s">
        <v>4700</v>
      </c>
      <c r="I1379" t="s">
        <v>4730</v>
      </c>
      <c r="J1379" s="17">
        <f t="shared" si="42"/>
        <v>30474</v>
      </c>
      <c r="K1379">
        <f t="shared" ca="1" si="43"/>
        <v>42</v>
      </c>
    </row>
    <row r="1380" spans="1:11" ht="15.75" customHeight="1">
      <c r="A1380" t="s">
        <v>1923</v>
      </c>
      <c r="B1380">
        <v>1969</v>
      </c>
      <c r="C1380" t="s">
        <v>4716</v>
      </c>
      <c r="D1380">
        <v>11</v>
      </c>
      <c r="E1380">
        <v>0</v>
      </c>
      <c r="F1380" s="16">
        <v>11497.69</v>
      </c>
      <c r="G1380" t="s">
        <v>4700</v>
      </c>
      <c r="H1380" t="s">
        <v>4698</v>
      </c>
      <c r="I1380" t="s">
        <v>4713</v>
      </c>
      <c r="J1380" s="17">
        <f t="shared" si="42"/>
        <v>25426</v>
      </c>
      <c r="K1380">
        <f t="shared" ca="1" si="43"/>
        <v>56</v>
      </c>
    </row>
    <row r="1381" spans="1:11" ht="15.75" customHeight="1">
      <c r="A1381" t="s">
        <v>1921</v>
      </c>
      <c r="B1381">
        <v>1989</v>
      </c>
      <c r="C1381" t="s">
        <v>4717</v>
      </c>
      <c r="D1381">
        <v>6</v>
      </c>
      <c r="E1381">
        <v>3</v>
      </c>
      <c r="F1381" s="16">
        <v>11511.61</v>
      </c>
      <c r="G1381" t="s">
        <v>4700</v>
      </c>
      <c r="H1381" t="s">
        <v>4700</v>
      </c>
      <c r="I1381" t="s">
        <v>4730</v>
      </c>
      <c r="J1381" s="17">
        <f t="shared" si="42"/>
        <v>32787</v>
      </c>
      <c r="K1381">
        <f t="shared" ca="1" si="43"/>
        <v>36</v>
      </c>
    </row>
    <row r="1382" spans="1:11" ht="15.75" customHeight="1">
      <c r="A1382" t="s">
        <v>1919</v>
      </c>
      <c r="B1382">
        <v>1968</v>
      </c>
      <c r="C1382" t="s">
        <v>4711</v>
      </c>
      <c r="D1382">
        <v>24</v>
      </c>
      <c r="E1382">
        <v>1</v>
      </c>
      <c r="F1382" s="16">
        <v>11512.41</v>
      </c>
      <c r="G1382" t="s">
        <v>4700</v>
      </c>
      <c r="H1382" t="s">
        <v>4698</v>
      </c>
      <c r="I1382" t="s">
        <v>4724</v>
      </c>
      <c r="J1382" s="17">
        <f t="shared" si="42"/>
        <v>25013</v>
      </c>
      <c r="K1382">
        <f t="shared" ca="1" si="43"/>
        <v>57</v>
      </c>
    </row>
    <row r="1383" spans="1:11" ht="15.75" customHeight="1">
      <c r="A1383" t="s">
        <v>1917</v>
      </c>
      <c r="B1383">
        <v>1971</v>
      </c>
      <c r="C1383" t="s">
        <v>4714</v>
      </c>
      <c r="D1383">
        <v>19</v>
      </c>
      <c r="E1383">
        <v>4</v>
      </c>
      <c r="F1383" s="16">
        <v>11520.1</v>
      </c>
      <c r="G1383" t="s">
        <v>4700</v>
      </c>
      <c r="H1383" t="s">
        <v>4698</v>
      </c>
      <c r="I1383" t="s">
        <v>4713</v>
      </c>
      <c r="J1383" s="17">
        <f t="shared" si="42"/>
        <v>26286</v>
      </c>
      <c r="K1383">
        <f t="shared" ca="1" si="43"/>
        <v>53</v>
      </c>
    </row>
    <row r="1384" spans="1:11" ht="15.75" customHeight="1">
      <c r="A1384" t="s">
        <v>1915</v>
      </c>
      <c r="B1384">
        <v>1988</v>
      </c>
      <c r="C1384" t="s">
        <v>4711</v>
      </c>
      <c r="D1384">
        <v>12</v>
      </c>
      <c r="E1384">
        <v>3</v>
      </c>
      <c r="F1384" s="16">
        <v>11524.25</v>
      </c>
      <c r="G1384" t="s">
        <v>4700</v>
      </c>
      <c r="H1384" t="s">
        <v>4698</v>
      </c>
      <c r="I1384" t="s">
        <v>4730</v>
      </c>
      <c r="J1384" s="17">
        <f t="shared" si="42"/>
        <v>32306</v>
      </c>
      <c r="K1384">
        <f t="shared" ca="1" si="43"/>
        <v>37</v>
      </c>
    </row>
    <row r="1385" spans="1:11" ht="15.75" customHeight="1">
      <c r="A1385" t="s">
        <v>1913</v>
      </c>
      <c r="B1385">
        <v>1970</v>
      </c>
      <c r="C1385" t="s">
        <v>4708</v>
      </c>
      <c r="D1385">
        <v>23</v>
      </c>
      <c r="E1385">
        <v>0</v>
      </c>
      <c r="F1385" s="16">
        <v>11530.12</v>
      </c>
      <c r="G1385" t="s">
        <v>4700</v>
      </c>
      <c r="H1385" t="s">
        <v>4698</v>
      </c>
      <c r="I1385" t="s">
        <v>4713</v>
      </c>
      <c r="J1385" s="17">
        <f t="shared" si="42"/>
        <v>25772</v>
      </c>
      <c r="K1385">
        <f t="shared" ca="1" si="43"/>
        <v>55</v>
      </c>
    </row>
    <row r="1386" spans="1:11" ht="15.75" customHeight="1">
      <c r="A1386" t="s">
        <v>1911</v>
      </c>
      <c r="B1386">
        <v>1965</v>
      </c>
      <c r="C1386" t="s">
        <v>4717</v>
      </c>
      <c r="D1386">
        <v>3</v>
      </c>
      <c r="E1386">
        <v>0</v>
      </c>
      <c r="F1386" s="16">
        <v>11534.87</v>
      </c>
      <c r="G1386" t="s">
        <v>4700</v>
      </c>
      <c r="H1386" t="s">
        <v>4698</v>
      </c>
      <c r="I1386" t="s">
        <v>4728</v>
      </c>
      <c r="J1386" s="17">
        <f t="shared" si="42"/>
        <v>24018</v>
      </c>
      <c r="K1386">
        <f t="shared" ca="1" si="43"/>
        <v>60</v>
      </c>
    </row>
    <row r="1387" spans="1:11" ht="15.75" customHeight="1">
      <c r="A1387" t="s">
        <v>1909</v>
      </c>
      <c r="B1387">
        <v>1968</v>
      </c>
      <c r="C1387" t="s">
        <v>4710</v>
      </c>
      <c r="D1387">
        <v>14</v>
      </c>
      <c r="E1387">
        <v>2</v>
      </c>
      <c r="F1387" s="16">
        <v>11538.42</v>
      </c>
      <c r="G1387" t="s">
        <v>4700</v>
      </c>
      <c r="H1387" t="s">
        <v>4698</v>
      </c>
      <c r="I1387" t="s">
        <v>4718</v>
      </c>
      <c r="J1387" s="17">
        <f t="shared" si="42"/>
        <v>25156</v>
      </c>
      <c r="K1387">
        <f t="shared" ca="1" si="43"/>
        <v>57</v>
      </c>
    </row>
    <row r="1388" spans="1:11" ht="15.75" customHeight="1">
      <c r="A1388" t="s">
        <v>1907</v>
      </c>
      <c r="B1388">
        <v>1971</v>
      </c>
      <c r="C1388" t="s">
        <v>4714</v>
      </c>
      <c r="D1388">
        <v>1</v>
      </c>
      <c r="E1388">
        <v>0</v>
      </c>
      <c r="F1388" s="16">
        <v>11540.25</v>
      </c>
      <c r="G1388" t="s">
        <v>4700</v>
      </c>
      <c r="H1388" t="s">
        <v>4698</v>
      </c>
      <c r="I1388" t="s">
        <v>4713</v>
      </c>
      <c r="J1388" s="17">
        <f t="shared" si="42"/>
        <v>26268</v>
      </c>
      <c r="K1388">
        <f t="shared" ca="1" si="43"/>
        <v>53</v>
      </c>
    </row>
    <row r="1389" spans="1:11" ht="15.75" customHeight="1">
      <c r="A1389" t="s">
        <v>1905</v>
      </c>
      <c r="B1389">
        <v>1973</v>
      </c>
      <c r="C1389" t="s">
        <v>4708</v>
      </c>
      <c r="D1389">
        <v>23</v>
      </c>
      <c r="E1389">
        <v>5</v>
      </c>
      <c r="F1389" s="16">
        <v>11552.9</v>
      </c>
      <c r="G1389" t="s">
        <v>4700</v>
      </c>
      <c r="H1389" t="s">
        <v>4699</v>
      </c>
      <c r="I1389" t="s">
        <v>4718</v>
      </c>
      <c r="J1389" s="17">
        <f t="shared" si="42"/>
        <v>26868</v>
      </c>
      <c r="K1389">
        <f t="shared" ca="1" si="43"/>
        <v>52</v>
      </c>
    </row>
    <row r="1390" spans="1:11" ht="15.75" customHeight="1">
      <c r="A1390" t="s">
        <v>1903</v>
      </c>
      <c r="B1390">
        <v>1965</v>
      </c>
      <c r="C1390" t="s">
        <v>4717</v>
      </c>
      <c r="D1390">
        <v>27</v>
      </c>
      <c r="E1390">
        <v>1</v>
      </c>
      <c r="F1390" s="16">
        <v>11554.22</v>
      </c>
      <c r="G1390" t="s">
        <v>4700</v>
      </c>
      <c r="H1390" t="s">
        <v>4698</v>
      </c>
      <c r="I1390" t="s">
        <v>4709</v>
      </c>
      <c r="J1390" s="17">
        <f t="shared" si="42"/>
        <v>24042</v>
      </c>
      <c r="K1390">
        <f t="shared" ca="1" si="43"/>
        <v>60</v>
      </c>
    </row>
    <row r="1391" spans="1:11" ht="15.75" customHeight="1">
      <c r="A1391" t="s">
        <v>1901</v>
      </c>
      <c r="B1391">
        <v>1965</v>
      </c>
      <c r="C1391" t="s">
        <v>4714</v>
      </c>
      <c r="D1391">
        <v>25</v>
      </c>
      <c r="E1391">
        <v>0</v>
      </c>
      <c r="F1391" s="16">
        <v>11566.3</v>
      </c>
      <c r="G1391" t="s">
        <v>4700</v>
      </c>
      <c r="H1391" t="s">
        <v>4700</v>
      </c>
      <c r="I1391" t="s">
        <v>4721</v>
      </c>
      <c r="J1391" s="17">
        <f t="shared" si="42"/>
        <v>24101</v>
      </c>
      <c r="K1391">
        <f t="shared" ca="1" si="43"/>
        <v>59</v>
      </c>
    </row>
    <row r="1392" spans="1:11" ht="15.75" customHeight="1">
      <c r="A1392" t="s">
        <v>1899</v>
      </c>
      <c r="B1392">
        <v>1965</v>
      </c>
      <c r="C1392" t="s">
        <v>4710</v>
      </c>
      <c r="D1392">
        <v>6</v>
      </c>
      <c r="E1392">
        <v>1</v>
      </c>
      <c r="F1392" s="16">
        <v>11576.13</v>
      </c>
      <c r="G1392" t="s">
        <v>4700</v>
      </c>
      <c r="H1392" t="s">
        <v>4700</v>
      </c>
      <c r="I1392" t="s">
        <v>4718</v>
      </c>
      <c r="J1392" s="17">
        <f t="shared" si="42"/>
        <v>24052</v>
      </c>
      <c r="K1392">
        <f t="shared" ca="1" si="43"/>
        <v>60</v>
      </c>
    </row>
    <row r="1393" spans="1:11" ht="15.75" customHeight="1">
      <c r="A1393" t="s">
        <v>1897</v>
      </c>
      <c r="B1393">
        <v>1964</v>
      </c>
      <c r="C1393" t="s">
        <v>4711</v>
      </c>
      <c r="D1393">
        <v>20</v>
      </c>
      <c r="E1393">
        <v>0</v>
      </c>
      <c r="F1393" s="16">
        <v>11602.75</v>
      </c>
      <c r="G1393" t="s">
        <v>4700</v>
      </c>
      <c r="H1393" t="s">
        <v>4698</v>
      </c>
      <c r="I1393" t="s">
        <v>4729</v>
      </c>
      <c r="J1393" s="17">
        <f t="shared" si="42"/>
        <v>23548</v>
      </c>
      <c r="K1393">
        <f t="shared" ca="1" si="43"/>
        <v>61</v>
      </c>
    </row>
    <row r="1394" spans="1:11" ht="15.75" customHeight="1">
      <c r="A1394" t="s">
        <v>1895</v>
      </c>
      <c r="B1394">
        <v>1986</v>
      </c>
      <c r="C1394" t="s">
        <v>4708</v>
      </c>
      <c r="D1394">
        <v>17</v>
      </c>
      <c r="E1394">
        <v>3</v>
      </c>
      <c r="F1394" s="16">
        <v>11625.11</v>
      </c>
      <c r="G1394" t="s">
        <v>4700</v>
      </c>
      <c r="H1394" t="s">
        <v>4700</v>
      </c>
      <c r="I1394" t="s">
        <v>4731</v>
      </c>
      <c r="J1394" s="17">
        <f t="shared" si="42"/>
        <v>31610</v>
      </c>
      <c r="K1394">
        <f t="shared" ca="1" si="43"/>
        <v>39</v>
      </c>
    </row>
    <row r="1395" spans="1:11" ht="15.75" customHeight="1">
      <c r="A1395" t="s">
        <v>1893</v>
      </c>
      <c r="B1395">
        <v>1966</v>
      </c>
      <c r="C1395" t="s">
        <v>4717</v>
      </c>
      <c r="D1395">
        <v>4</v>
      </c>
      <c r="E1395">
        <v>0</v>
      </c>
      <c r="F1395" s="16">
        <v>11657.72</v>
      </c>
      <c r="G1395" t="s">
        <v>4700</v>
      </c>
      <c r="H1395" t="s">
        <v>4699</v>
      </c>
      <c r="I1395" t="s">
        <v>4724</v>
      </c>
      <c r="J1395" s="17">
        <f t="shared" si="42"/>
        <v>24384</v>
      </c>
      <c r="K1395">
        <f t="shared" ca="1" si="43"/>
        <v>59</v>
      </c>
    </row>
    <row r="1396" spans="1:11" ht="15.75" customHeight="1">
      <c r="A1396" t="s">
        <v>1891</v>
      </c>
      <c r="B1396">
        <v>1994</v>
      </c>
      <c r="C1396" t="s">
        <v>4708</v>
      </c>
      <c r="D1396">
        <v>20</v>
      </c>
      <c r="E1396">
        <v>0</v>
      </c>
      <c r="F1396" s="16">
        <v>11657.81</v>
      </c>
      <c r="G1396" t="s">
        <v>4700</v>
      </c>
      <c r="H1396" t="s">
        <v>4699</v>
      </c>
      <c r="I1396" t="s">
        <v>4725</v>
      </c>
      <c r="J1396" s="17">
        <f t="shared" si="42"/>
        <v>34535</v>
      </c>
      <c r="K1396">
        <f t="shared" ca="1" si="43"/>
        <v>31</v>
      </c>
    </row>
    <row r="1397" spans="1:11" ht="15.75" customHeight="1">
      <c r="A1397" t="s">
        <v>1889</v>
      </c>
      <c r="B1397">
        <v>1966</v>
      </c>
      <c r="C1397" t="s">
        <v>4708</v>
      </c>
      <c r="D1397">
        <v>6</v>
      </c>
      <c r="E1397">
        <v>0</v>
      </c>
      <c r="F1397" s="16">
        <v>11658.12</v>
      </c>
      <c r="G1397" t="s">
        <v>4700</v>
      </c>
      <c r="H1397" t="s">
        <v>4698</v>
      </c>
      <c r="I1397" t="s">
        <v>4724</v>
      </c>
      <c r="J1397" s="17">
        <f t="shared" si="42"/>
        <v>24294</v>
      </c>
      <c r="K1397">
        <f t="shared" ca="1" si="43"/>
        <v>59</v>
      </c>
    </row>
    <row r="1398" spans="1:11" ht="15.75" customHeight="1">
      <c r="A1398" t="s">
        <v>1887</v>
      </c>
      <c r="B1398">
        <v>1966</v>
      </c>
      <c r="C1398" t="s">
        <v>4716</v>
      </c>
      <c r="D1398">
        <v>23</v>
      </c>
      <c r="E1398">
        <v>0</v>
      </c>
      <c r="F1398" s="16">
        <v>11658.38</v>
      </c>
      <c r="G1398" t="s">
        <v>4700</v>
      </c>
      <c r="H1398" t="s">
        <v>4700</v>
      </c>
      <c r="I1398" t="s">
        <v>4724</v>
      </c>
      <c r="J1398" s="17">
        <f t="shared" si="42"/>
        <v>24342</v>
      </c>
      <c r="K1398">
        <f t="shared" ca="1" si="43"/>
        <v>59</v>
      </c>
    </row>
    <row r="1399" spans="1:11" ht="15.75" customHeight="1">
      <c r="A1399" t="s">
        <v>1885</v>
      </c>
      <c r="B1399">
        <v>1966</v>
      </c>
      <c r="C1399" t="s">
        <v>4710</v>
      </c>
      <c r="D1399">
        <v>9</v>
      </c>
      <c r="E1399">
        <v>1</v>
      </c>
      <c r="F1399" s="16">
        <v>11674.13</v>
      </c>
      <c r="G1399" t="s">
        <v>4700</v>
      </c>
      <c r="H1399" t="s">
        <v>4698</v>
      </c>
      <c r="I1399" t="s">
        <v>4718</v>
      </c>
      <c r="J1399" s="17">
        <f t="shared" si="42"/>
        <v>24420</v>
      </c>
      <c r="K1399">
        <f t="shared" ca="1" si="43"/>
        <v>59</v>
      </c>
    </row>
    <row r="1400" spans="1:11" ht="15.75" customHeight="1">
      <c r="A1400" t="s">
        <v>1883</v>
      </c>
      <c r="B1400">
        <v>1970</v>
      </c>
      <c r="C1400" t="s">
        <v>4714</v>
      </c>
      <c r="D1400">
        <v>1</v>
      </c>
      <c r="E1400">
        <v>0</v>
      </c>
      <c r="F1400" s="16">
        <v>11696.52</v>
      </c>
      <c r="G1400" t="s">
        <v>4700</v>
      </c>
      <c r="H1400" t="s">
        <v>4698</v>
      </c>
      <c r="I1400" t="s">
        <v>4727</v>
      </c>
      <c r="J1400" s="17">
        <f t="shared" si="42"/>
        <v>25903</v>
      </c>
      <c r="K1400">
        <f t="shared" ca="1" si="43"/>
        <v>54</v>
      </c>
    </row>
    <row r="1401" spans="1:11" ht="15.75" customHeight="1">
      <c r="A1401" t="s">
        <v>1881</v>
      </c>
      <c r="B1401">
        <v>1982</v>
      </c>
      <c r="C1401" t="s">
        <v>4717</v>
      </c>
      <c r="D1401">
        <v>21</v>
      </c>
      <c r="E1401">
        <v>3</v>
      </c>
      <c r="F1401" s="16">
        <v>11712.97</v>
      </c>
      <c r="G1401" t="s">
        <v>4700</v>
      </c>
      <c r="H1401" t="s">
        <v>4699</v>
      </c>
      <c r="I1401" t="s">
        <v>4727</v>
      </c>
      <c r="J1401" s="17">
        <f t="shared" si="42"/>
        <v>30245</v>
      </c>
      <c r="K1401">
        <f t="shared" ca="1" si="43"/>
        <v>43</v>
      </c>
    </row>
    <row r="1402" spans="1:11" ht="15.75" customHeight="1">
      <c r="A1402" t="s">
        <v>1879</v>
      </c>
      <c r="B1402">
        <v>1969</v>
      </c>
      <c r="C1402" t="s">
        <v>4717</v>
      </c>
      <c r="D1402">
        <v>12</v>
      </c>
      <c r="E1402">
        <v>2</v>
      </c>
      <c r="F1402" s="16">
        <v>11729.68</v>
      </c>
      <c r="G1402" t="s">
        <v>4700</v>
      </c>
      <c r="H1402" t="s">
        <v>4698</v>
      </c>
      <c r="I1402" t="s">
        <v>4724</v>
      </c>
      <c r="J1402" s="17">
        <f t="shared" si="42"/>
        <v>25488</v>
      </c>
      <c r="K1402">
        <f t="shared" ca="1" si="43"/>
        <v>56</v>
      </c>
    </row>
    <row r="1403" spans="1:11" ht="15.75" customHeight="1">
      <c r="A1403" t="s">
        <v>1877</v>
      </c>
      <c r="B1403">
        <v>1984</v>
      </c>
      <c r="C1403" t="s">
        <v>4710</v>
      </c>
      <c r="D1403">
        <v>26</v>
      </c>
      <c r="E1403">
        <v>3</v>
      </c>
      <c r="F1403" s="16">
        <v>11730.82</v>
      </c>
      <c r="G1403" t="s">
        <v>4700</v>
      </c>
      <c r="H1403" t="s">
        <v>4700</v>
      </c>
      <c r="I1403" t="s">
        <v>4730</v>
      </c>
      <c r="J1403" s="17">
        <f t="shared" si="42"/>
        <v>31012</v>
      </c>
      <c r="K1403">
        <f t="shared" ca="1" si="43"/>
        <v>41</v>
      </c>
    </row>
    <row r="1404" spans="1:11" ht="15.75" customHeight="1">
      <c r="A1404" t="s">
        <v>1875</v>
      </c>
      <c r="B1404">
        <v>1964</v>
      </c>
      <c r="C1404" t="s">
        <v>4710</v>
      </c>
      <c r="D1404">
        <v>9</v>
      </c>
      <c r="E1404">
        <v>0</v>
      </c>
      <c r="F1404" s="16">
        <v>11735.88</v>
      </c>
      <c r="G1404" t="s">
        <v>4700</v>
      </c>
      <c r="H1404" t="s">
        <v>4698</v>
      </c>
      <c r="I1404" t="s">
        <v>4713</v>
      </c>
      <c r="J1404" s="17">
        <f t="shared" si="42"/>
        <v>23690</v>
      </c>
      <c r="K1404">
        <f t="shared" ca="1" si="43"/>
        <v>61</v>
      </c>
    </row>
    <row r="1405" spans="1:11" ht="15.75" customHeight="1">
      <c r="A1405" t="s">
        <v>1873</v>
      </c>
      <c r="B1405">
        <v>1988</v>
      </c>
      <c r="C1405" t="s">
        <v>4712</v>
      </c>
      <c r="D1405">
        <v>5</v>
      </c>
      <c r="E1405">
        <v>2</v>
      </c>
      <c r="F1405" s="16">
        <v>11737.85</v>
      </c>
      <c r="G1405" t="s">
        <v>4700</v>
      </c>
      <c r="H1405" t="s">
        <v>4698</v>
      </c>
      <c r="I1405" t="s">
        <v>4718</v>
      </c>
      <c r="J1405" s="17">
        <f t="shared" si="42"/>
        <v>32391</v>
      </c>
      <c r="K1405">
        <f t="shared" ca="1" si="43"/>
        <v>37</v>
      </c>
    </row>
    <row r="1406" spans="1:11" ht="15.75" customHeight="1">
      <c r="A1406" t="s">
        <v>1871</v>
      </c>
      <c r="B1406">
        <v>1969</v>
      </c>
      <c r="C1406" t="s">
        <v>4710</v>
      </c>
      <c r="D1406">
        <v>12</v>
      </c>
      <c r="E1406">
        <v>3</v>
      </c>
      <c r="F1406" s="16">
        <v>11741.73</v>
      </c>
      <c r="G1406" t="s">
        <v>4700</v>
      </c>
      <c r="H1406" t="s">
        <v>4698</v>
      </c>
      <c r="I1406" t="s">
        <v>4718</v>
      </c>
      <c r="J1406" s="17">
        <f t="shared" si="42"/>
        <v>25519</v>
      </c>
      <c r="K1406">
        <f t="shared" ca="1" si="43"/>
        <v>56</v>
      </c>
    </row>
    <row r="1407" spans="1:11" ht="15.75" customHeight="1">
      <c r="A1407" t="s">
        <v>1869</v>
      </c>
      <c r="B1407">
        <v>1963</v>
      </c>
      <c r="C1407" t="s">
        <v>4711</v>
      </c>
      <c r="D1407">
        <v>9</v>
      </c>
      <c r="E1407">
        <v>0</v>
      </c>
      <c r="F1407" s="16">
        <v>11743.3</v>
      </c>
      <c r="G1407" t="s">
        <v>4700</v>
      </c>
      <c r="H1407" t="s">
        <v>4700</v>
      </c>
      <c r="I1407" t="s">
        <v>4709</v>
      </c>
      <c r="J1407" s="17">
        <f t="shared" si="42"/>
        <v>23171</v>
      </c>
      <c r="K1407">
        <f t="shared" ca="1" si="43"/>
        <v>62</v>
      </c>
    </row>
    <row r="1408" spans="1:11" ht="15.75" customHeight="1">
      <c r="A1408" t="s">
        <v>1867</v>
      </c>
      <c r="B1408">
        <v>1964</v>
      </c>
      <c r="C1408" t="s">
        <v>4714</v>
      </c>
      <c r="D1408">
        <v>2</v>
      </c>
      <c r="E1408">
        <v>0</v>
      </c>
      <c r="F1408" s="16">
        <v>11743.93</v>
      </c>
      <c r="G1408" t="s">
        <v>4700</v>
      </c>
      <c r="H1408" t="s">
        <v>4698</v>
      </c>
      <c r="I1408" t="s">
        <v>4713</v>
      </c>
      <c r="J1408" s="17">
        <f t="shared" si="42"/>
        <v>23713</v>
      </c>
      <c r="K1408">
        <f t="shared" ca="1" si="43"/>
        <v>60</v>
      </c>
    </row>
    <row r="1409" spans="1:11" ht="15.75" customHeight="1">
      <c r="A1409" t="s">
        <v>1865</v>
      </c>
      <c r="B1409">
        <v>1979</v>
      </c>
      <c r="C1409" t="s">
        <v>4710</v>
      </c>
      <c r="D1409">
        <v>6</v>
      </c>
      <c r="E1409">
        <v>2</v>
      </c>
      <c r="F1409" s="16">
        <v>11752.68</v>
      </c>
      <c r="G1409" t="s">
        <v>4700</v>
      </c>
      <c r="H1409" t="s">
        <v>4698</v>
      </c>
      <c r="I1409" t="s">
        <v>4730</v>
      </c>
      <c r="J1409" s="17">
        <f t="shared" si="42"/>
        <v>29165</v>
      </c>
      <c r="K1409">
        <f t="shared" ca="1" si="43"/>
        <v>46</v>
      </c>
    </row>
    <row r="1410" spans="1:11" ht="15.75" customHeight="1">
      <c r="A1410" t="s">
        <v>1863</v>
      </c>
      <c r="B1410">
        <v>1966</v>
      </c>
      <c r="C1410" t="s">
        <v>4708</v>
      </c>
      <c r="D1410">
        <v>25</v>
      </c>
      <c r="E1410">
        <v>1</v>
      </c>
      <c r="F1410" s="16">
        <v>11763</v>
      </c>
      <c r="G1410" t="s">
        <v>4700</v>
      </c>
      <c r="H1410" t="s">
        <v>4700</v>
      </c>
      <c r="I1410" t="s">
        <v>4721</v>
      </c>
      <c r="J1410" s="17">
        <f t="shared" si="42"/>
        <v>24313</v>
      </c>
      <c r="K1410">
        <f t="shared" ca="1" si="43"/>
        <v>59</v>
      </c>
    </row>
    <row r="1411" spans="1:11" ht="15.75" customHeight="1">
      <c r="A1411" t="s">
        <v>1861</v>
      </c>
      <c r="B1411">
        <v>1982</v>
      </c>
      <c r="C1411" t="s">
        <v>4710</v>
      </c>
      <c r="D1411">
        <v>20</v>
      </c>
      <c r="E1411">
        <v>3</v>
      </c>
      <c r="F1411" s="16">
        <v>11773.06</v>
      </c>
      <c r="G1411" t="s">
        <v>4700</v>
      </c>
      <c r="H1411" t="s">
        <v>4700</v>
      </c>
      <c r="I1411" t="s">
        <v>4730</v>
      </c>
      <c r="J1411" s="17">
        <f t="shared" ref="J1411:J1474" si="44">DATEVALUE(D1411&amp;"-"&amp;C1411&amp;" -"&amp;B1411)</f>
        <v>30275</v>
      </c>
      <c r="K1411">
        <f t="shared" ref="K1411:K1474" ca="1" si="45">DATEDIF(J1411,TODAY(),"Y")</f>
        <v>43</v>
      </c>
    </row>
    <row r="1412" spans="1:11" ht="15.75" customHeight="1">
      <c r="A1412" t="s">
        <v>1859</v>
      </c>
      <c r="B1412">
        <v>1965</v>
      </c>
      <c r="C1412" t="s">
        <v>4717</v>
      </c>
      <c r="D1412">
        <v>3</v>
      </c>
      <c r="E1412">
        <v>0</v>
      </c>
      <c r="F1412" s="16">
        <v>11830.61</v>
      </c>
      <c r="G1412" t="s">
        <v>4700</v>
      </c>
      <c r="H1412" t="s">
        <v>4698</v>
      </c>
      <c r="I1412" t="s">
        <v>4713</v>
      </c>
      <c r="J1412" s="17">
        <f t="shared" si="44"/>
        <v>24018</v>
      </c>
      <c r="K1412">
        <f t="shared" ca="1" si="45"/>
        <v>60</v>
      </c>
    </row>
    <row r="1413" spans="1:11" ht="15.75" customHeight="1">
      <c r="A1413" t="s">
        <v>1857</v>
      </c>
      <c r="B1413">
        <v>1964</v>
      </c>
      <c r="C1413" t="s">
        <v>4711</v>
      </c>
      <c r="D1413">
        <v>27</v>
      </c>
      <c r="E1413">
        <v>0</v>
      </c>
      <c r="F1413" s="16">
        <v>11833.78</v>
      </c>
      <c r="G1413" t="s">
        <v>4700</v>
      </c>
      <c r="H1413" t="s">
        <v>4700</v>
      </c>
      <c r="I1413" t="s">
        <v>4709</v>
      </c>
      <c r="J1413" s="17">
        <f t="shared" si="44"/>
        <v>23555</v>
      </c>
      <c r="K1413">
        <f t="shared" ca="1" si="45"/>
        <v>61</v>
      </c>
    </row>
    <row r="1414" spans="1:11" ht="15.75" customHeight="1">
      <c r="A1414" t="s">
        <v>1855</v>
      </c>
      <c r="B1414">
        <v>1964</v>
      </c>
      <c r="C1414" t="s">
        <v>4712</v>
      </c>
      <c r="D1414">
        <v>11</v>
      </c>
      <c r="E1414">
        <v>0</v>
      </c>
      <c r="F1414" s="16">
        <v>11837.16</v>
      </c>
      <c r="G1414" t="s">
        <v>4700</v>
      </c>
      <c r="H1414" t="s">
        <v>4700</v>
      </c>
      <c r="I1414" t="s">
        <v>4718</v>
      </c>
      <c r="J1414" s="17">
        <f t="shared" si="44"/>
        <v>23631</v>
      </c>
      <c r="K1414">
        <f t="shared" ca="1" si="45"/>
        <v>61</v>
      </c>
    </row>
    <row r="1415" spans="1:11" ht="15.75" customHeight="1">
      <c r="A1415" t="s">
        <v>1853</v>
      </c>
      <c r="B1415">
        <v>1965</v>
      </c>
      <c r="C1415" t="s">
        <v>4712</v>
      </c>
      <c r="D1415">
        <v>25</v>
      </c>
      <c r="E1415">
        <v>0</v>
      </c>
      <c r="F1415" s="16">
        <v>11840.78</v>
      </c>
      <c r="G1415" t="s">
        <v>4700</v>
      </c>
      <c r="H1415" t="s">
        <v>4699</v>
      </c>
      <c r="I1415" t="s">
        <v>4713</v>
      </c>
      <c r="J1415" s="17">
        <f t="shared" si="44"/>
        <v>24010</v>
      </c>
      <c r="K1415">
        <f t="shared" ca="1" si="45"/>
        <v>60</v>
      </c>
    </row>
    <row r="1416" spans="1:11" ht="15.75" customHeight="1">
      <c r="A1416" t="s">
        <v>1851</v>
      </c>
      <c r="B1416">
        <v>1964</v>
      </c>
      <c r="C1416" t="s">
        <v>4708</v>
      </c>
      <c r="D1416">
        <v>11</v>
      </c>
      <c r="E1416">
        <v>0</v>
      </c>
      <c r="F1416" s="16">
        <v>11842.44</v>
      </c>
      <c r="G1416" t="s">
        <v>4700</v>
      </c>
      <c r="H1416" t="s">
        <v>4699</v>
      </c>
      <c r="I1416" t="s">
        <v>4718</v>
      </c>
      <c r="J1416" s="17">
        <f t="shared" si="44"/>
        <v>23569</v>
      </c>
      <c r="K1416">
        <f t="shared" ca="1" si="45"/>
        <v>61</v>
      </c>
    </row>
    <row r="1417" spans="1:11" ht="15.75" customHeight="1">
      <c r="A1417" t="s">
        <v>1849</v>
      </c>
      <c r="B1417">
        <v>1965</v>
      </c>
      <c r="C1417" t="s">
        <v>4710</v>
      </c>
      <c r="D1417">
        <v>10</v>
      </c>
      <c r="E1417">
        <v>0</v>
      </c>
      <c r="F1417" s="16">
        <v>11842.62</v>
      </c>
      <c r="G1417" t="s">
        <v>4700</v>
      </c>
      <c r="H1417" t="s">
        <v>4700</v>
      </c>
      <c r="I1417" t="s">
        <v>4713</v>
      </c>
      <c r="J1417" s="17">
        <f t="shared" si="44"/>
        <v>24056</v>
      </c>
      <c r="K1417">
        <f t="shared" ca="1" si="45"/>
        <v>60</v>
      </c>
    </row>
    <row r="1418" spans="1:11" ht="15.75" customHeight="1">
      <c r="A1418" t="s">
        <v>1847</v>
      </c>
      <c r="B1418">
        <v>1964</v>
      </c>
      <c r="C1418" t="s">
        <v>4711</v>
      </c>
      <c r="D1418">
        <v>27</v>
      </c>
      <c r="E1418">
        <v>0</v>
      </c>
      <c r="F1418" s="16">
        <v>11848.14</v>
      </c>
      <c r="G1418" t="s">
        <v>4700</v>
      </c>
      <c r="H1418" t="s">
        <v>4699</v>
      </c>
      <c r="I1418" t="s">
        <v>4718</v>
      </c>
      <c r="J1418" s="17">
        <f t="shared" si="44"/>
        <v>23555</v>
      </c>
      <c r="K1418">
        <f t="shared" ca="1" si="45"/>
        <v>61</v>
      </c>
    </row>
    <row r="1419" spans="1:11" ht="15.75" customHeight="1">
      <c r="A1419" t="s">
        <v>1845</v>
      </c>
      <c r="B1419">
        <v>1964</v>
      </c>
      <c r="C1419" t="s">
        <v>4712</v>
      </c>
      <c r="D1419">
        <v>29</v>
      </c>
      <c r="E1419">
        <v>0</v>
      </c>
      <c r="F1419" s="16">
        <v>11856.41</v>
      </c>
      <c r="G1419" t="s">
        <v>4700</v>
      </c>
      <c r="H1419" t="s">
        <v>4699</v>
      </c>
      <c r="I1419" t="s">
        <v>4709</v>
      </c>
      <c r="J1419" s="17">
        <f t="shared" si="44"/>
        <v>23649</v>
      </c>
      <c r="K1419">
        <f t="shared" ca="1" si="45"/>
        <v>61</v>
      </c>
    </row>
    <row r="1420" spans="1:11" ht="15.75" customHeight="1">
      <c r="A1420" t="s">
        <v>1843</v>
      </c>
      <c r="B1420">
        <v>1974</v>
      </c>
      <c r="C1420" t="s">
        <v>4708</v>
      </c>
      <c r="D1420">
        <v>7</v>
      </c>
      <c r="E1420">
        <v>0</v>
      </c>
      <c r="F1420" s="16">
        <v>11858.56</v>
      </c>
      <c r="G1420" t="s">
        <v>4700</v>
      </c>
      <c r="H1420" t="s">
        <v>4700</v>
      </c>
      <c r="I1420" t="s">
        <v>4718</v>
      </c>
      <c r="J1420" s="17">
        <f t="shared" si="44"/>
        <v>27217</v>
      </c>
      <c r="K1420">
        <f t="shared" ca="1" si="45"/>
        <v>51</v>
      </c>
    </row>
    <row r="1421" spans="1:11" ht="15.75" customHeight="1">
      <c r="A1421" t="s">
        <v>1841</v>
      </c>
      <c r="B1421">
        <v>1967</v>
      </c>
      <c r="C1421" t="s">
        <v>4716</v>
      </c>
      <c r="D1421">
        <v>24</v>
      </c>
      <c r="E1421">
        <v>1</v>
      </c>
      <c r="F1421" s="16">
        <v>11879.1</v>
      </c>
      <c r="G1421" t="s">
        <v>4700</v>
      </c>
      <c r="H1421" t="s">
        <v>4700</v>
      </c>
      <c r="I1421" t="s">
        <v>4724</v>
      </c>
      <c r="J1421" s="17">
        <f t="shared" si="44"/>
        <v>24708</v>
      </c>
      <c r="K1421">
        <f t="shared" ca="1" si="45"/>
        <v>58</v>
      </c>
    </row>
    <row r="1422" spans="1:11" ht="15.75" customHeight="1">
      <c r="A1422" t="s">
        <v>1839</v>
      </c>
      <c r="B1422">
        <v>1967</v>
      </c>
      <c r="C1422" t="s">
        <v>4708</v>
      </c>
      <c r="D1422">
        <v>14</v>
      </c>
      <c r="E1422">
        <v>2</v>
      </c>
      <c r="F1422" s="16">
        <v>11881.36</v>
      </c>
      <c r="G1422" t="s">
        <v>4700</v>
      </c>
      <c r="H1422" t="s">
        <v>4699</v>
      </c>
      <c r="I1422" t="s">
        <v>4718</v>
      </c>
      <c r="J1422" s="17">
        <f t="shared" si="44"/>
        <v>24667</v>
      </c>
      <c r="K1422">
        <f t="shared" ca="1" si="45"/>
        <v>58</v>
      </c>
    </row>
    <row r="1423" spans="1:11" ht="15.75" customHeight="1">
      <c r="A1423" t="s">
        <v>1837</v>
      </c>
      <c r="B1423">
        <v>1967</v>
      </c>
      <c r="C1423" t="s">
        <v>4717</v>
      </c>
      <c r="D1423">
        <v>29</v>
      </c>
      <c r="E1423">
        <v>2</v>
      </c>
      <c r="F1423" s="16">
        <v>11881.97</v>
      </c>
      <c r="G1423" t="s">
        <v>4700</v>
      </c>
      <c r="H1423" t="s">
        <v>4698</v>
      </c>
      <c r="I1423" t="s">
        <v>4709</v>
      </c>
      <c r="J1423" s="17">
        <f t="shared" si="44"/>
        <v>24774</v>
      </c>
      <c r="K1423">
        <f t="shared" ca="1" si="45"/>
        <v>58</v>
      </c>
    </row>
    <row r="1424" spans="1:11" ht="15.75" customHeight="1">
      <c r="A1424" t="s">
        <v>1835</v>
      </c>
      <c r="B1424">
        <v>2004</v>
      </c>
      <c r="C1424" t="s">
        <v>4711</v>
      </c>
      <c r="D1424">
        <v>2</v>
      </c>
      <c r="E1424">
        <v>2</v>
      </c>
      <c r="F1424" s="16">
        <v>11884.05</v>
      </c>
      <c r="G1424" t="s">
        <v>4700</v>
      </c>
      <c r="H1424" t="s">
        <v>4700</v>
      </c>
      <c r="I1424" t="s">
        <v>4709</v>
      </c>
      <c r="J1424" s="17">
        <f t="shared" si="44"/>
        <v>38140</v>
      </c>
      <c r="K1424">
        <f t="shared" ca="1" si="45"/>
        <v>21</v>
      </c>
    </row>
    <row r="1425" spans="1:11" ht="15.75" customHeight="1">
      <c r="A1425" t="s">
        <v>1833</v>
      </c>
      <c r="B1425">
        <v>1964</v>
      </c>
      <c r="C1425" t="s">
        <v>4710</v>
      </c>
      <c r="D1425">
        <v>19</v>
      </c>
      <c r="E1425">
        <v>0</v>
      </c>
      <c r="F1425" s="16">
        <v>11918.2</v>
      </c>
      <c r="G1425" t="s">
        <v>4700</v>
      </c>
      <c r="H1425" t="s">
        <v>4698</v>
      </c>
      <c r="I1425" t="s">
        <v>4727</v>
      </c>
      <c r="J1425" s="17">
        <f t="shared" si="44"/>
        <v>23700</v>
      </c>
      <c r="K1425">
        <f t="shared" ca="1" si="45"/>
        <v>61</v>
      </c>
    </row>
    <row r="1426" spans="1:11" ht="15.75" customHeight="1">
      <c r="A1426" t="s">
        <v>1831</v>
      </c>
      <c r="B1426">
        <v>1964</v>
      </c>
      <c r="C1426" t="s">
        <v>4714</v>
      </c>
      <c r="D1426">
        <v>20</v>
      </c>
      <c r="E1426">
        <v>0</v>
      </c>
      <c r="F1426" s="16">
        <v>11931.13</v>
      </c>
      <c r="G1426" t="s">
        <v>4700</v>
      </c>
      <c r="H1426" t="s">
        <v>4698</v>
      </c>
      <c r="I1426" t="s">
        <v>4720</v>
      </c>
      <c r="J1426" s="17">
        <f t="shared" si="44"/>
        <v>23731</v>
      </c>
      <c r="K1426">
        <f t="shared" ca="1" si="45"/>
        <v>60</v>
      </c>
    </row>
    <row r="1427" spans="1:11" ht="15.75" customHeight="1">
      <c r="A1427" t="s">
        <v>1829</v>
      </c>
      <c r="B1427">
        <v>1964</v>
      </c>
      <c r="C1427" t="s">
        <v>4716</v>
      </c>
      <c r="D1427">
        <v>2</v>
      </c>
      <c r="E1427">
        <v>0</v>
      </c>
      <c r="F1427" s="16">
        <v>11938.26</v>
      </c>
      <c r="G1427" t="s">
        <v>4700</v>
      </c>
      <c r="H1427" t="s">
        <v>4700</v>
      </c>
      <c r="I1427" t="s">
        <v>4720</v>
      </c>
      <c r="J1427" s="17">
        <f t="shared" si="44"/>
        <v>23591</v>
      </c>
      <c r="K1427">
        <f t="shared" ca="1" si="45"/>
        <v>61</v>
      </c>
    </row>
    <row r="1428" spans="1:11" ht="15.75" customHeight="1">
      <c r="A1428" t="s">
        <v>1827</v>
      </c>
      <c r="B1428">
        <v>1991</v>
      </c>
      <c r="C1428" t="s">
        <v>4717</v>
      </c>
      <c r="D1428">
        <v>19</v>
      </c>
      <c r="E1428">
        <v>3</v>
      </c>
      <c r="F1428" s="16">
        <v>11941.83</v>
      </c>
      <c r="G1428" t="s">
        <v>4700</v>
      </c>
      <c r="H1428" t="s">
        <v>4698</v>
      </c>
      <c r="I1428" t="s">
        <v>4725</v>
      </c>
      <c r="J1428" s="17">
        <f t="shared" si="44"/>
        <v>33530</v>
      </c>
      <c r="K1428">
        <f t="shared" ca="1" si="45"/>
        <v>34</v>
      </c>
    </row>
    <row r="1429" spans="1:11" ht="15.75" customHeight="1">
      <c r="A1429" t="s">
        <v>1825</v>
      </c>
      <c r="B1429">
        <v>1964</v>
      </c>
      <c r="C1429" t="s">
        <v>4714</v>
      </c>
      <c r="D1429">
        <v>25</v>
      </c>
      <c r="E1429">
        <v>0</v>
      </c>
      <c r="F1429" s="16">
        <v>11944.59</v>
      </c>
      <c r="G1429" t="s">
        <v>4700</v>
      </c>
      <c r="H1429" t="s">
        <v>4699</v>
      </c>
      <c r="I1429" t="s">
        <v>4721</v>
      </c>
      <c r="J1429" s="17">
        <f t="shared" si="44"/>
        <v>23736</v>
      </c>
      <c r="K1429">
        <f t="shared" ca="1" si="45"/>
        <v>60</v>
      </c>
    </row>
    <row r="1430" spans="1:11" ht="15.75" customHeight="1">
      <c r="A1430" t="s">
        <v>1823</v>
      </c>
      <c r="B1430">
        <v>1965</v>
      </c>
      <c r="C1430" t="s">
        <v>4710</v>
      </c>
      <c r="D1430">
        <v>1</v>
      </c>
      <c r="E1430">
        <v>1</v>
      </c>
      <c r="F1430" s="16">
        <v>11945.13</v>
      </c>
      <c r="G1430" t="s">
        <v>4700</v>
      </c>
      <c r="H1430" t="s">
        <v>4699</v>
      </c>
      <c r="I1430" t="s">
        <v>4713</v>
      </c>
      <c r="J1430" s="17">
        <f t="shared" si="44"/>
        <v>24047</v>
      </c>
      <c r="K1430">
        <f t="shared" ca="1" si="45"/>
        <v>60</v>
      </c>
    </row>
    <row r="1431" spans="1:11" ht="15.75" customHeight="1">
      <c r="A1431" t="s">
        <v>1821</v>
      </c>
      <c r="B1431">
        <v>1964</v>
      </c>
      <c r="C1431" t="s">
        <v>4712</v>
      </c>
      <c r="D1431">
        <v>29</v>
      </c>
      <c r="E1431">
        <v>1</v>
      </c>
      <c r="F1431" s="16">
        <v>11946.63</v>
      </c>
      <c r="G1431" t="s">
        <v>4700</v>
      </c>
      <c r="H1431" t="s">
        <v>4699</v>
      </c>
      <c r="I1431" t="s">
        <v>4709</v>
      </c>
      <c r="J1431" s="17">
        <f t="shared" si="44"/>
        <v>23649</v>
      </c>
      <c r="K1431">
        <f t="shared" ca="1" si="45"/>
        <v>61</v>
      </c>
    </row>
    <row r="1432" spans="1:11" ht="15.75" customHeight="1">
      <c r="A1432" t="s">
        <v>1819</v>
      </c>
      <c r="B1432">
        <v>1967</v>
      </c>
      <c r="C1432" t="s">
        <v>4714</v>
      </c>
      <c r="D1432">
        <v>22</v>
      </c>
      <c r="E1432">
        <v>3</v>
      </c>
      <c r="F1432" s="16">
        <v>11987.17</v>
      </c>
      <c r="G1432" t="s">
        <v>4700</v>
      </c>
      <c r="H1432" t="s">
        <v>4700</v>
      </c>
      <c r="I1432" t="s">
        <v>4709</v>
      </c>
      <c r="J1432" s="17">
        <f t="shared" si="44"/>
        <v>24828</v>
      </c>
      <c r="K1432">
        <f t="shared" ca="1" si="45"/>
        <v>57</v>
      </c>
    </row>
    <row r="1433" spans="1:11" ht="15.75" customHeight="1">
      <c r="A1433" t="s">
        <v>1817</v>
      </c>
      <c r="B1433">
        <v>1983</v>
      </c>
      <c r="C1433" t="s">
        <v>4708</v>
      </c>
      <c r="D1433">
        <v>4</v>
      </c>
      <c r="E1433">
        <v>3</v>
      </c>
      <c r="F1433" s="16">
        <v>11987.68</v>
      </c>
      <c r="G1433" t="s">
        <v>4700</v>
      </c>
      <c r="H1433" t="s">
        <v>4699</v>
      </c>
      <c r="I1433" t="s">
        <v>4730</v>
      </c>
      <c r="J1433" s="17">
        <f t="shared" si="44"/>
        <v>30501</v>
      </c>
      <c r="K1433">
        <f t="shared" ca="1" si="45"/>
        <v>42</v>
      </c>
    </row>
    <row r="1434" spans="1:11" ht="15.75" customHeight="1">
      <c r="A1434" t="s">
        <v>1815</v>
      </c>
      <c r="B1434">
        <v>1993</v>
      </c>
      <c r="C1434" t="s">
        <v>4714</v>
      </c>
      <c r="D1434">
        <v>12</v>
      </c>
      <c r="E1434">
        <v>0</v>
      </c>
      <c r="F1434" s="16">
        <v>11994.89</v>
      </c>
      <c r="G1434" t="s">
        <v>4700</v>
      </c>
      <c r="H1434" t="s">
        <v>4699</v>
      </c>
      <c r="I1434" t="s">
        <v>4713</v>
      </c>
      <c r="J1434" s="17">
        <f t="shared" si="44"/>
        <v>34315</v>
      </c>
      <c r="K1434">
        <f t="shared" ca="1" si="45"/>
        <v>31</v>
      </c>
    </row>
    <row r="1435" spans="1:11" ht="15.75" customHeight="1">
      <c r="A1435" t="s">
        <v>1813</v>
      </c>
      <c r="B1435">
        <v>1982</v>
      </c>
      <c r="C1435" t="s">
        <v>4717</v>
      </c>
      <c r="D1435">
        <v>17</v>
      </c>
      <c r="E1435">
        <v>3</v>
      </c>
      <c r="F1435" s="16">
        <v>12001.29</v>
      </c>
      <c r="G1435" t="s">
        <v>4700</v>
      </c>
      <c r="H1435" t="s">
        <v>4700</v>
      </c>
      <c r="I1435" t="s">
        <v>4727</v>
      </c>
      <c r="J1435" s="17">
        <f t="shared" si="44"/>
        <v>30241</v>
      </c>
      <c r="K1435">
        <f t="shared" ca="1" si="45"/>
        <v>43</v>
      </c>
    </row>
    <row r="1436" spans="1:11" ht="15.75" customHeight="1">
      <c r="A1436" t="s">
        <v>1811</v>
      </c>
      <c r="B1436">
        <v>1965</v>
      </c>
      <c r="C1436" t="s">
        <v>4711</v>
      </c>
      <c r="D1436">
        <v>9</v>
      </c>
      <c r="E1436">
        <v>0</v>
      </c>
      <c r="F1436" s="16">
        <v>12029.29</v>
      </c>
      <c r="G1436" t="s">
        <v>4700</v>
      </c>
      <c r="H1436" t="s">
        <v>4699</v>
      </c>
      <c r="I1436" t="s">
        <v>4724</v>
      </c>
      <c r="J1436" s="17">
        <f t="shared" si="44"/>
        <v>23902</v>
      </c>
      <c r="K1436">
        <f t="shared" ca="1" si="45"/>
        <v>60</v>
      </c>
    </row>
    <row r="1437" spans="1:11" ht="15.75" customHeight="1">
      <c r="A1437" t="s">
        <v>1809</v>
      </c>
      <c r="B1437">
        <v>1965</v>
      </c>
      <c r="C1437" t="s">
        <v>4717</v>
      </c>
      <c r="D1437">
        <v>29</v>
      </c>
      <c r="E1437">
        <v>1</v>
      </c>
      <c r="F1437" s="16">
        <v>12032.33</v>
      </c>
      <c r="G1437" t="s">
        <v>4700</v>
      </c>
      <c r="H1437" t="s">
        <v>4698</v>
      </c>
      <c r="I1437" t="s">
        <v>4718</v>
      </c>
      <c r="J1437" s="17">
        <f t="shared" si="44"/>
        <v>24044</v>
      </c>
      <c r="K1437">
        <f t="shared" ca="1" si="45"/>
        <v>60</v>
      </c>
    </row>
    <row r="1438" spans="1:11" ht="15.75" customHeight="1">
      <c r="A1438" t="s">
        <v>1807</v>
      </c>
      <c r="B1438">
        <v>1979</v>
      </c>
      <c r="C1438" t="s">
        <v>4717</v>
      </c>
      <c r="D1438">
        <v>16</v>
      </c>
      <c r="E1438">
        <v>2</v>
      </c>
      <c r="F1438" s="16">
        <v>12035.18</v>
      </c>
      <c r="G1438" t="s">
        <v>4700</v>
      </c>
      <c r="H1438" t="s">
        <v>4700</v>
      </c>
      <c r="I1438" t="s">
        <v>4727</v>
      </c>
      <c r="J1438" s="17">
        <f t="shared" si="44"/>
        <v>29144</v>
      </c>
      <c r="K1438">
        <f t="shared" ca="1" si="45"/>
        <v>46</v>
      </c>
    </row>
    <row r="1439" spans="1:11" ht="15.75" customHeight="1">
      <c r="A1439" t="s">
        <v>1805</v>
      </c>
      <c r="B1439">
        <v>1966</v>
      </c>
      <c r="C1439" t="s">
        <v>4710</v>
      </c>
      <c r="D1439">
        <v>24</v>
      </c>
      <c r="E1439">
        <v>1</v>
      </c>
      <c r="F1439" s="16">
        <v>12044.34</v>
      </c>
      <c r="G1439" t="s">
        <v>4700</v>
      </c>
      <c r="H1439" t="s">
        <v>4698</v>
      </c>
      <c r="I1439" t="s">
        <v>4713</v>
      </c>
      <c r="J1439" s="17">
        <f t="shared" si="44"/>
        <v>24435</v>
      </c>
      <c r="K1439">
        <f t="shared" ca="1" si="45"/>
        <v>59</v>
      </c>
    </row>
    <row r="1440" spans="1:11" ht="15.75" customHeight="1">
      <c r="A1440" t="s">
        <v>1803</v>
      </c>
      <c r="B1440">
        <v>1986</v>
      </c>
      <c r="C1440" t="s">
        <v>4712</v>
      </c>
      <c r="D1440">
        <v>7</v>
      </c>
      <c r="E1440">
        <v>3</v>
      </c>
      <c r="F1440" s="16">
        <v>12048.13</v>
      </c>
      <c r="G1440" t="s">
        <v>4700</v>
      </c>
      <c r="H1440" t="s">
        <v>4699</v>
      </c>
      <c r="I1440" t="s">
        <v>4730</v>
      </c>
      <c r="J1440" s="17">
        <f t="shared" si="44"/>
        <v>31662</v>
      </c>
      <c r="K1440">
        <f t="shared" ca="1" si="45"/>
        <v>39</v>
      </c>
    </row>
    <row r="1441" spans="1:11" ht="15.75" customHeight="1">
      <c r="A1441" t="s">
        <v>1801</v>
      </c>
      <c r="B1441">
        <v>1984</v>
      </c>
      <c r="C1441" t="s">
        <v>4712</v>
      </c>
      <c r="D1441">
        <v>2</v>
      </c>
      <c r="E1441">
        <v>3</v>
      </c>
      <c r="F1441" s="16">
        <v>12091.34</v>
      </c>
      <c r="G1441" t="s">
        <v>4700</v>
      </c>
      <c r="H1441" t="s">
        <v>4699</v>
      </c>
      <c r="I1441" t="s">
        <v>4731</v>
      </c>
      <c r="J1441" s="17">
        <f t="shared" si="44"/>
        <v>30927</v>
      </c>
      <c r="K1441">
        <f t="shared" ca="1" si="45"/>
        <v>41</v>
      </c>
    </row>
    <row r="1442" spans="1:11" ht="15.75" customHeight="1">
      <c r="A1442" t="s">
        <v>1799</v>
      </c>
      <c r="B1442">
        <v>1968</v>
      </c>
      <c r="C1442" t="s">
        <v>4711</v>
      </c>
      <c r="D1442">
        <v>21</v>
      </c>
      <c r="E1442">
        <v>3</v>
      </c>
      <c r="F1442" s="16">
        <v>12094.48</v>
      </c>
      <c r="G1442" t="s">
        <v>4700</v>
      </c>
      <c r="H1442" t="s">
        <v>4700</v>
      </c>
      <c r="I1442" t="s">
        <v>4718</v>
      </c>
      <c r="J1442" s="17">
        <f t="shared" si="44"/>
        <v>25010</v>
      </c>
      <c r="K1442">
        <f t="shared" ca="1" si="45"/>
        <v>57</v>
      </c>
    </row>
    <row r="1443" spans="1:11" ht="15.75" customHeight="1">
      <c r="A1443" t="s">
        <v>1797</v>
      </c>
      <c r="B1443">
        <v>1968</v>
      </c>
      <c r="C1443" t="s">
        <v>4714</v>
      </c>
      <c r="D1443">
        <v>9</v>
      </c>
      <c r="E1443">
        <v>2</v>
      </c>
      <c r="F1443" s="16">
        <v>12096.65</v>
      </c>
      <c r="G1443" t="s">
        <v>4700</v>
      </c>
      <c r="H1443" t="s">
        <v>4698</v>
      </c>
      <c r="I1443" t="s">
        <v>4724</v>
      </c>
      <c r="J1443" s="17">
        <f t="shared" si="44"/>
        <v>25181</v>
      </c>
      <c r="K1443">
        <f t="shared" ca="1" si="45"/>
        <v>56</v>
      </c>
    </row>
    <row r="1444" spans="1:11" ht="15.75" customHeight="1">
      <c r="A1444" t="s">
        <v>1795</v>
      </c>
      <c r="B1444">
        <v>1968</v>
      </c>
      <c r="C1444" t="s">
        <v>4717</v>
      </c>
      <c r="D1444">
        <v>25</v>
      </c>
      <c r="E1444">
        <v>3</v>
      </c>
      <c r="F1444" s="16">
        <v>12105.32</v>
      </c>
      <c r="G1444" t="s">
        <v>4700</v>
      </c>
      <c r="H1444" t="s">
        <v>4700</v>
      </c>
      <c r="I1444" t="s">
        <v>4718</v>
      </c>
      <c r="J1444" s="17">
        <f t="shared" si="44"/>
        <v>25136</v>
      </c>
      <c r="K1444">
        <f t="shared" ca="1" si="45"/>
        <v>57</v>
      </c>
    </row>
    <row r="1445" spans="1:11" ht="15.75" customHeight="1">
      <c r="A1445" t="s">
        <v>1793</v>
      </c>
      <c r="B1445">
        <v>1963</v>
      </c>
      <c r="C1445" t="s">
        <v>4708</v>
      </c>
      <c r="D1445">
        <v>20</v>
      </c>
      <c r="E1445">
        <v>0</v>
      </c>
      <c r="F1445" s="16">
        <v>12124.99</v>
      </c>
      <c r="G1445" t="s">
        <v>4700</v>
      </c>
      <c r="H1445" t="s">
        <v>4698</v>
      </c>
      <c r="I1445" t="s">
        <v>4713</v>
      </c>
      <c r="J1445" s="17">
        <f t="shared" si="44"/>
        <v>23212</v>
      </c>
      <c r="K1445">
        <f t="shared" ca="1" si="45"/>
        <v>62</v>
      </c>
    </row>
    <row r="1446" spans="1:11" ht="15.75" customHeight="1">
      <c r="A1446" t="s">
        <v>1791</v>
      </c>
      <c r="B1446">
        <v>1963</v>
      </c>
      <c r="C1446" t="s">
        <v>4711</v>
      </c>
      <c r="D1446">
        <v>4</v>
      </c>
      <c r="E1446">
        <v>0</v>
      </c>
      <c r="F1446" s="16">
        <v>12129.61</v>
      </c>
      <c r="G1446" t="s">
        <v>4700</v>
      </c>
      <c r="H1446" t="s">
        <v>4698</v>
      </c>
      <c r="I1446" t="s">
        <v>4713</v>
      </c>
      <c r="J1446" s="17">
        <f t="shared" si="44"/>
        <v>23166</v>
      </c>
      <c r="K1446">
        <f t="shared" ca="1" si="45"/>
        <v>62</v>
      </c>
    </row>
    <row r="1447" spans="1:11" ht="15.75" customHeight="1">
      <c r="A1447" t="s">
        <v>1789</v>
      </c>
      <c r="B1447">
        <v>1991</v>
      </c>
      <c r="C1447" t="s">
        <v>4710</v>
      </c>
      <c r="D1447">
        <v>6</v>
      </c>
      <c r="E1447">
        <v>3</v>
      </c>
      <c r="F1447" s="16">
        <v>12130.8</v>
      </c>
      <c r="G1447" t="s">
        <v>4700</v>
      </c>
      <c r="H1447" t="s">
        <v>4700</v>
      </c>
      <c r="I1447" t="s">
        <v>4730</v>
      </c>
      <c r="J1447" s="17">
        <f t="shared" si="44"/>
        <v>33548</v>
      </c>
      <c r="K1447">
        <f t="shared" ca="1" si="45"/>
        <v>34</v>
      </c>
    </row>
    <row r="1448" spans="1:11" ht="15.75" customHeight="1">
      <c r="A1448" t="s">
        <v>1787</v>
      </c>
      <c r="B1448">
        <v>1974</v>
      </c>
      <c r="C1448" t="s">
        <v>4712</v>
      </c>
      <c r="D1448">
        <v>16</v>
      </c>
      <c r="E1448">
        <v>0</v>
      </c>
      <c r="F1448" s="16">
        <v>12137.6</v>
      </c>
      <c r="G1448" t="s">
        <v>4700</v>
      </c>
      <c r="H1448" t="s">
        <v>4700</v>
      </c>
      <c r="I1448" t="s">
        <v>4713</v>
      </c>
      <c r="J1448" s="17">
        <f t="shared" si="44"/>
        <v>27288</v>
      </c>
      <c r="K1448">
        <f t="shared" ca="1" si="45"/>
        <v>51</v>
      </c>
    </row>
    <row r="1449" spans="1:11" ht="15.75" customHeight="1">
      <c r="A1449" t="s">
        <v>1785</v>
      </c>
      <c r="B1449">
        <v>1962</v>
      </c>
      <c r="C1449" t="s">
        <v>4710</v>
      </c>
      <c r="D1449">
        <v>4</v>
      </c>
      <c r="E1449">
        <v>0</v>
      </c>
      <c r="F1449" s="16">
        <v>12142.58</v>
      </c>
      <c r="G1449" t="s">
        <v>4700</v>
      </c>
      <c r="H1449" t="s">
        <v>4699</v>
      </c>
      <c r="I1449" t="s">
        <v>4709</v>
      </c>
      <c r="J1449" s="17">
        <f t="shared" si="44"/>
        <v>22954</v>
      </c>
      <c r="K1449">
        <f t="shared" ca="1" si="45"/>
        <v>63</v>
      </c>
    </row>
    <row r="1450" spans="1:11" ht="15.75" customHeight="1">
      <c r="A1450" t="s">
        <v>1783</v>
      </c>
      <c r="B1450">
        <v>1962</v>
      </c>
      <c r="C1450" t="s">
        <v>4712</v>
      </c>
      <c r="D1450">
        <v>15</v>
      </c>
      <c r="E1450">
        <v>0</v>
      </c>
      <c r="F1450" s="16">
        <v>12146.97</v>
      </c>
      <c r="G1450" t="s">
        <v>4700</v>
      </c>
      <c r="H1450" t="s">
        <v>4700</v>
      </c>
      <c r="I1450" t="s">
        <v>4718</v>
      </c>
      <c r="J1450" s="17">
        <f t="shared" si="44"/>
        <v>22904</v>
      </c>
      <c r="K1450">
        <f t="shared" ca="1" si="45"/>
        <v>63</v>
      </c>
    </row>
    <row r="1451" spans="1:11" ht="15.75" customHeight="1">
      <c r="A1451" t="s">
        <v>1781</v>
      </c>
      <c r="B1451">
        <v>1987</v>
      </c>
      <c r="C1451" t="s">
        <v>4717</v>
      </c>
      <c r="D1451">
        <v>5</v>
      </c>
      <c r="E1451">
        <v>3</v>
      </c>
      <c r="F1451" s="16">
        <v>12148.2</v>
      </c>
      <c r="G1451" t="s">
        <v>4700</v>
      </c>
      <c r="H1451" t="s">
        <v>4700</v>
      </c>
      <c r="I1451" t="s">
        <v>4713</v>
      </c>
      <c r="J1451" s="17">
        <f t="shared" si="44"/>
        <v>32055</v>
      </c>
      <c r="K1451">
        <f t="shared" ca="1" si="45"/>
        <v>38</v>
      </c>
    </row>
    <row r="1452" spans="1:11" ht="15.75" customHeight="1">
      <c r="A1452" t="s">
        <v>1779</v>
      </c>
      <c r="B1452">
        <v>1991</v>
      </c>
      <c r="C1452" t="s">
        <v>4716</v>
      </c>
      <c r="D1452">
        <v>29</v>
      </c>
      <c r="E1452">
        <v>3</v>
      </c>
      <c r="F1452" s="16">
        <v>12198.64</v>
      </c>
      <c r="G1452" t="s">
        <v>4700</v>
      </c>
      <c r="H1452" t="s">
        <v>4700</v>
      </c>
      <c r="I1452" t="s">
        <v>4730</v>
      </c>
      <c r="J1452" s="17">
        <f t="shared" si="44"/>
        <v>33479</v>
      </c>
      <c r="K1452">
        <f t="shared" ca="1" si="45"/>
        <v>34</v>
      </c>
    </row>
    <row r="1453" spans="1:11" ht="15.75" customHeight="1">
      <c r="A1453" t="s">
        <v>1777</v>
      </c>
      <c r="B1453">
        <v>1977</v>
      </c>
      <c r="C1453" t="s">
        <v>4716</v>
      </c>
      <c r="D1453">
        <v>14</v>
      </c>
      <c r="E1453">
        <v>2</v>
      </c>
      <c r="F1453" s="16">
        <v>12218.7</v>
      </c>
      <c r="G1453" t="s">
        <v>4700</v>
      </c>
      <c r="H1453" t="s">
        <v>4698</v>
      </c>
      <c r="I1453" t="s">
        <v>4713</v>
      </c>
      <c r="J1453" s="17">
        <f t="shared" si="44"/>
        <v>28351</v>
      </c>
      <c r="K1453">
        <f t="shared" ca="1" si="45"/>
        <v>48</v>
      </c>
    </row>
    <row r="1454" spans="1:11" ht="15.75" customHeight="1">
      <c r="A1454" t="s">
        <v>1775</v>
      </c>
      <c r="B1454">
        <v>1964</v>
      </c>
      <c r="C1454" t="s">
        <v>4708</v>
      </c>
      <c r="D1454">
        <v>20</v>
      </c>
      <c r="E1454">
        <v>0</v>
      </c>
      <c r="F1454" s="16">
        <v>12222.9</v>
      </c>
      <c r="G1454" t="s">
        <v>4700</v>
      </c>
      <c r="H1454" t="s">
        <v>4699</v>
      </c>
      <c r="I1454" t="s">
        <v>4713</v>
      </c>
      <c r="J1454" s="17">
        <f t="shared" si="44"/>
        <v>23578</v>
      </c>
      <c r="K1454">
        <f t="shared" ca="1" si="45"/>
        <v>61</v>
      </c>
    </row>
    <row r="1455" spans="1:11" ht="15.75" customHeight="1">
      <c r="A1455" t="s">
        <v>1773</v>
      </c>
      <c r="B1455">
        <v>1964</v>
      </c>
      <c r="C1455" t="s">
        <v>4708</v>
      </c>
      <c r="D1455">
        <v>2</v>
      </c>
      <c r="E1455">
        <v>0</v>
      </c>
      <c r="F1455" s="16">
        <v>12224.35</v>
      </c>
      <c r="G1455" t="s">
        <v>4700</v>
      </c>
      <c r="H1455" t="s">
        <v>4698</v>
      </c>
      <c r="I1455" t="s">
        <v>4713</v>
      </c>
      <c r="J1455" s="17">
        <f t="shared" si="44"/>
        <v>23560</v>
      </c>
      <c r="K1455">
        <f t="shared" ca="1" si="45"/>
        <v>61</v>
      </c>
    </row>
    <row r="1456" spans="1:11" ht="15.75" customHeight="1">
      <c r="A1456" t="s">
        <v>1771</v>
      </c>
      <c r="B1456">
        <v>1964</v>
      </c>
      <c r="C1456" t="s">
        <v>4711</v>
      </c>
      <c r="D1456">
        <v>24</v>
      </c>
      <c r="E1456">
        <v>0</v>
      </c>
      <c r="F1456" s="16">
        <v>12231.61</v>
      </c>
      <c r="G1456" t="s">
        <v>4700</v>
      </c>
      <c r="H1456" t="s">
        <v>4700</v>
      </c>
      <c r="I1456" t="s">
        <v>4713</v>
      </c>
      <c r="J1456" s="17">
        <f t="shared" si="44"/>
        <v>23552</v>
      </c>
      <c r="K1456">
        <f t="shared" ca="1" si="45"/>
        <v>61</v>
      </c>
    </row>
    <row r="1457" spans="1:11" ht="15.75" customHeight="1">
      <c r="A1457" t="s">
        <v>1769</v>
      </c>
      <c r="B1457">
        <v>1963</v>
      </c>
      <c r="C1457" t="s">
        <v>4708</v>
      </c>
      <c r="D1457">
        <v>19</v>
      </c>
      <c r="E1457">
        <v>0</v>
      </c>
      <c r="F1457" s="16">
        <v>12233.83</v>
      </c>
      <c r="G1457" t="s">
        <v>4700</v>
      </c>
      <c r="H1457" t="s">
        <v>4698</v>
      </c>
      <c r="I1457" t="s">
        <v>4718</v>
      </c>
      <c r="J1457" s="17">
        <f t="shared" si="44"/>
        <v>23211</v>
      </c>
      <c r="K1457">
        <f t="shared" ca="1" si="45"/>
        <v>62</v>
      </c>
    </row>
    <row r="1458" spans="1:11" ht="15.75" customHeight="1">
      <c r="A1458" t="s">
        <v>1767</v>
      </c>
      <c r="B1458">
        <v>1964</v>
      </c>
      <c r="C1458" t="s">
        <v>4717</v>
      </c>
      <c r="D1458">
        <v>15</v>
      </c>
      <c r="E1458">
        <v>0</v>
      </c>
      <c r="F1458" s="16">
        <v>12235.84</v>
      </c>
      <c r="G1458" t="s">
        <v>4700</v>
      </c>
      <c r="H1458" t="s">
        <v>4700</v>
      </c>
      <c r="I1458" t="s">
        <v>4713</v>
      </c>
      <c r="J1458" s="17">
        <f t="shared" si="44"/>
        <v>23665</v>
      </c>
      <c r="K1458">
        <f t="shared" ca="1" si="45"/>
        <v>61</v>
      </c>
    </row>
    <row r="1459" spans="1:11" ht="15.75" customHeight="1">
      <c r="A1459" t="s">
        <v>1765</v>
      </c>
      <c r="B1459">
        <v>1966</v>
      </c>
      <c r="C1459" t="s">
        <v>4708</v>
      </c>
      <c r="D1459">
        <v>29</v>
      </c>
      <c r="E1459">
        <v>0</v>
      </c>
      <c r="F1459" s="16">
        <v>12237.73</v>
      </c>
      <c r="G1459" t="s">
        <v>4700</v>
      </c>
      <c r="H1459" t="s">
        <v>4700</v>
      </c>
      <c r="I1459" t="s">
        <v>4713</v>
      </c>
      <c r="J1459" s="17">
        <f t="shared" si="44"/>
        <v>24317</v>
      </c>
      <c r="K1459">
        <f t="shared" ca="1" si="45"/>
        <v>59</v>
      </c>
    </row>
    <row r="1460" spans="1:11" ht="15.75" customHeight="1">
      <c r="A1460" t="s">
        <v>1763</v>
      </c>
      <c r="B1460">
        <v>1963</v>
      </c>
      <c r="C1460" t="s">
        <v>4708</v>
      </c>
      <c r="D1460">
        <v>17</v>
      </c>
      <c r="E1460">
        <v>0</v>
      </c>
      <c r="F1460" s="16">
        <v>12244.53</v>
      </c>
      <c r="G1460" t="s">
        <v>4700</v>
      </c>
      <c r="H1460" t="s">
        <v>4698</v>
      </c>
      <c r="I1460" t="s">
        <v>4709</v>
      </c>
      <c r="J1460" s="17">
        <f t="shared" si="44"/>
        <v>23209</v>
      </c>
      <c r="K1460">
        <f t="shared" ca="1" si="45"/>
        <v>62</v>
      </c>
    </row>
    <row r="1461" spans="1:11" ht="15.75" customHeight="1">
      <c r="A1461" t="s">
        <v>1761</v>
      </c>
      <c r="B1461">
        <v>1974</v>
      </c>
      <c r="C1461" t="s">
        <v>4711</v>
      </c>
      <c r="D1461">
        <v>23</v>
      </c>
      <c r="E1461">
        <v>0</v>
      </c>
      <c r="F1461" s="16">
        <v>12245.17</v>
      </c>
      <c r="G1461" t="s">
        <v>4700</v>
      </c>
      <c r="H1461" t="s">
        <v>4698</v>
      </c>
      <c r="I1461" t="s">
        <v>4713</v>
      </c>
      <c r="J1461" s="17">
        <f t="shared" si="44"/>
        <v>27203</v>
      </c>
      <c r="K1461">
        <f t="shared" ca="1" si="45"/>
        <v>51</v>
      </c>
    </row>
    <row r="1462" spans="1:11" ht="15.75" customHeight="1">
      <c r="A1462" t="s">
        <v>1759</v>
      </c>
      <c r="B1462">
        <v>1989</v>
      </c>
      <c r="C1462" t="s">
        <v>4710</v>
      </c>
      <c r="D1462">
        <v>23</v>
      </c>
      <c r="E1462">
        <v>3</v>
      </c>
      <c r="F1462" s="16">
        <v>12254.44</v>
      </c>
      <c r="G1462" t="s">
        <v>4700</v>
      </c>
      <c r="H1462" t="s">
        <v>4700</v>
      </c>
      <c r="I1462" t="s">
        <v>4730</v>
      </c>
      <c r="J1462" s="17">
        <f t="shared" si="44"/>
        <v>32835</v>
      </c>
      <c r="K1462">
        <f t="shared" ca="1" si="45"/>
        <v>36</v>
      </c>
    </row>
    <row r="1463" spans="1:11" ht="15.75" customHeight="1">
      <c r="A1463" t="s">
        <v>1757</v>
      </c>
      <c r="B1463">
        <v>1986</v>
      </c>
      <c r="C1463" t="s">
        <v>4716</v>
      </c>
      <c r="D1463">
        <v>13</v>
      </c>
      <c r="E1463">
        <v>3</v>
      </c>
      <c r="F1463" s="16">
        <v>12255.04</v>
      </c>
      <c r="G1463" t="s">
        <v>4700</v>
      </c>
      <c r="H1463" t="s">
        <v>4699</v>
      </c>
      <c r="I1463" t="s">
        <v>4730</v>
      </c>
      <c r="J1463" s="17">
        <f t="shared" si="44"/>
        <v>31637</v>
      </c>
      <c r="K1463">
        <f t="shared" ca="1" si="45"/>
        <v>39</v>
      </c>
    </row>
    <row r="1464" spans="1:11" ht="15.75" customHeight="1">
      <c r="A1464" t="s">
        <v>1755</v>
      </c>
      <c r="B1464">
        <v>1966</v>
      </c>
      <c r="C1464" t="s">
        <v>4714</v>
      </c>
      <c r="D1464">
        <v>6</v>
      </c>
      <c r="E1464">
        <v>2</v>
      </c>
      <c r="F1464" s="16">
        <v>12265.51</v>
      </c>
      <c r="G1464" t="s">
        <v>4700</v>
      </c>
      <c r="H1464" t="s">
        <v>4700</v>
      </c>
      <c r="I1464" t="s">
        <v>4709</v>
      </c>
      <c r="J1464" s="17">
        <f t="shared" si="44"/>
        <v>24447</v>
      </c>
      <c r="K1464">
        <f t="shared" ca="1" si="45"/>
        <v>58</v>
      </c>
    </row>
    <row r="1465" spans="1:11" ht="15.75" customHeight="1">
      <c r="A1465" t="s">
        <v>1753</v>
      </c>
      <c r="B1465">
        <v>1967</v>
      </c>
      <c r="C1465" t="s">
        <v>4714</v>
      </c>
      <c r="D1465">
        <v>30</v>
      </c>
      <c r="E1465">
        <v>2</v>
      </c>
      <c r="F1465" s="16">
        <v>12268.63</v>
      </c>
      <c r="G1465" t="s">
        <v>4700</v>
      </c>
      <c r="H1465" t="s">
        <v>4698</v>
      </c>
      <c r="I1465" t="s">
        <v>4713</v>
      </c>
      <c r="J1465" s="17">
        <f t="shared" si="44"/>
        <v>24836</v>
      </c>
      <c r="K1465">
        <f t="shared" ca="1" si="45"/>
        <v>57</v>
      </c>
    </row>
    <row r="1466" spans="1:11" ht="15.75" customHeight="1">
      <c r="A1466" t="s">
        <v>1751</v>
      </c>
      <c r="B1466">
        <v>1967</v>
      </c>
      <c r="C1466" t="s">
        <v>4716</v>
      </c>
      <c r="D1466">
        <v>28</v>
      </c>
      <c r="E1466">
        <v>2</v>
      </c>
      <c r="F1466" s="16">
        <v>12269.69</v>
      </c>
      <c r="G1466" t="s">
        <v>4700</v>
      </c>
      <c r="H1466" t="s">
        <v>4699</v>
      </c>
      <c r="I1466" t="s">
        <v>4713</v>
      </c>
      <c r="J1466" s="17">
        <f t="shared" si="44"/>
        <v>24712</v>
      </c>
      <c r="K1466">
        <f t="shared" ca="1" si="45"/>
        <v>58</v>
      </c>
    </row>
    <row r="1467" spans="1:11" ht="15.75" customHeight="1">
      <c r="A1467" t="s">
        <v>1749</v>
      </c>
      <c r="B1467">
        <v>1966</v>
      </c>
      <c r="C1467" t="s">
        <v>4710</v>
      </c>
      <c r="D1467">
        <v>16</v>
      </c>
      <c r="E1467">
        <v>0</v>
      </c>
      <c r="F1467" s="16">
        <v>12282.03</v>
      </c>
      <c r="G1467" t="s">
        <v>4700</v>
      </c>
      <c r="H1467" t="s">
        <v>4698</v>
      </c>
      <c r="I1467" t="s">
        <v>4723</v>
      </c>
      <c r="J1467" s="17">
        <f t="shared" si="44"/>
        <v>24427</v>
      </c>
      <c r="K1467">
        <f t="shared" ca="1" si="45"/>
        <v>59</v>
      </c>
    </row>
    <row r="1468" spans="1:11" ht="15.75" customHeight="1">
      <c r="A1468" t="s">
        <v>1747</v>
      </c>
      <c r="B1468">
        <v>1990</v>
      </c>
      <c r="C1468" t="s">
        <v>4717</v>
      </c>
      <c r="D1468">
        <v>29</v>
      </c>
      <c r="E1468">
        <v>3</v>
      </c>
      <c r="F1468" s="16">
        <v>12282.38</v>
      </c>
      <c r="G1468" t="s">
        <v>4700</v>
      </c>
      <c r="H1468" t="s">
        <v>4698</v>
      </c>
      <c r="I1468" t="s">
        <v>4718</v>
      </c>
      <c r="J1468" s="17">
        <f t="shared" si="44"/>
        <v>33175</v>
      </c>
      <c r="K1468">
        <f t="shared" ca="1" si="45"/>
        <v>35</v>
      </c>
    </row>
    <row r="1469" spans="1:11" ht="15.75" customHeight="1">
      <c r="A1469" t="s">
        <v>1745</v>
      </c>
      <c r="B1469">
        <v>1963</v>
      </c>
      <c r="C1469" t="s">
        <v>4717</v>
      </c>
      <c r="D1469">
        <v>28</v>
      </c>
      <c r="E1469">
        <v>0</v>
      </c>
      <c r="F1469" s="16">
        <v>12299.59</v>
      </c>
      <c r="G1469" t="s">
        <v>4700</v>
      </c>
      <c r="H1469" t="s">
        <v>4698</v>
      </c>
      <c r="I1469" t="s">
        <v>4723</v>
      </c>
      <c r="J1469" s="17">
        <f t="shared" si="44"/>
        <v>23312</v>
      </c>
      <c r="K1469">
        <f t="shared" ca="1" si="45"/>
        <v>62</v>
      </c>
    </row>
    <row r="1470" spans="1:11" ht="15.75" customHeight="1">
      <c r="A1470" t="s">
        <v>1743</v>
      </c>
      <c r="B1470">
        <v>1963</v>
      </c>
      <c r="C1470" t="s">
        <v>4716</v>
      </c>
      <c r="D1470">
        <v>29</v>
      </c>
      <c r="E1470">
        <v>0</v>
      </c>
      <c r="F1470" s="16">
        <v>12323.94</v>
      </c>
      <c r="G1470" t="s">
        <v>4700</v>
      </c>
      <c r="H1470" t="s">
        <v>4700</v>
      </c>
      <c r="I1470" t="s">
        <v>4728</v>
      </c>
      <c r="J1470" s="17">
        <f t="shared" si="44"/>
        <v>23252</v>
      </c>
      <c r="K1470">
        <f t="shared" ca="1" si="45"/>
        <v>62</v>
      </c>
    </row>
    <row r="1471" spans="1:11" ht="15.75" customHeight="1">
      <c r="A1471" t="s">
        <v>1741</v>
      </c>
      <c r="B1471">
        <v>1963</v>
      </c>
      <c r="C1471" t="s">
        <v>4716</v>
      </c>
      <c r="D1471">
        <v>2</v>
      </c>
      <c r="E1471">
        <v>1</v>
      </c>
      <c r="F1471" s="16">
        <v>12333.83</v>
      </c>
      <c r="G1471" t="s">
        <v>4700</v>
      </c>
      <c r="H1471" t="s">
        <v>4699</v>
      </c>
      <c r="I1471" t="s">
        <v>4718</v>
      </c>
      <c r="J1471" s="17">
        <f t="shared" si="44"/>
        <v>23225</v>
      </c>
      <c r="K1471">
        <f t="shared" ca="1" si="45"/>
        <v>62</v>
      </c>
    </row>
    <row r="1472" spans="1:11" ht="15.75" customHeight="1">
      <c r="A1472" t="s">
        <v>1739</v>
      </c>
      <c r="B1472">
        <v>1963</v>
      </c>
      <c r="C1472" t="s">
        <v>4712</v>
      </c>
      <c r="D1472">
        <v>22</v>
      </c>
      <c r="E1472">
        <v>1</v>
      </c>
      <c r="F1472" s="16">
        <v>12347.17</v>
      </c>
      <c r="G1472" t="s">
        <v>4700</v>
      </c>
      <c r="H1472" t="s">
        <v>4700</v>
      </c>
      <c r="I1472" t="s">
        <v>4718</v>
      </c>
      <c r="J1472" s="17">
        <f t="shared" si="44"/>
        <v>23276</v>
      </c>
      <c r="K1472">
        <f t="shared" ca="1" si="45"/>
        <v>62</v>
      </c>
    </row>
    <row r="1473" spans="1:11" ht="15.75" customHeight="1">
      <c r="A1473" t="s">
        <v>1737</v>
      </c>
      <c r="B1473">
        <v>1966</v>
      </c>
      <c r="C1473" t="s">
        <v>4714</v>
      </c>
      <c r="D1473">
        <v>29</v>
      </c>
      <c r="E1473">
        <v>3</v>
      </c>
      <c r="F1473" s="16">
        <v>12363.55</v>
      </c>
      <c r="G1473" t="s">
        <v>4700</v>
      </c>
      <c r="H1473" t="s">
        <v>4700</v>
      </c>
      <c r="I1473" t="s">
        <v>4718</v>
      </c>
      <c r="J1473" s="17">
        <f t="shared" si="44"/>
        <v>24470</v>
      </c>
      <c r="K1473">
        <f t="shared" ca="1" si="45"/>
        <v>58</v>
      </c>
    </row>
    <row r="1474" spans="1:11" ht="15.75" customHeight="1">
      <c r="A1474" t="s">
        <v>1735</v>
      </c>
      <c r="B1474">
        <v>1962</v>
      </c>
      <c r="C1474" t="s">
        <v>4712</v>
      </c>
      <c r="D1474">
        <v>26</v>
      </c>
      <c r="E1474">
        <v>0</v>
      </c>
      <c r="F1474" s="16">
        <v>12369.89</v>
      </c>
      <c r="G1474" t="s">
        <v>4700</v>
      </c>
      <c r="H1474" t="s">
        <v>4699</v>
      </c>
      <c r="I1474" t="s">
        <v>4724</v>
      </c>
      <c r="J1474" s="17">
        <f t="shared" si="44"/>
        <v>22915</v>
      </c>
      <c r="K1474">
        <f t="shared" ca="1" si="45"/>
        <v>63</v>
      </c>
    </row>
    <row r="1475" spans="1:11" ht="15.75" customHeight="1">
      <c r="A1475" t="s">
        <v>1733</v>
      </c>
      <c r="B1475">
        <v>1989</v>
      </c>
      <c r="C1475" t="s">
        <v>4714</v>
      </c>
      <c r="D1475">
        <v>29</v>
      </c>
      <c r="E1475">
        <v>0</v>
      </c>
      <c r="F1475" s="16">
        <v>12404.88</v>
      </c>
      <c r="G1475" t="s">
        <v>4700</v>
      </c>
      <c r="H1475" t="s">
        <v>4700</v>
      </c>
      <c r="I1475" t="s">
        <v>4721</v>
      </c>
      <c r="J1475" s="17">
        <f t="shared" ref="J1475:J1538" si="46">DATEVALUE(D1475&amp;"-"&amp;C1475&amp;" -"&amp;B1475)</f>
        <v>32871</v>
      </c>
      <c r="K1475">
        <f t="shared" ref="K1475:K1538" ca="1" si="47">DATEDIF(J1475,TODAY(),"Y")</f>
        <v>35</v>
      </c>
    </row>
    <row r="1476" spans="1:11" ht="15.75" customHeight="1">
      <c r="A1476" t="s">
        <v>1731</v>
      </c>
      <c r="B1476">
        <v>1972</v>
      </c>
      <c r="C1476" t="s">
        <v>4716</v>
      </c>
      <c r="D1476">
        <v>21</v>
      </c>
      <c r="E1476">
        <v>0</v>
      </c>
      <c r="F1476" s="16">
        <v>12407.3</v>
      </c>
      <c r="G1476" t="s">
        <v>4700</v>
      </c>
      <c r="H1476" t="s">
        <v>4699</v>
      </c>
      <c r="I1476" t="s">
        <v>4727</v>
      </c>
      <c r="J1476" s="17">
        <f t="shared" si="46"/>
        <v>26532</v>
      </c>
      <c r="K1476">
        <f t="shared" ca="1" si="47"/>
        <v>53</v>
      </c>
    </row>
    <row r="1477" spans="1:11" ht="15.75" customHeight="1">
      <c r="A1477" t="s">
        <v>1729</v>
      </c>
      <c r="B1477">
        <v>1979</v>
      </c>
      <c r="C1477" t="s">
        <v>4708</v>
      </c>
      <c r="D1477">
        <v>14</v>
      </c>
      <c r="E1477">
        <v>2</v>
      </c>
      <c r="F1477" s="16">
        <v>12408.29</v>
      </c>
      <c r="G1477" t="s">
        <v>4700</v>
      </c>
      <c r="H1477" t="s">
        <v>4698</v>
      </c>
      <c r="I1477" t="s">
        <v>4731</v>
      </c>
      <c r="J1477" s="17">
        <f t="shared" si="46"/>
        <v>29050</v>
      </c>
      <c r="K1477">
        <f t="shared" ca="1" si="47"/>
        <v>46</v>
      </c>
    </row>
    <row r="1478" spans="1:11" ht="15.75" customHeight="1">
      <c r="A1478" t="s">
        <v>1727</v>
      </c>
      <c r="B1478">
        <v>1964</v>
      </c>
      <c r="C1478" t="s">
        <v>4716</v>
      </c>
      <c r="D1478">
        <v>4</v>
      </c>
      <c r="E1478">
        <v>0</v>
      </c>
      <c r="F1478" s="16">
        <v>12430.95</v>
      </c>
      <c r="G1478" t="s">
        <v>4700</v>
      </c>
      <c r="H1478" t="s">
        <v>4700</v>
      </c>
      <c r="I1478" t="s">
        <v>4724</v>
      </c>
      <c r="J1478" s="17">
        <f t="shared" si="46"/>
        <v>23593</v>
      </c>
      <c r="K1478">
        <f t="shared" ca="1" si="47"/>
        <v>61</v>
      </c>
    </row>
    <row r="1479" spans="1:11" ht="15.75" customHeight="1">
      <c r="A1479" t="s">
        <v>1725</v>
      </c>
      <c r="B1479">
        <v>1995</v>
      </c>
      <c r="C1479" t="s">
        <v>4716</v>
      </c>
      <c r="D1479">
        <v>9</v>
      </c>
      <c r="E1479">
        <v>0</v>
      </c>
      <c r="F1479" s="16">
        <v>12452.25</v>
      </c>
      <c r="G1479" t="s">
        <v>4700</v>
      </c>
      <c r="H1479" t="s">
        <v>4700</v>
      </c>
      <c r="I1479" t="s">
        <v>4713</v>
      </c>
      <c r="J1479" s="17">
        <f t="shared" si="46"/>
        <v>34920</v>
      </c>
      <c r="K1479">
        <f t="shared" ca="1" si="47"/>
        <v>30</v>
      </c>
    </row>
    <row r="1480" spans="1:11" ht="15.75" customHeight="1">
      <c r="A1480" t="s">
        <v>1723</v>
      </c>
      <c r="B1480">
        <v>1968</v>
      </c>
      <c r="C1480" t="s">
        <v>4710</v>
      </c>
      <c r="D1480">
        <v>26</v>
      </c>
      <c r="E1480">
        <v>3</v>
      </c>
      <c r="F1480" s="16">
        <v>12475.35</v>
      </c>
      <c r="G1480" t="s">
        <v>4700</v>
      </c>
      <c r="H1480" t="s">
        <v>4698</v>
      </c>
      <c r="I1480" t="s">
        <v>4713</v>
      </c>
      <c r="J1480" s="17">
        <f t="shared" si="46"/>
        <v>25168</v>
      </c>
      <c r="K1480">
        <f t="shared" ca="1" si="47"/>
        <v>57</v>
      </c>
    </row>
    <row r="1481" spans="1:11" ht="15.75" customHeight="1">
      <c r="A1481" t="s">
        <v>1721</v>
      </c>
      <c r="B1481">
        <v>1968</v>
      </c>
      <c r="C1481" t="s">
        <v>4710</v>
      </c>
      <c r="D1481">
        <v>12</v>
      </c>
      <c r="E1481">
        <v>3</v>
      </c>
      <c r="F1481" s="16">
        <v>12479.71</v>
      </c>
      <c r="G1481" t="s">
        <v>4700</v>
      </c>
      <c r="H1481" t="s">
        <v>4700</v>
      </c>
      <c r="I1481" t="s">
        <v>4713</v>
      </c>
      <c r="J1481" s="17">
        <f t="shared" si="46"/>
        <v>25154</v>
      </c>
      <c r="K1481">
        <f t="shared" ca="1" si="47"/>
        <v>57</v>
      </c>
    </row>
    <row r="1482" spans="1:11" ht="15.75" customHeight="1">
      <c r="A1482" t="s">
        <v>1719</v>
      </c>
      <c r="B1482">
        <v>1967</v>
      </c>
      <c r="C1482" t="s">
        <v>4712</v>
      </c>
      <c r="D1482">
        <v>1</v>
      </c>
      <c r="E1482">
        <v>3</v>
      </c>
      <c r="F1482" s="16">
        <v>12485.8</v>
      </c>
      <c r="G1482" t="s">
        <v>4700</v>
      </c>
      <c r="H1482" t="s">
        <v>4700</v>
      </c>
      <c r="I1482" t="s">
        <v>4709</v>
      </c>
      <c r="J1482" s="17">
        <f t="shared" si="46"/>
        <v>24716</v>
      </c>
      <c r="K1482">
        <f t="shared" ca="1" si="47"/>
        <v>58</v>
      </c>
    </row>
    <row r="1483" spans="1:11" ht="15.75" customHeight="1">
      <c r="A1483" t="s">
        <v>1717</v>
      </c>
      <c r="B1483">
        <v>1968</v>
      </c>
      <c r="C1483" t="s">
        <v>4714</v>
      </c>
      <c r="D1483">
        <v>3</v>
      </c>
      <c r="E1483">
        <v>3</v>
      </c>
      <c r="F1483" s="16">
        <v>12495.29</v>
      </c>
      <c r="G1483" t="s">
        <v>4700</v>
      </c>
      <c r="H1483" t="s">
        <v>4700</v>
      </c>
      <c r="I1483" t="s">
        <v>4713</v>
      </c>
      <c r="J1483" s="17">
        <f t="shared" si="46"/>
        <v>25175</v>
      </c>
      <c r="K1483">
        <f t="shared" ca="1" si="47"/>
        <v>56</v>
      </c>
    </row>
    <row r="1484" spans="1:11" ht="15.75" customHeight="1">
      <c r="A1484" t="s">
        <v>1715</v>
      </c>
      <c r="B1484">
        <v>1966</v>
      </c>
      <c r="C1484" t="s">
        <v>4708</v>
      </c>
      <c r="D1484">
        <v>12</v>
      </c>
      <c r="E1484">
        <v>0</v>
      </c>
      <c r="F1484" s="16">
        <v>12499.88</v>
      </c>
      <c r="G1484" t="s">
        <v>4700</v>
      </c>
      <c r="H1484" t="s">
        <v>4699</v>
      </c>
      <c r="I1484" t="s">
        <v>4713</v>
      </c>
      <c r="J1484" s="17">
        <f t="shared" si="46"/>
        <v>24300</v>
      </c>
      <c r="K1484">
        <f t="shared" ca="1" si="47"/>
        <v>59</v>
      </c>
    </row>
    <row r="1485" spans="1:11" ht="15.75" customHeight="1">
      <c r="A1485" t="s">
        <v>1713</v>
      </c>
      <c r="B1485">
        <v>1962</v>
      </c>
      <c r="C1485" t="s">
        <v>4717</v>
      </c>
      <c r="D1485">
        <v>16</v>
      </c>
      <c r="E1485">
        <v>0</v>
      </c>
      <c r="F1485" s="16">
        <v>12523.6</v>
      </c>
      <c r="G1485" t="s">
        <v>4700</v>
      </c>
      <c r="H1485" t="s">
        <v>4700</v>
      </c>
      <c r="I1485" t="s">
        <v>4713</v>
      </c>
      <c r="J1485" s="17">
        <f t="shared" si="46"/>
        <v>22935</v>
      </c>
      <c r="K1485">
        <f t="shared" ca="1" si="47"/>
        <v>63</v>
      </c>
    </row>
    <row r="1486" spans="1:11" ht="15.75" customHeight="1">
      <c r="A1486" t="s">
        <v>1711</v>
      </c>
      <c r="B1486">
        <v>1961</v>
      </c>
      <c r="C1486" t="s">
        <v>4710</v>
      </c>
      <c r="D1486">
        <v>28</v>
      </c>
      <c r="E1486">
        <v>0</v>
      </c>
      <c r="F1486" s="16">
        <v>12557.61</v>
      </c>
      <c r="G1486" t="s">
        <v>4700</v>
      </c>
      <c r="H1486" t="s">
        <v>4700</v>
      </c>
      <c r="I1486" t="s">
        <v>4709</v>
      </c>
      <c r="J1486" s="17">
        <f t="shared" si="46"/>
        <v>22613</v>
      </c>
      <c r="K1486">
        <f t="shared" ca="1" si="47"/>
        <v>63</v>
      </c>
    </row>
    <row r="1487" spans="1:11" ht="15.75" customHeight="1">
      <c r="A1487" t="s">
        <v>1709</v>
      </c>
      <c r="B1487">
        <v>1961</v>
      </c>
      <c r="C1487" t="s">
        <v>4710</v>
      </c>
      <c r="D1487">
        <v>28</v>
      </c>
      <c r="E1487">
        <v>0</v>
      </c>
      <c r="F1487" s="16">
        <v>12574.05</v>
      </c>
      <c r="G1487" t="s">
        <v>4700</v>
      </c>
      <c r="H1487" t="s">
        <v>4698</v>
      </c>
      <c r="I1487" t="s">
        <v>4718</v>
      </c>
      <c r="J1487" s="17">
        <f t="shared" si="46"/>
        <v>22613</v>
      </c>
      <c r="K1487">
        <f t="shared" ca="1" si="47"/>
        <v>63</v>
      </c>
    </row>
    <row r="1488" spans="1:11" ht="15.75" customHeight="1">
      <c r="A1488" t="s">
        <v>1707</v>
      </c>
      <c r="B1488">
        <v>1969</v>
      </c>
      <c r="C1488" t="s">
        <v>4710</v>
      </c>
      <c r="D1488">
        <v>26</v>
      </c>
      <c r="E1488">
        <v>0</v>
      </c>
      <c r="F1488" s="16">
        <v>12579.92</v>
      </c>
      <c r="G1488" t="s">
        <v>4700</v>
      </c>
      <c r="H1488" t="s">
        <v>4698</v>
      </c>
      <c r="I1488" t="s">
        <v>4723</v>
      </c>
      <c r="J1488" s="17">
        <f t="shared" si="46"/>
        <v>25533</v>
      </c>
      <c r="K1488">
        <f t="shared" ca="1" si="47"/>
        <v>56</v>
      </c>
    </row>
    <row r="1489" spans="1:11" ht="15.75" customHeight="1">
      <c r="A1489" t="s">
        <v>1705</v>
      </c>
      <c r="B1489">
        <v>1970</v>
      </c>
      <c r="C1489" t="s">
        <v>4711</v>
      </c>
      <c r="D1489">
        <v>18</v>
      </c>
      <c r="E1489">
        <v>5</v>
      </c>
      <c r="F1489" s="16">
        <v>12592.53</v>
      </c>
      <c r="G1489" t="s">
        <v>4700</v>
      </c>
      <c r="H1489" t="s">
        <v>4699</v>
      </c>
      <c r="I1489" t="s">
        <v>4709</v>
      </c>
      <c r="J1489" s="17">
        <f t="shared" si="46"/>
        <v>25737</v>
      </c>
      <c r="K1489">
        <f t="shared" ca="1" si="47"/>
        <v>55</v>
      </c>
    </row>
    <row r="1490" spans="1:11" ht="15.75" customHeight="1">
      <c r="A1490" t="s">
        <v>1703</v>
      </c>
      <c r="B1490">
        <v>1988</v>
      </c>
      <c r="C1490" t="s">
        <v>4716</v>
      </c>
      <c r="D1490">
        <v>11</v>
      </c>
      <c r="E1490">
        <v>3</v>
      </c>
      <c r="F1490" s="16">
        <v>12600.46</v>
      </c>
      <c r="G1490" t="s">
        <v>4700</v>
      </c>
      <c r="H1490" t="s">
        <v>4698</v>
      </c>
      <c r="I1490" t="s">
        <v>4725</v>
      </c>
      <c r="J1490" s="17">
        <f t="shared" si="46"/>
        <v>32366</v>
      </c>
      <c r="K1490">
        <f t="shared" ca="1" si="47"/>
        <v>37</v>
      </c>
    </row>
    <row r="1491" spans="1:11" ht="15.75" customHeight="1">
      <c r="A1491" t="s">
        <v>1701</v>
      </c>
      <c r="B1491">
        <v>1998</v>
      </c>
      <c r="C1491" t="s">
        <v>4710</v>
      </c>
      <c r="D1491">
        <v>18</v>
      </c>
      <c r="E1491">
        <v>1</v>
      </c>
      <c r="F1491" s="16">
        <v>12609.89</v>
      </c>
      <c r="G1491" t="s">
        <v>4700</v>
      </c>
      <c r="H1491" t="s">
        <v>4700</v>
      </c>
      <c r="I1491" t="s">
        <v>4713</v>
      </c>
      <c r="J1491" s="17">
        <f t="shared" si="46"/>
        <v>36117</v>
      </c>
      <c r="K1491">
        <f t="shared" ca="1" si="47"/>
        <v>27</v>
      </c>
    </row>
    <row r="1492" spans="1:11" ht="15.75" customHeight="1">
      <c r="A1492" t="s">
        <v>1699</v>
      </c>
      <c r="B1492">
        <v>1963</v>
      </c>
      <c r="C1492" t="s">
        <v>4716</v>
      </c>
      <c r="D1492">
        <v>19</v>
      </c>
      <c r="E1492">
        <v>0</v>
      </c>
      <c r="F1492" s="16">
        <v>12622.18</v>
      </c>
      <c r="G1492" t="s">
        <v>4700</v>
      </c>
      <c r="H1492" t="s">
        <v>4698</v>
      </c>
      <c r="I1492" t="s">
        <v>4713</v>
      </c>
      <c r="J1492" s="17">
        <f t="shared" si="46"/>
        <v>23242</v>
      </c>
      <c r="K1492">
        <f t="shared" ca="1" si="47"/>
        <v>62</v>
      </c>
    </row>
    <row r="1493" spans="1:11" ht="15.75" customHeight="1">
      <c r="A1493" t="s">
        <v>1697</v>
      </c>
      <c r="B1493">
        <v>1970</v>
      </c>
      <c r="C1493" t="s">
        <v>4714</v>
      </c>
      <c r="D1493">
        <v>28</v>
      </c>
      <c r="E1493">
        <v>0</v>
      </c>
      <c r="F1493" s="16">
        <v>12624.74</v>
      </c>
      <c r="G1493" t="s">
        <v>4700</v>
      </c>
      <c r="H1493" t="s">
        <v>4698</v>
      </c>
      <c r="I1493" t="s">
        <v>4713</v>
      </c>
      <c r="J1493" s="17">
        <f t="shared" si="46"/>
        <v>25930</v>
      </c>
      <c r="K1493">
        <f t="shared" ca="1" si="47"/>
        <v>54</v>
      </c>
    </row>
    <row r="1494" spans="1:11" ht="15.75" customHeight="1">
      <c r="A1494" t="s">
        <v>1695</v>
      </c>
      <c r="B1494">
        <v>1965</v>
      </c>
      <c r="C1494" t="s">
        <v>4717</v>
      </c>
      <c r="D1494">
        <v>4</v>
      </c>
      <c r="E1494">
        <v>2</v>
      </c>
      <c r="F1494" s="16">
        <v>12629.17</v>
      </c>
      <c r="G1494" t="s">
        <v>4700</v>
      </c>
      <c r="H1494" t="s">
        <v>4698</v>
      </c>
      <c r="I1494" t="s">
        <v>4709</v>
      </c>
      <c r="J1494" s="17">
        <f t="shared" si="46"/>
        <v>24019</v>
      </c>
      <c r="K1494">
        <f t="shared" ca="1" si="47"/>
        <v>60</v>
      </c>
    </row>
    <row r="1495" spans="1:11" ht="15.75" customHeight="1">
      <c r="A1495" t="s">
        <v>1693</v>
      </c>
      <c r="B1495">
        <v>1962</v>
      </c>
      <c r="C1495" t="s">
        <v>4710</v>
      </c>
      <c r="D1495">
        <v>22</v>
      </c>
      <c r="E1495">
        <v>0</v>
      </c>
      <c r="F1495" s="16">
        <v>12629.9</v>
      </c>
      <c r="G1495" t="s">
        <v>4700</v>
      </c>
      <c r="H1495" t="s">
        <v>4700</v>
      </c>
      <c r="I1495" t="s">
        <v>4709</v>
      </c>
      <c r="J1495" s="17">
        <f t="shared" si="46"/>
        <v>22972</v>
      </c>
      <c r="K1495">
        <f t="shared" ca="1" si="47"/>
        <v>63</v>
      </c>
    </row>
    <row r="1496" spans="1:11" ht="15.75" customHeight="1">
      <c r="A1496" t="s">
        <v>1691</v>
      </c>
      <c r="B1496">
        <v>1962</v>
      </c>
      <c r="C1496" t="s">
        <v>4708</v>
      </c>
      <c r="D1496">
        <v>22</v>
      </c>
      <c r="E1496">
        <v>0</v>
      </c>
      <c r="F1496" s="16">
        <v>12638.2</v>
      </c>
      <c r="G1496" t="s">
        <v>4700</v>
      </c>
      <c r="H1496" t="s">
        <v>4698</v>
      </c>
      <c r="I1496" t="s">
        <v>4718</v>
      </c>
      <c r="J1496" s="17">
        <f t="shared" si="46"/>
        <v>22849</v>
      </c>
      <c r="K1496">
        <f t="shared" ca="1" si="47"/>
        <v>63</v>
      </c>
    </row>
    <row r="1497" spans="1:11" ht="15.75" customHeight="1">
      <c r="A1497" t="s">
        <v>1689</v>
      </c>
      <c r="B1497">
        <v>1972</v>
      </c>
      <c r="C1497" t="s">
        <v>4712</v>
      </c>
      <c r="D1497">
        <v>5</v>
      </c>
      <c r="E1497">
        <v>0</v>
      </c>
      <c r="F1497" s="16">
        <v>12640.24</v>
      </c>
      <c r="G1497" t="s">
        <v>4700</v>
      </c>
      <c r="H1497" t="s">
        <v>4698</v>
      </c>
      <c r="I1497" t="s">
        <v>4718</v>
      </c>
      <c r="J1497" s="17">
        <f t="shared" si="46"/>
        <v>26547</v>
      </c>
      <c r="K1497">
        <f t="shared" ca="1" si="47"/>
        <v>53</v>
      </c>
    </row>
    <row r="1498" spans="1:11" ht="15.75" customHeight="1">
      <c r="A1498" t="s">
        <v>1687</v>
      </c>
      <c r="B1498">
        <v>1966</v>
      </c>
      <c r="C1498" t="s">
        <v>4714</v>
      </c>
      <c r="D1498">
        <v>17</v>
      </c>
      <c r="E1498">
        <v>2</v>
      </c>
      <c r="F1498" s="16">
        <v>12643.38</v>
      </c>
      <c r="G1498" t="s">
        <v>4700</v>
      </c>
      <c r="H1498" t="s">
        <v>4698</v>
      </c>
      <c r="I1498" t="s">
        <v>4713</v>
      </c>
      <c r="J1498" s="17">
        <f t="shared" si="46"/>
        <v>24458</v>
      </c>
      <c r="K1498">
        <f t="shared" ca="1" si="47"/>
        <v>58</v>
      </c>
    </row>
    <row r="1499" spans="1:11" ht="15.75" customHeight="1">
      <c r="A1499" t="s">
        <v>1685</v>
      </c>
      <c r="B1499">
        <v>1962</v>
      </c>
      <c r="C1499" t="s">
        <v>4708</v>
      </c>
      <c r="D1499">
        <v>11</v>
      </c>
      <c r="E1499">
        <v>0</v>
      </c>
      <c r="F1499" s="16">
        <v>12644.59</v>
      </c>
      <c r="G1499" t="s">
        <v>4700</v>
      </c>
      <c r="H1499" t="s">
        <v>4699</v>
      </c>
      <c r="I1499" t="s">
        <v>4718</v>
      </c>
      <c r="J1499" s="17">
        <f t="shared" si="46"/>
        <v>22838</v>
      </c>
      <c r="K1499">
        <f t="shared" ca="1" si="47"/>
        <v>63</v>
      </c>
    </row>
    <row r="1500" spans="1:11" ht="15.75" customHeight="1">
      <c r="A1500" t="s">
        <v>1683</v>
      </c>
      <c r="B1500">
        <v>1965</v>
      </c>
      <c r="C1500" t="s">
        <v>4712</v>
      </c>
      <c r="D1500">
        <v>14</v>
      </c>
      <c r="E1500">
        <v>2</v>
      </c>
      <c r="F1500" s="16">
        <v>12646.21</v>
      </c>
      <c r="G1500" t="s">
        <v>4700</v>
      </c>
      <c r="H1500" t="s">
        <v>4699</v>
      </c>
      <c r="I1500" t="s">
        <v>4718</v>
      </c>
      <c r="J1500" s="17">
        <f t="shared" si="46"/>
        <v>23999</v>
      </c>
      <c r="K1500">
        <f t="shared" ca="1" si="47"/>
        <v>60</v>
      </c>
    </row>
    <row r="1501" spans="1:11" ht="15.75" customHeight="1">
      <c r="A1501" t="s">
        <v>1681</v>
      </c>
      <c r="B1501">
        <v>1962</v>
      </c>
      <c r="C1501" t="s">
        <v>4716</v>
      </c>
      <c r="D1501">
        <v>27</v>
      </c>
      <c r="E1501">
        <v>0</v>
      </c>
      <c r="F1501" s="16">
        <v>12648.7</v>
      </c>
      <c r="G1501" t="s">
        <v>4700</v>
      </c>
      <c r="H1501" t="s">
        <v>4699</v>
      </c>
      <c r="I1501" t="s">
        <v>4709</v>
      </c>
      <c r="J1501" s="17">
        <f t="shared" si="46"/>
        <v>22885</v>
      </c>
      <c r="K1501">
        <f t="shared" ca="1" si="47"/>
        <v>63</v>
      </c>
    </row>
    <row r="1502" spans="1:11" ht="15.75" customHeight="1">
      <c r="A1502" t="s">
        <v>1679</v>
      </c>
      <c r="B1502">
        <v>1974</v>
      </c>
      <c r="C1502" t="s">
        <v>4712</v>
      </c>
      <c r="D1502">
        <v>24</v>
      </c>
      <c r="E1502">
        <v>0</v>
      </c>
      <c r="F1502" s="16">
        <v>12697.48</v>
      </c>
      <c r="G1502" t="s">
        <v>4700</v>
      </c>
      <c r="H1502" t="s">
        <v>4700</v>
      </c>
      <c r="I1502" t="s">
        <v>4727</v>
      </c>
      <c r="J1502" s="17">
        <f t="shared" si="46"/>
        <v>27296</v>
      </c>
      <c r="K1502">
        <f t="shared" ca="1" si="47"/>
        <v>51</v>
      </c>
    </row>
    <row r="1503" spans="1:11" ht="15.75" customHeight="1">
      <c r="A1503" t="s">
        <v>1677</v>
      </c>
      <c r="B1503">
        <v>1992</v>
      </c>
      <c r="C1503" t="s">
        <v>4708</v>
      </c>
      <c r="D1503">
        <v>7</v>
      </c>
      <c r="E1503">
        <v>0</v>
      </c>
      <c r="F1503" s="16">
        <v>12699.56</v>
      </c>
      <c r="G1503" t="s">
        <v>4700</v>
      </c>
      <c r="H1503" t="s">
        <v>4699</v>
      </c>
      <c r="I1503" t="s">
        <v>4718</v>
      </c>
      <c r="J1503" s="17">
        <f t="shared" si="46"/>
        <v>33792</v>
      </c>
      <c r="K1503">
        <f t="shared" ca="1" si="47"/>
        <v>33</v>
      </c>
    </row>
    <row r="1504" spans="1:11" ht="15.75" customHeight="1">
      <c r="A1504" t="s">
        <v>1675</v>
      </c>
      <c r="B1504">
        <v>1964</v>
      </c>
      <c r="C1504" t="s">
        <v>4710</v>
      </c>
      <c r="D1504">
        <v>28</v>
      </c>
      <c r="E1504">
        <v>0</v>
      </c>
      <c r="F1504" s="16">
        <v>12700.63</v>
      </c>
      <c r="G1504" t="s">
        <v>4700</v>
      </c>
      <c r="H1504" t="s">
        <v>4700</v>
      </c>
      <c r="I1504" t="s">
        <v>4718</v>
      </c>
      <c r="J1504" s="17">
        <f t="shared" si="46"/>
        <v>23709</v>
      </c>
      <c r="K1504">
        <f t="shared" ca="1" si="47"/>
        <v>60</v>
      </c>
    </row>
    <row r="1505" spans="1:11" ht="15.75" customHeight="1">
      <c r="A1505" t="s">
        <v>1673</v>
      </c>
      <c r="B1505">
        <v>1970</v>
      </c>
      <c r="C1505" t="s">
        <v>4708</v>
      </c>
      <c r="D1505">
        <v>8</v>
      </c>
      <c r="E1505">
        <v>0</v>
      </c>
      <c r="F1505" s="16">
        <v>12713</v>
      </c>
      <c r="G1505" t="s">
        <v>4700</v>
      </c>
      <c r="H1505" t="s">
        <v>4698</v>
      </c>
      <c r="I1505" t="s">
        <v>4718</v>
      </c>
      <c r="J1505" s="17">
        <f t="shared" si="46"/>
        <v>25757</v>
      </c>
      <c r="K1505">
        <f t="shared" ca="1" si="47"/>
        <v>55</v>
      </c>
    </row>
    <row r="1506" spans="1:11" ht="15.75" customHeight="1">
      <c r="A1506" t="s">
        <v>1671</v>
      </c>
      <c r="B1506">
        <v>1988</v>
      </c>
      <c r="C1506" t="s">
        <v>4708</v>
      </c>
      <c r="D1506">
        <v>17</v>
      </c>
      <c r="E1506">
        <v>3</v>
      </c>
      <c r="F1506" s="16">
        <v>12718.21</v>
      </c>
      <c r="G1506" t="s">
        <v>4700</v>
      </c>
      <c r="H1506" t="s">
        <v>4698</v>
      </c>
      <c r="I1506" t="s">
        <v>4730</v>
      </c>
      <c r="J1506" s="17">
        <f t="shared" si="46"/>
        <v>32341</v>
      </c>
      <c r="K1506">
        <f t="shared" ca="1" si="47"/>
        <v>37</v>
      </c>
    </row>
    <row r="1507" spans="1:11" ht="15.75" customHeight="1">
      <c r="A1507" t="s">
        <v>1669</v>
      </c>
      <c r="B1507">
        <v>1962</v>
      </c>
      <c r="C1507" t="s">
        <v>4712</v>
      </c>
      <c r="D1507">
        <v>2</v>
      </c>
      <c r="E1507">
        <v>0</v>
      </c>
      <c r="F1507" s="16">
        <v>12731</v>
      </c>
      <c r="G1507" t="s">
        <v>4700</v>
      </c>
      <c r="H1507" t="s">
        <v>4700</v>
      </c>
      <c r="I1507" t="s">
        <v>4721</v>
      </c>
      <c r="J1507" s="17">
        <f t="shared" si="46"/>
        <v>22891</v>
      </c>
      <c r="K1507">
        <f t="shared" ca="1" si="47"/>
        <v>63</v>
      </c>
    </row>
    <row r="1508" spans="1:11" ht="15.75" customHeight="1">
      <c r="A1508" t="s">
        <v>1667</v>
      </c>
      <c r="B1508">
        <v>1962</v>
      </c>
      <c r="C1508" t="s">
        <v>4717</v>
      </c>
      <c r="D1508">
        <v>1</v>
      </c>
      <c r="E1508">
        <v>0</v>
      </c>
      <c r="F1508" s="16">
        <v>12741.17</v>
      </c>
      <c r="G1508" t="s">
        <v>4700</v>
      </c>
      <c r="H1508" t="s">
        <v>4698</v>
      </c>
      <c r="I1508" t="s">
        <v>4728</v>
      </c>
      <c r="J1508" s="17">
        <f t="shared" si="46"/>
        <v>22920</v>
      </c>
      <c r="K1508">
        <f t="shared" ca="1" si="47"/>
        <v>63</v>
      </c>
    </row>
    <row r="1509" spans="1:11" ht="15.75" customHeight="1">
      <c r="A1509" t="s">
        <v>1665</v>
      </c>
      <c r="B1509">
        <v>1975</v>
      </c>
      <c r="C1509" t="s">
        <v>4712</v>
      </c>
      <c r="D1509">
        <v>25</v>
      </c>
      <c r="E1509">
        <v>1</v>
      </c>
      <c r="F1509" s="16">
        <v>12770.27</v>
      </c>
      <c r="G1509" t="s">
        <v>4700</v>
      </c>
      <c r="H1509" t="s">
        <v>4700</v>
      </c>
      <c r="I1509" t="s">
        <v>4727</v>
      </c>
      <c r="J1509" s="17">
        <f t="shared" si="46"/>
        <v>27662</v>
      </c>
      <c r="K1509">
        <f t="shared" ca="1" si="47"/>
        <v>50</v>
      </c>
    </row>
    <row r="1510" spans="1:11" ht="15.75" customHeight="1">
      <c r="A1510" t="s">
        <v>1663</v>
      </c>
      <c r="B1510">
        <v>1972</v>
      </c>
      <c r="C1510" t="s">
        <v>4717</v>
      </c>
      <c r="D1510">
        <v>7</v>
      </c>
      <c r="E1510">
        <v>0</v>
      </c>
      <c r="F1510" s="16">
        <v>12776.05</v>
      </c>
      <c r="G1510" t="s">
        <v>4700</v>
      </c>
      <c r="H1510" t="s">
        <v>4700</v>
      </c>
      <c r="I1510" t="s">
        <v>4730</v>
      </c>
      <c r="J1510" s="17">
        <f t="shared" si="46"/>
        <v>26579</v>
      </c>
      <c r="K1510">
        <f t="shared" ca="1" si="47"/>
        <v>53</v>
      </c>
    </row>
    <row r="1511" spans="1:11" ht="15.75" customHeight="1">
      <c r="A1511" t="s">
        <v>1661</v>
      </c>
      <c r="B1511">
        <v>1963</v>
      </c>
      <c r="C1511" t="s">
        <v>4714</v>
      </c>
      <c r="D1511">
        <v>5</v>
      </c>
      <c r="E1511">
        <v>0</v>
      </c>
      <c r="F1511" s="16">
        <v>12788.03</v>
      </c>
      <c r="G1511" t="s">
        <v>4700</v>
      </c>
      <c r="H1511" t="s">
        <v>4700</v>
      </c>
      <c r="I1511" t="s">
        <v>4723</v>
      </c>
      <c r="J1511" s="17">
        <f t="shared" si="46"/>
        <v>23350</v>
      </c>
      <c r="K1511">
        <f t="shared" ca="1" si="47"/>
        <v>61</v>
      </c>
    </row>
    <row r="1512" spans="1:11" ht="15.75" customHeight="1">
      <c r="A1512" t="s">
        <v>1659</v>
      </c>
      <c r="B1512">
        <v>1983</v>
      </c>
      <c r="C1512" t="s">
        <v>4717</v>
      </c>
      <c r="D1512">
        <v>29</v>
      </c>
      <c r="E1512">
        <v>3</v>
      </c>
      <c r="F1512" s="16">
        <v>12788.18</v>
      </c>
      <c r="G1512" t="s">
        <v>4700</v>
      </c>
      <c r="H1512" t="s">
        <v>4698</v>
      </c>
      <c r="I1512" t="s">
        <v>4730</v>
      </c>
      <c r="J1512" s="17">
        <f t="shared" si="46"/>
        <v>30618</v>
      </c>
      <c r="K1512">
        <f t="shared" ca="1" si="47"/>
        <v>42</v>
      </c>
    </row>
    <row r="1513" spans="1:11" ht="15.75" customHeight="1">
      <c r="A1513" t="s">
        <v>1657</v>
      </c>
      <c r="B1513">
        <v>1978</v>
      </c>
      <c r="C1513" t="s">
        <v>4708</v>
      </c>
      <c r="D1513">
        <v>24</v>
      </c>
      <c r="E1513">
        <v>0</v>
      </c>
      <c r="F1513" s="16">
        <v>12797.21</v>
      </c>
      <c r="G1513" t="s">
        <v>4700</v>
      </c>
      <c r="H1513" t="s">
        <v>4698</v>
      </c>
      <c r="I1513" t="s">
        <v>4724</v>
      </c>
      <c r="J1513" s="17">
        <f t="shared" si="46"/>
        <v>28695</v>
      </c>
      <c r="K1513">
        <f t="shared" ca="1" si="47"/>
        <v>47</v>
      </c>
    </row>
    <row r="1514" spans="1:11" ht="15.75" customHeight="1">
      <c r="A1514" t="s">
        <v>1655</v>
      </c>
      <c r="B1514">
        <v>1963</v>
      </c>
      <c r="C1514" t="s">
        <v>4708</v>
      </c>
      <c r="D1514">
        <v>20</v>
      </c>
      <c r="E1514">
        <v>0</v>
      </c>
      <c r="F1514" s="16">
        <v>12815.44</v>
      </c>
      <c r="G1514" t="s">
        <v>4700</v>
      </c>
      <c r="H1514" t="s">
        <v>4700</v>
      </c>
      <c r="I1514" t="s">
        <v>4724</v>
      </c>
      <c r="J1514" s="17">
        <f t="shared" si="46"/>
        <v>23212</v>
      </c>
      <c r="K1514">
        <f t="shared" ca="1" si="47"/>
        <v>62</v>
      </c>
    </row>
    <row r="1515" spans="1:11" ht="15.75" customHeight="1">
      <c r="A1515" t="s">
        <v>1653</v>
      </c>
      <c r="B1515">
        <v>1967</v>
      </c>
      <c r="C1515" t="s">
        <v>4712</v>
      </c>
      <c r="D1515">
        <v>25</v>
      </c>
      <c r="E1515">
        <v>0</v>
      </c>
      <c r="F1515" s="16">
        <v>12823.25</v>
      </c>
      <c r="G1515" t="s">
        <v>4700</v>
      </c>
      <c r="H1515" t="s">
        <v>4700</v>
      </c>
      <c r="I1515" t="s">
        <v>4727</v>
      </c>
      <c r="J1515" s="17">
        <f t="shared" si="46"/>
        <v>24740</v>
      </c>
      <c r="K1515">
        <f t="shared" ca="1" si="47"/>
        <v>58</v>
      </c>
    </row>
    <row r="1516" spans="1:11" ht="15.75" customHeight="1">
      <c r="A1516" t="s">
        <v>1651</v>
      </c>
      <c r="B1516">
        <v>2004</v>
      </c>
      <c r="C1516" t="s">
        <v>4710</v>
      </c>
      <c r="D1516">
        <v>9</v>
      </c>
      <c r="E1516">
        <v>2</v>
      </c>
      <c r="F1516" s="16">
        <v>12829.46</v>
      </c>
      <c r="G1516" t="s">
        <v>4700</v>
      </c>
      <c r="H1516" t="s">
        <v>4700</v>
      </c>
      <c r="I1516" t="s">
        <v>4721</v>
      </c>
      <c r="J1516" s="17">
        <f t="shared" si="46"/>
        <v>38300</v>
      </c>
      <c r="K1516">
        <f t="shared" ca="1" si="47"/>
        <v>21</v>
      </c>
    </row>
    <row r="1517" spans="1:11" ht="15.75" customHeight="1">
      <c r="A1517" t="s">
        <v>1649</v>
      </c>
      <c r="B1517">
        <v>1993</v>
      </c>
      <c r="C1517" t="s">
        <v>4712</v>
      </c>
      <c r="D1517">
        <v>27</v>
      </c>
      <c r="E1517">
        <v>0</v>
      </c>
      <c r="F1517" s="16">
        <v>12847.24</v>
      </c>
      <c r="G1517" t="s">
        <v>4700</v>
      </c>
      <c r="H1517" t="s">
        <v>4699</v>
      </c>
      <c r="I1517" t="s">
        <v>4713</v>
      </c>
      <c r="J1517" s="17">
        <f t="shared" si="46"/>
        <v>34239</v>
      </c>
      <c r="K1517">
        <f t="shared" ca="1" si="47"/>
        <v>32</v>
      </c>
    </row>
    <row r="1518" spans="1:11" ht="15.75" customHeight="1">
      <c r="A1518" t="s">
        <v>1647</v>
      </c>
      <c r="B1518">
        <v>1973</v>
      </c>
      <c r="C1518" t="s">
        <v>4712</v>
      </c>
      <c r="D1518">
        <v>22</v>
      </c>
      <c r="E1518">
        <v>0</v>
      </c>
      <c r="F1518" s="16">
        <v>12852.37</v>
      </c>
      <c r="G1518" t="s">
        <v>4700</v>
      </c>
      <c r="H1518" t="s">
        <v>4698</v>
      </c>
      <c r="I1518" t="s">
        <v>4713</v>
      </c>
      <c r="J1518" s="17">
        <f t="shared" si="46"/>
        <v>26929</v>
      </c>
      <c r="K1518">
        <f t="shared" ca="1" si="47"/>
        <v>52</v>
      </c>
    </row>
    <row r="1519" spans="1:11" ht="15.75" customHeight="1">
      <c r="A1519" t="s">
        <v>1645</v>
      </c>
      <c r="B1519">
        <v>1963</v>
      </c>
      <c r="C1519" t="s">
        <v>4712</v>
      </c>
      <c r="D1519">
        <v>27</v>
      </c>
      <c r="E1519">
        <v>0</v>
      </c>
      <c r="F1519" s="16">
        <v>12856.84</v>
      </c>
      <c r="G1519" t="s">
        <v>4700</v>
      </c>
      <c r="H1519" t="s">
        <v>4700</v>
      </c>
      <c r="I1519" t="s">
        <v>4727</v>
      </c>
      <c r="J1519" s="17">
        <f t="shared" si="46"/>
        <v>23281</v>
      </c>
      <c r="K1519">
        <f t="shared" ca="1" si="47"/>
        <v>62</v>
      </c>
    </row>
    <row r="1520" spans="1:11" ht="15.75" customHeight="1">
      <c r="A1520" t="s">
        <v>1643</v>
      </c>
      <c r="B1520">
        <v>1984</v>
      </c>
      <c r="C1520" t="s">
        <v>4716</v>
      </c>
      <c r="D1520">
        <v>6</v>
      </c>
      <c r="E1520">
        <v>3</v>
      </c>
      <c r="F1520" s="16">
        <v>12870.31</v>
      </c>
      <c r="G1520" t="s">
        <v>4700</v>
      </c>
      <c r="H1520" t="s">
        <v>4700</v>
      </c>
      <c r="I1520" t="s">
        <v>4713</v>
      </c>
      <c r="J1520" s="17">
        <f t="shared" si="46"/>
        <v>30900</v>
      </c>
      <c r="K1520">
        <f t="shared" ca="1" si="47"/>
        <v>41</v>
      </c>
    </row>
    <row r="1521" spans="1:11" ht="15.75" customHeight="1">
      <c r="A1521" t="s">
        <v>1641</v>
      </c>
      <c r="B1521">
        <v>2004</v>
      </c>
      <c r="C1521" t="s">
        <v>4708</v>
      </c>
      <c r="D1521">
        <v>9</v>
      </c>
      <c r="E1521">
        <v>0</v>
      </c>
      <c r="F1521" s="16">
        <v>12890.06</v>
      </c>
      <c r="G1521" t="s">
        <v>4700</v>
      </c>
      <c r="H1521" t="s">
        <v>4698</v>
      </c>
      <c r="I1521" t="s">
        <v>4720</v>
      </c>
      <c r="J1521" s="17">
        <f t="shared" si="46"/>
        <v>38177</v>
      </c>
      <c r="K1521">
        <f t="shared" ca="1" si="47"/>
        <v>21</v>
      </c>
    </row>
    <row r="1522" spans="1:11" ht="15.75" customHeight="1">
      <c r="A1522" t="s">
        <v>1639</v>
      </c>
      <c r="B1522">
        <v>1963</v>
      </c>
      <c r="C1522" t="s">
        <v>4716</v>
      </c>
      <c r="D1522">
        <v>16</v>
      </c>
      <c r="E1522">
        <v>1</v>
      </c>
      <c r="F1522" s="16">
        <v>12913.99</v>
      </c>
      <c r="G1522" t="s">
        <v>4700</v>
      </c>
      <c r="H1522" t="s">
        <v>4699</v>
      </c>
      <c r="I1522" t="s">
        <v>4721</v>
      </c>
      <c r="J1522" s="17">
        <f t="shared" si="46"/>
        <v>23239</v>
      </c>
      <c r="K1522">
        <f t="shared" ca="1" si="47"/>
        <v>62</v>
      </c>
    </row>
    <row r="1523" spans="1:11" ht="15.75" customHeight="1">
      <c r="A1523" t="s">
        <v>1637</v>
      </c>
      <c r="B1523">
        <v>1963</v>
      </c>
      <c r="C1523" t="s">
        <v>4712</v>
      </c>
      <c r="D1523">
        <v>1</v>
      </c>
      <c r="E1523">
        <v>2</v>
      </c>
      <c r="F1523" s="16">
        <v>12925.89</v>
      </c>
      <c r="G1523" t="s">
        <v>4700</v>
      </c>
      <c r="H1523" t="s">
        <v>4699</v>
      </c>
      <c r="I1523" t="s">
        <v>4709</v>
      </c>
      <c r="J1523" s="17">
        <f t="shared" si="46"/>
        <v>23255</v>
      </c>
      <c r="K1523">
        <f t="shared" ca="1" si="47"/>
        <v>62</v>
      </c>
    </row>
    <row r="1524" spans="1:11" ht="15.75" customHeight="1">
      <c r="A1524" t="s">
        <v>1635</v>
      </c>
      <c r="B1524">
        <v>1963</v>
      </c>
      <c r="C1524" t="s">
        <v>4716</v>
      </c>
      <c r="D1524">
        <v>14</v>
      </c>
      <c r="E1524">
        <v>2</v>
      </c>
      <c r="F1524" s="16">
        <v>12928.79</v>
      </c>
      <c r="G1524" t="s">
        <v>4700</v>
      </c>
      <c r="H1524" t="s">
        <v>4699</v>
      </c>
      <c r="I1524" t="s">
        <v>4709</v>
      </c>
      <c r="J1524" s="17">
        <f t="shared" si="46"/>
        <v>23237</v>
      </c>
      <c r="K1524">
        <f t="shared" ca="1" si="47"/>
        <v>62</v>
      </c>
    </row>
    <row r="1525" spans="1:11" ht="15.75" customHeight="1">
      <c r="A1525" t="s">
        <v>1633</v>
      </c>
      <c r="B1525">
        <v>1966</v>
      </c>
      <c r="C1525" t="s">
        <v>4714</v>
      </c>
      <c r="D1525">
        <v>22</v>
      </c>
      <c r="E1525">
        <v>4</v>
      </c>
      <c r="F1525" s="16">
        <v>12949.16</v>
      </c>
      <c r="G1525" t="s">
        <v>4700</v>
      </c>
      <c r="H1525" t="s">
        <v>4700</v>
      </c>
      <c r="I1525" t="s">
        <v>4709</v>
      </c>
      <c r="J1525" s="17">
        <f t="shared" si="46"/>
        <v>24463</v>
      </c>
      <c r="K1525">
        <f t="shared" ca="1" si="47"/>
        <v>58</v>
      </c>
    </row>
    <row r="1526" spans="1:11" ht="15.75" customHeight="1">
      <c r="A1526" t="s">
        <v>1631</v>
      </c>
      <c r="B1526">
        <v>1961</v>
      </c>
      <c r="C1526" t="s">
        <v>4716</v>
      </c>
      <c r="D1526">
        <v>20</v>
      </c>
      <c r="E1526">
        <v>0</v>
      </c>
      <c r="F1526" s="16">
        <v>12950.07</v>
      </c>
      <c r="G1526" t="s">
        <v>4700</v>
      </c>
      <c r="H1526" t="s">
        <v>4698</v>
      </c>
      <c r="I1526" t="s">
        <v>4713</v>
      </c>
      <c r="J1526" s="17">
        <f t="shared" si="46"/>
        <v>22513</v>
      </c>
      <c r="K1526">
        <f t="shared" ca="1" si="47"/>
        <v>64</v>
      </c>
    </row>
    <row r="1527" spans="1:11" ht="15.75" customHeight="1">
      <c r="A1527" t="s">
        <v>1629</v>
      </c>
      <c r="B1527">
        <v>1960</v>
      </c>
      <c r="C1527" t="s">
        <v>4710</v>
      </c>
      <c r="D1527">
        <v>4</v>
      </c>
      <c r="E1527">
        <v>0</v>
      </c>
      <c r="F1527" s="16">
        <v>12957.12</v>
      </c>
      <c r="G1527" t="s">
        <v>4700</v>
      </c>
      <c r="H1527" t="s">
        <v>4698</v>
      </c>
      <c r="I1527" t="s">
        <v>4718</v>
      </c>
      <c r="J1527" s="17">
        <f t="shared" si="46"/>
        <v>22224</v>
      </c>
      <c r="K1527">
        <f t="shared" ca="1" si="47"/>
        <v>65</v>
      </c>
    </row>
    <row r="1528" spans="1:11" ht="15.75" customHeight="1">
      <c r="A1528" t="s">
        <v>1627</v>
      </c>
      <c r="B1528">
        <v>1960</v>
      </c>
      <c r="C1528" t="s">
        <v>4711</v>
      </c>
      <c r="D1528">
        <v>22</v>
      </c>
      <c r="E1528">
        <v>0</v>
      </c>
      <c r="F1528" s="16">
        <v>12979.36</v>
      </c>
      <c r="G1528" t="s">
        <v>4700</v>
      </c>
      <c r="H1528" t="s">
        <v>4698</v>
      </c>
      <c r="I1528" t="s">
        <v>4718</v>
      </c>
      <c r="J1528" s="17">
        <f t="shared" si="46"/>
        <v>22089</v>
      </c>
      <c r="K1528">
        <f t="shared" ca="1" si="47"/>
        <v>65</v>
      </c>
    </row>
    <row r="1529" spans="1:11" ht="15.75" customHeight="1">
      <c r="A1529" t="s">
        <v>1625</v>
      </c>
      <c r="B1529">
        <v>1960</v>
      </c>
      <c r="C1529" t="s">
        <v>4712</v>
      </c>
      <c r="D1529">
        <v>23</v>
      </c>
      <c r="E1529">
        <v>0</v>
      </c>
      <c r="F1529" s="16">
        <v>12981.35</v>
      </c>
      <c r="G1529" t="s">
        <v>4700</v>
      </c>
      <c r="H1529" t="s">
        <v>4700</v>
      </c>
      <c r="I1529" t="s">
        <v>4709</v>
      </c>
      <c r="J1529" s="17">
        <f t="shared" si="46"/>
        <v>22182</v>
      </c>
      <c r="K1529">
        <f t="shared" ca="1" si="47"/>
        <v>65</v>
      </c>
    </row>
    <row r="1530" spans="1:11" ht="15.75" customHeight="1">
      <c r="A1530" t="s">
        <v>1623</v>
      </c>
      <c r="B1530">
        <v>1960</v>
      </c>
      <c r="C1530" t="s">
        <v>4710</v>
      </c>
      <c r="D1530">
        <v>28</v>
      </c>
      <c r="E1530">
        <v>0</v>
      </c>
      <c r="F1530" s="16">
        <v>12982.87</v>
      </c>
      <c r="G1530" t="s">
        <v>4700</v>
      </c>
      <c r="H1530" t="s">
        <v>4698</v>
      </c>
      <c r="I1530" t="s">
        <v>4709</v>
      </c>
      <c r="J1530" s="17">
        <f t="shared" si="46"/>
        <v>22248</v>
      </c>
      <c r="K1530">
        <f t="shared" ca="1" si="47"/>
        <v>64</v>
      </c>
    </row>
    <row r="1531" spans="1:11" ht="15.75" customHeight="1">
      <c r="A1531" t="s">
        <v>1621</v>
      </c>
      <c r="B1531">
        <v>1979</v>
      </c>
      <c r="C1531" t="s">
        <v>4710</v>
      </c>
      <c r="D1531">
        <v>27</v>
      </c>
      <c r="E1531">
        <v>2</v>
      </c>
      <c r="F1531" s="16">
        <v>12994.12</v>
      </c>
      <c r="G1531" t="s">
        <v>4700</v>
      </c>
      <c r="H1531" t="s">
        <v>4699</v>
      </c>
      <c r="I1531" t="s">
        <v>4730</v>
      </c>
      <c r="J1531" s="17">
        <f t="shared" si="46"/>
        <v>29186</v>
      </c>
      <c r="K1531">
        <f t="shared" ca="1" si="47"/>
        <v>46</v>
      </c>
    </row>
    <row r="1532" spans="1:11" ht="15.75" customHeight="1">
      <c r="A1532" t="s">
        <v>1619</v>
      </c>
      <c r="B1532">
        <v>1981</v>
      </c>
      <c r="C1532" t="s">
        <v>4717</v>
      </c>
      <c r="D1532">
        <v>30</v>
      </c>
      <c r="E1532">
        <v>1</v>
      </c>
      <c r="F1532" s="16">
        <v>13002.91</v>
      </c>
      <c r="G1532" t="s">
        <v>4700</v>
      </c>
      <c r="H1532" t="s">
        <v>4698</v>
      </c>
      <c r="I1532" t="s">
        <v>4713</v>
      </c>
      <c r="J1532" s="17">
        <f t="shared" si="46"/>
        <v>29889</v>
      </c>
      <c r="K1532">
        <f t="shared" ca="1" si="47"/>
        <v>44</v>
      </c>
    </row>
    <row r="1533" spans="1:11" ht="15.75" customHeight="1">
      <c r="A1533" t="s">
        <v>1617</v>
      </c>
      <c r="B1533">
        <v>1962</v>
      </c>
      <c r="C1533" t="s">
        <v>4711</v>
      </c>
      <c r="D1533">
        <v>24</v>
      </c>
      <c r="E1533">
        <v>0</v>
      </c>
      <c r="F1533" s="16">
        <v>13004.95</v>
      </c>
      <c r="G1533" t="s">
        <v>4700</v>
      </c>
      <c r="H1533" t="s">
        <v>4698</v>
      </c>
      <c r="I1533" t="s">
        <v>4713</v>
      </c>
      <c r="J1533" s="17">
        <f t="shared" si="46"/>
        <v>22821</v>
      </c>
      <c r="K1533">
        <f t="shared" ca="1" si="47"/>
        <v>63</v>
      </c>
    </row>
    <row r="1534" spans="1:11" ht="15.75" customHeight="1">
      <c r="A1534" t="s">
        <v>1615</v>
      </c>
      <c r="B1534">
        <v>1969</v>
      </c>
      <c r="C1534" t="s">
        <v>4714</v>
      </c>
      <c r="D1534">
        <v>13</v>
      </c>
      <c r="E1534">
        <v>0</v>
      </c>
      <c r="F1534" s="16">
        <v>13008.07</v>
      </c>
      <c r="G1534" t="s">
        <v>4700</v>
      </c>
      <c r="H1534" t="s">
        <v>4700</v>
      </c>
      <c r="I1534" t="s">
        <v>4713</v>
      </c>
      <c r="J1534" s="17">
        <f t="shared" si="46"/>
        <v>25550</v>
      </c>
      <c r="K1534">
        <f t="shared" ca="1" si="47"/>
        <v>55</v>
      </c>
    </row>
    <row r="1535" spans="1:11" ht="15.75" customHeight="1">
      <c r="A1535" t="s">
        <v>1613</v>
      </c>
      <c r="B1535">
        <v>1972</v>
      </c>
      <c r="C1535" t="s">
        <v>4712</v>
      </c>
      <c r="D1535">
        <v>27</v>
      </c>
      <c r="E1535">
        <v>0</v>
      </c>
      <c r="F1535" s="16">
        <v>13010.86</v>
      </c>
      <c r="G1535" t="s">
        <v>4700</v>
      </c>
      <c r="H1535" t="s">
        <v>4699</v>
      </c>
      <c r="I1535" t="s">
        <v>4713</v>
      </c>
      <c r="J1535" s="17">
        <f t="shared" si="46"/>
        <v>26569</v>
      </c>
      <c r="K1535">
        <f t="shared" ca="1" si="47"/>
        <v>53</v>
      </c>
    </row>
    <row r="1536" spans="1:11" ht="15.75" customHeight="1">
      <c r="A1536" t="s">
        <v>1611</v>
      </c>
      <c r="B1536">
        <v>1962</v>
      </c>
      <c r="C1536" t="s">
        <v>4708</v>
      </c>
      <c r="D1536">
        <v>20</v>
      </c>
      <c r="E1536">
        <v>0</v>
      </c>
      <c r="F1536" s="16">
        <v>13012.21</v>
      </c>
      <c r="G1536" t="s">
        <v>4700</v>
      </c>
      <c r="H1536" t="s">
        <v>4698</v>
      </c>
      <c r="I1536" t="s">
        <v>4713</v>
      </c>
      <c r="J1536" s="17">
        <f t="shared" si="46"/>
        <v>22847</v>
      </c>
      <c r="K1536">
        <f t="shared" ca="1" si="47"/>
        <v>63</v>
      </c>
    </row>
    <row r="1537" spans="1:11" ht="15.75" customHeight="1">
      <c r="A1537" t="s">
        <v>1609</v>
      </c>
      <c r="B1537">
        <v>1964</v>
      </c>
      <c r="C1537" t="s">
        <v>4712</v>
      </c>
      <c r="D1537">
        <v>23</v>
      </c>
      <c r="E1537">
        <v>1</v>
      </c>
      <c r="F1537" s="16">
        <v>13019.16</v>
      </c>
      <c r="G1537" t="s">
        <v>4700</v>
      </c>
      <c r="H1537" t="s">
        <v>4698</v>
      </c>
      <c r="I1537" t="s">
        <v>4724</v>
      </c>
      <c r="J1537" s="17">
        <f t="shared" si="46"/>
        <v>23643</v>
      </c>
      <c r="K1537">
        <f t="shared" ca="1" si="47"/>
        <v>61</v>
      </c>
    </row>
    <row r="1538" spans="1:11" ht="15.75" customHeight="1">
      <c r="A1538" t="s">
        <v>1607</v>
      </c>
      <c r="B1538">
        <v>1965</v>
      </c>
      <c r="C1538" t="s">
        <v>4710</v>
      </c>
      <c r="D1538">
        <v>4</v>
      </c>
      <c r="E1538">
        <v>0</v>
      </c>
      <c r="F1538" s="16">
        <v>13023.93</v>
      </c>
      <c r="G1538" t="s">
        <v>4700</v>
      </c>
      <c r="H1538" t="s">
        <v>4699</v>
      </c>
      <c r="I1538" t="s">
        <v>4723</v>
      </c>
      <c r="J1538" s="17">
        <f t="shared" si="46"/>
        <v>24050</v>
      </c>
      <c r="K1538">
        <f t="shared" ca="1" si="47"/>
        <v>60</v>
      </c>
    </row>
    <row r="1539" spans="1:11" ht="15.75" customHeight="1">
      <c r="A1539" t="s">
        <v>1605</v>
      </c>
      <c r="B1539">
        <v>1961</v>
      </c>
      <c r="C1539" t="s">
        <v>4710</v>
      </c>
      <c r="D1539">
        <v>9</v>
      </c>
      <c r="E1539">
        <v>0</v>
      </c>
      <c r="F1539" s="16">
        <v>13041.92</v>
      </c>
      <c r="G1539" t="s">
        <v>4700</v>
      </c>
      <c r="H1539" t="s">
        <v>4698</v>
      </c>
      <c r="I1539" t="s">
        <v>4718</v>
      </c>
      <c r="J1539" s="17">
        <f t="shared" ref="J1539:J1602" si="48">DATEVALUE(D1539&amp;"-"&amp;C1539&amp;" -"&amp;B1539)</f>
        <v>22594</v>
      </c>
      <c r="K1539">
        <f t="shared" ref="K1539:K1602" ca="1" si="49">DATEDIF(J1539,TODAY(),"Y")</f>
        <v>64</v>
      </c>
    </row>
    <row r="1540" spans="1:11" ht="15.75" customHeight="1">
      <c r="A1540" t="s">
        <v>1603</v>
      </c>
      <c r="B1540">
        <v>1969</v>
      </c>
      <c r="C1540" t="s">
        <v>4712</v>
      </c>
      <c r="D1540">
        <v>23</v>
      </c>
      <c r="E1540">
        <v>0</v>
      </c>
      <c r="F1540" s="16">
        <v>13044.41</v>
      </c>
      <c r="G1540" t="s">
        <v>4700</v>
      </c>
      <c r="H1540" t="s">
        <v>4698</v>
      </c>
      <c r="I1540" t="s">
        <v>4713</v>
      </c>
      <c r="J1540" s="17">
        <f t="shared" si="48"/>
        <v>25469</v>
      </c>
      <c r="K1540">
        <f t="shared" ca="1" si="49"/>
        <v>56</v>
      </c>
    </row>
    <row r="1541" spans="1:11" ht="15.75" customHeight="1">
      <c r="A1541" t="s">
        <v>1601</v>
      </c>
      <c r="B1541">
        <v>1967</v>
      </c>
      <c r="C1541" t="s">
        <v>4716</v>
      </c>
      <c r="D1541">
        <v>6</v>
      </c>
      <c r="E1541">
        <v>3</v>
      </c>
      <c r="F1541" s="16">
        <v>13047.33</v>
      </c>
      <c r="G1541" t="s">
        <v>4700</v>
      </c>
      <c r="H1541" t="s">
        <v>4700</v>
      </c>
      <c r="I1541" t="s">
        <v>4724</v>
      </c>
      <c r="J1541" s="17">
        <f t="shared" si="48"/>
        <v>24690</v>
      </c>
      <c r="K1541">
        <f t="shared" ca="1" si="49"/>
        <v>58</v>
      </c>
    </row>
    <row r="1542" spans="1:11" ht="15.75" customHeight="1">
      <c r="A1542" t="s">
        <v>1599</v>
      </c>
      <c r="B1542">
        <v>1985</v>
      </c>
      <c r="C1542" t="s">
        <v>4717</v>
      </c>
      <c r="D1542">
        <v>26</v>
      </c>
      <c r="E1542">
        <v>3</v>
      </c>
      <c r="F1542" s="16">
        <v>13051.22</v>
      </c>
      <c r="G1542" t="s">
        <v>4700</v>
      </c>
      <c r="H1542" t="s">
        <v>4698</v>
      </c>
      <c r="I1542" t="s">
        <v>4730</v>
      </c>
      <c r="J1542" s="17">
        <f t="shared" si="48"/>
        <v>31346</v>
      </c>
      <c r="K1542">
        <f t="shared" ca="1" si="49"/>
        <v>40</v>
      </c>
    </row>
    <row r="1543" spans="1:11" ht="15.75" customHeight="1">
      <c r="A1543" t="s">
        <v>1597</v>
      </c>
      <c r="B1543">
        <v>1961</v>
      </c>
      <c r="C1543" t="s">
        <v>4710</v>
      </c>
      <c r="D1543">
        <v>6</v>
      </c>
      <c r="E1543">
        <v>0</v>
      </c>
      <c r="F1543" s="16">
        <v>13063.88</v>
      </c>
      <c r="G1543" t="s">
        <v>4700</v>
      </c>
      <c r="H1543" t="s">
        <v>4699</v>
      </c>
      <c r="I1543" t="s">
        <v>4718</v>
      </c>
      <c r="J1543" s="17">
        <f t="shared" si="48"/>
        <v>22591</v>
      </c>
      <c r="K1543">
        <f t="shared" ca="1" si="49"/>
        <v>64</v>
      </c>
    </row>
    <row r="1544" spans="1:11" ht="15.75" customHeight="1">
      <c r="A1544" t="s">
        <v>1595</v>
      </c>
      <c r="B1544">
        <v>1978</v>
      </c>
      <c r="C1544" t="s">
        <v>4708</v>
      </c>
      <c r="D1544">
        <v>17</v>
      </c>
      <c r="E1544">
        <v>2</v>
      </c>
      <c r="F1544" s="16">
        <v>13101.74</v>
      </c>
      <c r="G1544" t="s">
        <v>4700</v>
      </c>
      <c r="H1544" t="s">
        <v>4699</v>
      </c>
      <c r="I1544" t="s">
        <v>4730</v>
      </c>
      <c r="J1544" s="17">
        <f t="shared" si="48"/>
        <v>28688</v>
      </c>
      <c r="K1544">
        <f t="shared" ca="1" si="49"/>
        <v>47</v>
      </c>
    </row>
    <row r="1545" spans="1:11" ht="15.75" customHeight="1">
      <c r="A1545" t="s">
        <v>1593</v>
      </c>
      <c r="B1545">
        <v>1971</v>
      </c>
      <c r="C1545" t="s">
        <v>4717</v>
      </c>
      <c r="D1545">
        <v>30</v>
      </c>
      <c r="E1545">
        <v>0</v>
      </c>
      <c r="F1545" s="16">
        <v>13110.79</v>
      </c>
      <c r="G1545" t="s">
        <v>4700</v>
      </c>
      <c r="H1545" t="s">
        <v>4699</v>
      </c>
      <c r="I1545" t="s">
        <v>4718</v>
      </c>
      <c r="J1545" s="17">
        <f t="shared" si="48"/>
        <v>26236</v>
      </c>
      <c r="K1545">
        <f t="shared" ca="1" si="49"/>
        <v>54</v>
      </c>
    </row>
    <row r="1546" spans="1:11" ht="15.75" customHeight="1">
      <c r="A1546" t="s">
        <v>1591</v>
      </c>
      <c r="B1546">
        <v>1962</v>
      </c>
      <c r="C1546" t="s">
        <v>4716</v>
      </c>
      <c r="D1546">
        <v>2</v>
      </c>
      <c r="E1546">
        <v>1</v>
      </c>
      <c r="F1546" s="16">
        <v>13112.6</v>
      </c>
      <c r="G1546" t="s">
        <v>4700</v>
      </c>
      <c r="H1546" t="s">
        <v>4700</v>
      </c>
      <c r="I1546" t="s">
        <v>4713</v>
      </c>
      <c r="J1546" s="17">
        <f t="shared" si="48"/>
        <v>22860</v>
      </c>
      <c r="K1546">
        <f t="shared" ca="1" si="49"/>
        <v>63</v>
      </c>
    </row>
    <row r="1547" spans="1:11" ht="15.75" customHeight="1">
      <c r="A1547" t="s">
        <v>1589</v>
      </c>
      <c r="B1547">
        <v>1992</v>
      </c>
      <c r="C1547" t="s">
        <v>4716</v>
      </c>
      <c r="D1547">
        <v>12</v>
      </c>
      <c r="E1547">
        <v>0</v>
      </c>
      <c r="F1547" s="16">
        <v>13113.51</v>
      </c>
      <c r="G1547" t="s">
        <v>4700</v>
      </c>
      <c r="H1547" t="s">
        <v>4699</v>
      </c>
      <c r="I1547" t="s">
        <v>4730</v>
      </c>
      <c r="J1547" s="17">
        <f t="shared" si="48"/>
        <v>33828</v>
      </c>
      <c r="K1547">
        <f t="shared" ca="1" si="49"/>
        <v>33</v>
      </c>
    </row>
    <row r="1548" spans="1:11" ht="15.75" customHeight="1">
      <c r="A1548" t="s">
        <v>1587</v>
      </c>
      <c r="B1548">
        <v>1963</v>
      </c>
      <c r="C1548" t="s">
        <v>4712</v>
      </c>
      <c r="D1548">
        <v>14</v>
      </c>
      <c r="E1548">
        <v>0</v>
      </c>
      <c r="F1548" s="16">
        <v>13116.84</v>
      </c>
      <c r="G1548" t="s">
        <v>4700</v>
      </c>
      <c r="H1548" t="s">
        <v>4698</v>
      </c>
      <c r="I1548" t="s">
        <v>4713</v>
      </c>
      <c r="J1548" s="17">
        <f t="shared" si="48"/>
        <v>23268</v>
      </c>
      <c r="K1548">
        <f t="shared" ca="1" si="49"/>
        <v>62</v>
      </c>
    </row>
    <row r="1549" spans="1:11" ht="15.75" customHeight="1">
      <c r="A1549" t="s">
        <v>1585</v>
      </c>
      <c r="B1549">
        <v>1999</v>
      </c>
      <c r="C1549" t="s">
        <v>4716</v>
      </c>
      <c r="D1549">
        <v>16</v>
      </c>
      <c r="E1549">
        <v>0</v>
      </c>
      <c r="F1549" s="16">
        <v>13126.68</v>
      </c>
      <c r="G1549" t="s">
        <v>4700</v>
      </c>
      <c r="H1549" t="s">
        <v>4700</v>
      </c>
      <c r="I1549" t="s">
        <v>4718</v>
      </c>
      <c r="J1549" s="17">
        <f t="shared" si="48"/>
        <v>36388</v>
      </c>
      <c r="K1549">
        <f t="shared" ca="1" si="49"/>
        <v>26</v>
      </c>
    </row>
    <row r="1550" spans="1:11" ht="15.75" customHeight="1">
      <c r="A1550" t="s">
        <v>1583</v>
      </c>
      <c r="B1550">
        <v>1961</v>
      </c>
      <c r="C1550" t="s">
        <v>4712</v>
      </c>
      <c r="D1550">
        <v>7</v>
      </c>
      <c r="E1550">
        <v>0</v>
      </c>
      <c r="F1550" s="16">
        <v>13129.6</v>
      </c>
      <c r="G1550" t="s">
        <v>4700</v>
      </c>
      <c r="H1550" t="s">
        <v>4699</v>
      </c>
      <c r="I1550" t="s">
        <v>4728</v>
      </c>
      <c r="J1550" s="17">
        <f t="shared" si="48"/>
        <v>22531</v>
      </c>
      <c r="K1550">
        <f t="shared" ca="1" si="49"/>
        <v>64</v>
      </c>
    </row>
    <row r="1551" spans="1:11" ht="15.75" customHeight="1">
      <c r="A1551" t="s">
        <v>1581</v>
      </c>
      <c r="B1551">
        <v>1961</v>
      </c>
      <c r="C1551" t="s">
        <v>4714</v>
      </c>
      <c r="D1551">
        <v>6</v>
      </c>
      <c r="E1551">
        <v>0</v>
      </c>
      <c r="F1551" s="16">
        <v>13143.34</v>
      </c>
      <c r="G1551" t="s">
        <v>4700</v>
      </c>
      <c r="H1551" t="s">
        <v>4699</v>
      </c>
      <c r="I1551" t="s">
        <v>4729</v>
      </c>
      <c r="J1551" s="17">
        <f t="shared" si="48"/>
        <v>22621</v>
      </c>
      <c r="K1551">
        <f t="shared" ca="1" si="49"/>
        <v>63</v>
      </c>
    </row>
    <row r="1552" spans="1:11" ht="15.75" customHeight="1">
      <c r="A1552" t="s">
        <v>1579</v>
      </c>
      <c r="B1552">
        <v>1961</v>
      </c>
      <c r="C1552" t="s">
        <v>4714</v>
      </c>
      <c r="D1552">
        <v>6</v>
      </c>
      <c r="E1552">
        <v>0</v>
      </c>
      <c r="F1552" s="16">
        <v>13143.86</v>
      </c>
      <c r="G1552" t="s">
        <v>4700</v>
      </c>
      <c r="H1552" t="s">
        <v>4699</v>
      </c>
      <c r="I1552" t="s">
        <v>4721</v>
      </c>
      <c r="J1552" s="17">
        <f t="shared" si="48"/>
        <v>22621</v>
      </c>
      <c r="K1552">
        <f t="shared" ca="1" si="49"/>
        <v>63</v>
      </c>
    </row>
    <row r="1553" spans="1:11" ht="15.75" customHeight="1">
      <c r="A1553" t="s">
        <v>1577</v>
      </c>
      <c r="B1553">
        <v>1962</v>
      </c>
      <c r="C1553" t="s">
        <v>4716</v>
      </c>
      <c r="D1553">
        <v>5</v>
      </c>
      <c r="E1553">
        <v>0</v>
      </c>
      <c r="F1553" s="16">
        <v>13204.29</v>
      </c>
      <c r="G1553" t="s">
        <v>4700</v>
      </c>
      <c r="H1553" t="s">
        <v>4698</v>
      </c>
      <c r="I1553" t="s">
        <v>4724</v>
      </c>
      <c r="J1553" s="17">
        <f t="shared" si="48"/>
        <v>22863</v>
      </c>
      <c r="K1553">
        <f t="shared" ca="1" si="49"/>
        <v>63</v>
      </c>
    </row>
    <row r="1554" spans="1:11" ht="15.75" customHeight="1">
      <c r="A1554" t="s">
        <v>1575</v>
      </c>
      <c r="B1554">
        <v>1982</v>
      </c>
      <c r="C1554" t="s">
        <v>4717</v>
      </c>
      <c r="D1554">
        <v>15</v>
      </c>
      <c r="E1554">
        <v>3</v>
      </c>
      <c r="F1554" s="16">
        <v>13214.43</v>
      </c>
      <c r="G1554" t="s">
        <v>4700</v>
      </c>
      <c r="H1554" t="s">
        <v>4699</v>
      </c>
      <c r="I1554" t="s">
        <v>4713</v>
      </c>
      <c r="J1554" s="17">
        <f t="shared" si="48"/>
        <v>30239</v>
      </c>
      <c r="K1554">
        <f t="shared" ca="1" si="49"/>
        <v>43</v>
      </c>
    </row>
    <row r="1555" spans="1:11" ht="15.75" customHeight="1">
      <c r="A1555" t="s">
        <v>1573</v>
      </c>
      <c r="B1555">
        <v>1962</v>
      </c>
      <c r="C1555" t="s">
        <v>4714</v>
      </c>
      <c r="D1555">
        <v>7</v>
      </c>
      <c r="E1555">
        <v>0</v>
      </c>
      <c r="F1555" s="16">
        <v>13217.09</v>
      </c>
      <c r="G1555" t="s">
        <v>4700</v>
      </c>
      <c r="H1555" t="s">
        <v>4698</v>
      </c>
      <c r="I1555" t="s">
        <v>4724</v>
      </c>
      <c r="J1555" s="17">
        <f t="shared" si="48"/>
        <v>22987</v>
      </c>
      <c r="K1555">
        <f t="shared" ca="1" si="49"/>
        <v>62</v>
      </c>
    </row>
    <row r="1556" spans="1:11" ht="15.75" customHeight="1">
      <c r="A1556" t="s">
        <v>1571</v>
      </c>
      <c r="B1556">
        <v>1965</v>
      </c>
      <c r="C1556" t="s">
        <v>4710</v>
      </c>
      <c r="D1556">
        <v>13</v>
      </c>
      <c r="E1556">
        <v>2</v>
      </c>
      <c r="F1556" s="16">
        <v>13224.06</v>
      </c>
      <c r="G1556" t="s">
        <v>4700</v>
      </c>
      <c r="H1556" t="s">
        <v>4700</v>
      </c>
      <c r="I1556" t="s">
        <v>4724</v>
      </c>
      <c r="J1556" s="17">
        <f t="shared" si="48"/>
        <v>24059</v>
      </c>
      <c r="K1556">
        <f t="shared" ca="1" si="49"/>
        <v>60</v>
      </c>
    </row>
    <row r="1557" spans="1:11" ht="15.75" customHeight="1">
      <c r="A1557" t="s">
        <v>1569</v>
      </c>
      <c r="B1557">
        <v>1962</v>
      </c>
      <c r="C1557" t="s">
        <v>4710</v>
      </c>
      <c r="D1557">
        <v>24</v>
      </c>
      <c r="E1557">
        <v>1</v>
      </c>
      <c r="F1557" s="16">
        <v>13224.69</v>
      </c>
      <c r="G1557" t="s">
        <v>4700</v>
      </c>
      <c r="H1557" t="s">
        <v>4699</v>
      </c>
      <c r="I1557" t="s">
        <v>4718</v>
      </c>
      <c r="J1557" s="17">
        <f t="shared" si="48"/>
        <v>22974</v>
      </c>
      <c r="K1557">
        <f t="shared" ca="1" si="49"/>
        <v>63</v>
      </c>
    </row>
    <row r="1558" spans="1:11" ht="15.75" customHeight="1">
      <c r="A1558" t="s">
        <v>1567</v>
      </c>
      <c r="B1558">
        <v>1962</v>
      </c>
      <c r="C1558" t="s">
        <v>4717</v>
      </c>
      <c r="D1558">
        <v>11</v>
      </c>
      <c r="E1558">
        <v>0</v>
      </c>
      <c r="F1558" s="16">
        <v>13228.85</v>
      </c>
      <c r="G1558" t="s">
        <v>4700</v>
      </c>
      <c r="H1558" t="s">
        <v>4700</v>
      </c>
      <c r="I1558" t="s">
        <v>4725</v>
      </c>
      <c r="J1558" s="17">
        <f t="shared" si="48"/>
        <v>22930</v>
      </c>
      <c r="K1558">
        <f t="shared" ca="1" si="49"/>
        <v>63</v>
      </c>
    </row>
    <row r="1559" spans="1:11" ht="15.75" customHeight="1">
      <c r="A1559" t="s">
        <v>1565</v>
      </c>
      <c r="B1559">
        <v>1994</v>
      </c>
      <c r="C1559" t="s">
        <v>4708</v>
      </c>
      <c r="D1559">
        <v>1</v>
      </c>
      <c r="E1559">
        <v>0</v>
      </c>
      <c r="F1559" s="16">
        <v>13292.52</v>
      </c>
      <c r="G1559" t="s">
        <v>4700</v>
      </c>
      <c r="H1559" t="s">
        <v>4700</v>
      </c>
      <c r="I1559" t="s">
        <v>4713</v>
      </c>
      <c r="J1559" s="17">
        <f t="shared" si="48"/>
        <v>34516</v>
      </c>
      <c r="K1559">
        <f t="shared" ca="1" si="49"/>
        <v>31</v>
      </c>
    </row>
    <row r="1560" spans="1:11" ht="15.75" customHeight="1">
      <c r="A1560" t="s">
        <v>1563</v>
      </c>
      <c r="B1560">
        <v>1976</v>
      </c>
      <c r="C1560" t="s">
        <v>4716</v>
      </c>
      <c r="D1560">
        <v>23</v>
      </c>
      <c r="E1560">
        <v>2</v>
      </c>
      <c r="F1560" s="16">
        <v>13333.71</v>
      </c>
      <c r="G1560" t="s">
        <v>4700</v>
      </c>
      <c r="H1560" t="s">
        <v>4699</v>
      </c>
      <c r="I1560" t="s">
        <v>4713</v>
      </c>
      <c r="J1560" s="17">
        <f t="shared" si="48"/>
        <v>27995</v>
      </c>
      <c r="K1560">
        <f t="shared" ca="1" si="49"/>
        <v>49</v>
      </c>
    </row>
    <row r="1561" spans="1:11" ht="15.75" customHeight="1">
      <c r="A1561" t="s">
        <v>1561</v>
      </c>
      <c r="B1561">
        <v>1960</v>
      </c>
      <c r="C1561" t="s">
        <v>4710</v>
      </c>
      <c r="D1561">
        <v>11</v>
      </c>
      <c r="E1561">
        <v>0</v>
      </c>
      <c r="F1561" s="16">
        <v>13352.1</v>
      </c>
      <c r="G1561" t="s">
        <v>4700</v>
      </c>
      <c r="H1561" t="s">
        <v>4698</v>
      </c>
      <c r="I1561" t="s">
        <v>4713</v>
      </c>
      <c r="J1561" s="17">
        <f t="shared" si="48"/>
        <v>22231</v>
      </c>
      <c r="K1561">
        <f t="shared" ca="1" si="49"/>
        <v>65</v>
      </c>
    </row>
    <row r="1562" spans="1:11" ht="15.75" customHeight="1">
      <c r="A1562" t="s">
        <v>1559</v>
      </c>
      <c r="B1562">
        <v>1990</v>
      </c>
      <c r="C1562" t="s">
        <v>4717</v>
      </c>
      <c r="D1562">
        <v>2</v>
      </c>
      <c r="E1562">
        <v>3</v>
      </c>
      <c r="F1562" s="16">
        <v>13360.94</v>
      </c>
      <c r="G1562" t="s">
        <v>4700</v>
      </c>
      <c r="H1562" t="s">
        <v>4698</v>
      </c>
      <c r="I1562" t="s">
        <v>4713</v>
      </c>
      <c r="J1562" s="17">
        <f t="shared" si="48"/>
        <v>33148</v>
      </c>
      <c r="K1562">
        <f t="shared" ca="1" si="49"/>
        <v>35</v>
      </c>
    </row>
    <row r="1563" spans="1:11" ht="15.75" customHeight="1">
      <c r="A1563" t="s">
        <v>1557</v>
      </c>
      <c r="B1563">
        <v>1964</v>
      </c>
      <c r="C1563" t="s">
        <v>4712</v>
      </c>
      <c r="D1563">
        <v>24</v>
      </c>
      <c r="E1563">
        <v>0</v>
      </c>
      <c r="F1563" s="16">
        <v>13375.76</v>
      </c>
      <c r="G1563" t="s">
        <v>4700</v>
      </c>
      <c r="H1563" t="s">
        <v>4699</v>
      </c>
      <c r="I1563" t="s">
        <v>4723</v>
      </c>
      <c r="J1563" s="17">
        <f t="shared" si="48"/>
        <v>23644</v>
      </c>
      <c r="K1563">
        <f t="shared" ca="1" si="49"/>
        <v>61</v>
      </c>
    </row>
    <row r="1564" spans="1:11" ht="15.75" customHeight="1">
      <c r="A1564" t="s">
        <v>1555</v>
      </c>
      <c r="B1564">
        <v>1979</v>
      </c>
      <c r="C1564" t="s">
        <v>4712</v>
      </c>
      <c r="D1564">
        <v>30</v>
      </c>
      <c r="E1564">
        <v>2</v>
      </c>
      <c r="F1564" s="16">
        <v>13377.41</v>
      </c>
      <c r="G1564" t="s">
        <v>4700</v>
      </c>
      <c r="H1564" t="s">
        <v>4700</v>
      </c>
      <c r="I1564" t="s">
        <v>4730</v>
      </c>
      <c r="J1564" s="17">
        <f t="shared" si="48"/>
        <v>29128</v>
      </c>
      <c r="K1564">
        <f t="shared" ca="1" si="49"/>
        <v>46</v>
      </c>
    </row>
    <row r="1565" spans="1:11" ht="15.75" customHeight="1">
      <c r="A1565" t="s">
        <v>1553</v>
      </c>
      <c r="B1565">
        <v>1984</v>
      </c>
      <c r="C1565" t="s">
        <v>4711</v>
      </c>
      <c r="D1565">
        <v>6</v>
      </c>
      <c r="E1565">
        <v>3</v>
      </c>
      <c r="F1565" s="16">
        <v>13383.67</v>
      </c>
      <c r="G1565" t="s">
        <v>4700</v>
      </c>
      <c r="H1565" t="s">
        <v>4699</v>
      </c>
      <c r="I1565" t="s">
        <v>4725</v>
      </c>
      <c r="J1565" s="17">
        <f t="shared" si="48"/>
        <v>30839</v>
      </c>
      <c r="K1565">
        <f t="shared" ca="1" si="49"/>
        <v>41</v>
      </c>
    </row>
    <row r="1566" spans="1:11" ht="15.75" customHeight="1">
      <c r="A1566" t="s">
        <v>1551</v>
      </c>
      <c r="B1566">
        <v>1959</v>
      </c>
      <c r="C1566" t="s">
        <v>4714</v>
      </c>
      <c r="D1566">
        <v>9</v>
      </c>
      <c r="E1566">
        <v>0</v>
      </c>
      <c r="F1566" s="16">
        <v>13390.56</v>
      </c>
      <c r="G1566" t="s">
        <v>4700</v>
      </c>
      <c r="H1566" t="s">
        <v>4700</v>
      </c>
      <c r="I1566" t="s">
        <v>4718</v>
      </c>
      <c r="J1566" s="17">
        <f t="shared" si="48"/>
        <v>21893</v>
      </c>
      <c r="K1566">
        <f t="shared" ca="1" si="49"/>
        <v>65</v>
      </c>
    </row>
    <row r="1567" spans="1:11" ht="15.75" customHeight="1">
      <c r="A1567" t="s">
        <v>1549</v>
      </c>
      <c r="B1567">
        <v>1959</v>
      </c>
      <c r="C1567" t="s">
        <v>4710</v>
      </c>
      <c r="D1567">
        <v>25</v>
      </c>
      <c r="E1567">
        <v>0</v>
      </c>
      <c r="F1567" s="16">
        <v>13393.76</v>
      </c>
      <c r="G1567" t="s">
        <v>4700</v>
      </c>
      <c r="H1567" t="s">
        <v>4698</v>
      </c>
      <c r="I1567" t="s">
        <v>4718</v>
      </c>
      <c r="J1567" s="17">
        <f t="shared" si="48"/>
        <v>21879</v>
      </c>
      <c r="K1567">
        <f t="shared" ca="1" si="49"/>
        <v>66</v>
      </c>
    </row>
    <row r="1568" spans="1:11" ht="15.75" customHeight="1">
      <c r="A1568" t="s">
        <v>1547</v>
      </c>
      <c r="B1568">
        <v>1959</v>
      </c>
      <c r="C1568" t="s">
        <v>4714</v>
      </c>
      <c r="D1568">
        <v>20</v>
      </c>
      <c r="E1568">
        <v>0</v>
      </c>
      <c r="F1568" s="16">
        <v>13405.39</v>
      </c>
      <c r="G1568" t="s">
        <v>4700</v>
      </c>
      <c r="H1568" t="s">
        <v>4700</v>
      </c>
      <c r="I1568" t="s">
        <v>4709</v>
      </c>
      <c r="J1568" s="17">
        <f t="shared" si="48"/>
        <v>21904</v>
      </c>
      <c r="K1568">
        <f t="shared" ca="1" si="49"/>
        <v>65</v>
      </c>
    </row>
    <row r="1569" spans="1:11" ht="15.75" customHeight="1">
      <c r="A1569" t="s">
        <v>1545</v>
      </c>
      <c r="B1569">
        <v>1992</v>
      </c>
      <c r="C1569" t="s">
        <v>4714</v>
      </c>
      <c r="D1569">
        <v>19</v>
      </c>
      <c r="E1569">
        <v>0</v>
      </c>
      <c r="F1569" s="16">
        <v>13412.97</v>
      </c>
      <c r="G1569" t="s">
        <v>4700</v>
      </c>
      <c r="H1569" t="s">
        <v>4700</v>
      </c>
      <c r="I1569" t="s">
        <v>4725</v>
      </c>
      <c r="J1569" s="17">
        <f t="shared" si="48"/>
        <v>33957</v>
      </c>
      <c r="K1569">
        <f t="shared" ca="1" si="49"/>
        <v>32</v>
      </c>
    </row>
    <row r="1570" spans="1:11" ht="15.75" customHeight="1">
      <c r="A1570" t="s">
        <v>1543</v>
      </c>
      <c r="B1570">
        <v>1961</v>
      </c>
      <c r="C1570" t="s">
        <v>4708</v>
      </c>
      <c r="D1570">
        <v>22</v>
      </c>
      <c r="E1570">
        <v>0</v>
      </c>
      <c r="F1570" s="16">
        <v>13415.04</v>
      </c>
      <c r="G1570" t="s">
        <v>4700</v>
      </c>
      <c r="H1570" t="s">
        <v>4699</v>
      </c>
      <c r="I1570" t="s">
        <v>4713</v>
      </c>
      <c r="J1570" s="17">
        <f t="shared" si="48"/>
        <v>22484</v>
      </c>
      <c r="K1570">
        <f t="shared" ca="1" si="49"/>
        <v>64</v>
      </c>
    </row>
    <row r="1571" spans="1:11" ht="15.75" customHeight="1">
      <c r="A1571" t="s">
        <v>1541</v>
      </c>
      <c r="B1571">
        <v>1994</v>
      </c>
      <c r="C1571" t="s">
        <v>4711</v>
      </c>
      <c r="D1571">
        <v>17</v>
      </c>
      <c r="E1571">
        <v>0</v>
      </c>
      <c r="F1571" s="16">
        <v>13417.05</v>
      </c>
      <c r="G1571" t="s">
        <v>4700</v>
      </c>
      <c r="H1571" t="s">
        <v>4700</v>
      </c>
      <c r="I1571" t="s">
        <v>4713</v>
      </c>
      <c r="J1571" s="17">
        <f t="shared" si="48"/>
        <v>34502</v>
      </c>
      <c r="K1571">
        <f t="shared" ca="1" si="49"/>
        <v>31</v>
      </c>
    </row>
    <row r="1572" spans="1:11" ht="15.75" customHeight="1">
      <c r="A1572" t="s">
        <v>1539</v>
      </c>
      <c r="B1572">
        <v>1961</v>
      </c>
      <c r="C1572" t="s">
        <v>4710</v>
      </c>
      <c r="D1572">
        <v>3</v>
      </c>
      <c r="E1572">
        <v>0</v>
      </c>
      <c r="F1572" s="16">
        <v>13429.04</v>
      </c>
      <c r="G1572" t="s">
        <v>4700</v>
      </c>
      <c r="H1572" t="s">
        <v>4700</v>
      </c>
      <c r="I1572" t="s">
        <v>4713</v>
      </c>
      <c r="J1572" s="17">
        <f t="shared" si="48"/>
        <v>22588</v>
      </c>
      <c r="K1572">
        <f t="shared" ca="1" si="49"/>
        <v>64</v>
      </c>
    </row>
    <row r="1573" spans="1:11" ht="15.75" customHeight="1">
      <c r="A1573" t="s">
        <v>1537</v>
      </c>
      <c r="B1573">
        <v>1966</v>
      </c>
      <c r="C1573" t="s">
        <v>4710</v>
      </c>
      <c r="D1573">
        <v>14</v>
      </c>
      <c r="E1573">
        <v>3</v>
      </c>
      <c r="F1573" s="16">
        <v>13430.27</v>
      </c>
      <c r="G1573" t="s">
        <v>4700</v>
      </c>
      <c r="H1573" t="s">
        <v>4700</v>
      </c>
      <c r="I1573" t="s">
        <v>4724</v>
      </c>
      <c r="J1573" s="17">
        <f t="shared" si="48"/>
        <v>24425</v>
      </c>
      <c r="K1573">
        <f t="shared" ca="1" si="49"/>
        <v>59</v>
      </c>
    </row>
    <row r="1574" spans="1:11" ht="15.75" customHeight="1">
      <c r="A1574" t="s">
        <v>1535</v>
      </c>
      <c r="B1574">
        <v>1975</v>
      </c>
      <c r="C1574" t="s">
        <v>4711</v>
      </c>
      <c r="D1574">
        <v>29</v>
      </c>
      <c r="E1574">
        <v>1</v>
      </c>
      <c r="F1574" s="16">
        <v>13440.7</v>
      </c>
      <c r="G1574" t="s">
        <v>4700</v>
      </c>
      <c r="H1574" t="s">
        <v>4699</v>
      </c>
      <c r="I1574" t="s">
        <v>4713</v>
      </c>
      <c r="J1574" s="17">
        <f t="shared" si="48"/>
        <v>27574</v>
      </c>
      <c r="K1574">
        <f t="shared" ca="1" si="49"/>
        <v>50</v>
      </c>
    </row>
    <row r="1575" spans="1:11" ht="15.75" customHeight="1">
      <c r="A1575" t="s">
        <v>1533</v>
      </c>
      <c r="B1575">
        <v>1960</v>
      </c>
      <c r="C1575" t="s">
        <v>4716</v>
      </c>
      <c r="D1575">
        <v>13</v>
      </c>
      <c r="E1575">
        <v>0</v>
      </c>
      <c r="F1575" s="16">
        <v>13451.12</v>
      </c>
      <c r="G1575" t="s">
        <v>4700</v>
      </c>
      <c r="H1575" t="s">
        <v>4698</v>
      </c>
      <c r="I1575" t="s">
        <v>4718</v>
      </c>
      <c r="J1575" s="17">
        <f t="shared" si="48"/>
        <v>22141</v>
      </c>
      <c r="K1575">
        <f t="shared" ca="1" si="49"/>
        <v>65</v>
      </c>
    </row>
    <row r="1576" spans="1:11" ht="15.75" customHeight="1">
      <c r="A1576" t="s">
        <v>1531</v>
      </c>
      <c r="B1576">
        <v>1960</v>
      </c>
      <c r="C1576" t="s">
        <v>4708</v>
      </c>
      <c r="D1576">
        <v>11</v>
      </c>
      <c r="E1576">
        <v>0</v>
      </c>
      <c r="F1576" s="16">
        <v>13457.96</v>
      </c>
      <c r="G1576" t="s">
        <v>4700</v>
      </c>
      <c r="H1576" t="s">
        <v>4698</v>
      </c>
      <c r="I1576" t="s">
        <v>4709</v>
      </c>
      <c r="J1576" s="17">
        <f t="shared" si="48"/>
        <v>22108</v>
      </c>
      <c r="K1576">
        <f t="shared" ca="1" si="49"/>
        <v>65</v>
      </c>
    </row>
    <row r="1577" spans="1:11" ht="15.75" customHeight="1">
      <c r="A1577" t="s">
        <v>1529</v>
      </c>
      <c r="B1577">
        <v>1960</v>
      </c>
      <c r="C1577" t="s">
        <v>4714</v>
      </c>
      <c r="D1577">
        <v>16</v>
      </c>
      <c r="E1577">
        <v>0</v>
      </c>
      <c r="F1577" s="16">
        <v>13462.52</v>
      </c>
      <c r="G1577" t="s">
        <v>4700</v>
      </c>
      <c r="H1577" t="s">
        <v>4699</v>
      </c>
      <c r="I1577" t="s">
        <v>4718</v>
      </c>
      <c r="J1577" s="17">
        <f t="shared" si="48"/>
        <v>22266</v>
      </c>
      <c r="K1577">
        <f t="shared" ca="1" si="49"/>
        <v>64</v>
      </c>
    </row>
    <row r="1578" spans="1:11" ht="15.75" customHeight="1">
      <c r="A1578" t="s">
        <v>1527</v>
      </c>
      <c r="B1578">
        <v>1985</v>
      </c>
      <c r="C1578" t="s">
        <v>4716</v>
      </c>
      <c r="D1578">
        <v>19</v>
      </c>
      <c r="E1578">
        <v>3</v>
      </c>
      <c r="F1578" s="16">
        <v>13465.8</v>
      </c>
      <c r="G1578" t="s">
        <v>4700</v>
      </c>
      <c r="H1578" t="s">
        <v>4698</v>
      </c>
      <c r="I1578" t="s">
        <v>4713</v>
      </c>
      <c r="J1578" s="17">
        <f t="shared" si="48"/>
        <v>31278</v>
      </c>
      <c r="K1578">
        <f t="shared" ca="1" si="49"/>
        <v>40</v>
      </c>
    </row>
    <row r="1579" spans="1:11" ht="15.75" customHeight="1">
      <c r="A1579" t="s">
        <v>1525</v>
      </c>
      <c r="B1579">
        <v>1960</v>
      </c>
      <c r="C1579" t="s">
        <v>4708</v>
      </c>
      <c r="D1579">
        <v>28</v>
      </c>
      <c r="E1579">
        <v>0</v>
      </c>
      <c r="F1579" s="16">
        <v>13470.8</v>
      </c>
      <c r="G1579" t="s">
        <v>4700</v>
      </c>
      <c r="H1579" t="s">
        <v>4699</v>
      </c>
      <c r="I1579" t="s">
        <v>4709</v>
      </c>
      <c r="J1579" s="17">
        <f t="shared" si="48"/>
        <v>22125</v>
      </c>
      <c r="K1579">
        <f t="shared" ca="1" si="49"/>
        <v>65</v>
      </c>
    </row>
    <row r="1580" spans="1:11" ht="15.75" customHeight="1">
      <c r="A1580" t="s">
        <v>1523</v>
      </c>
      <c r="B1580">
        <v>1960</v>
      </c>
      <c r="C1580" t="s">
        <v>4708</v>
      </c>
      <c r="D1580">
        <v>24</v>
      </c>
      <c r="E1580">
        <v>0</v>
      </c>
      <c r="F1580" s="16">
        <v>13470.86</v>
      </c>
      <c r="G1580" t="s">
        <v>4700</v>
      </c>
      <c r="H1580" t="s">
        <v>4700</v>
      </c>
      <c r="I1580" t="s">
        <v>4718</v>
      </c>
      <c r="J1580" s="17">
        <f t="shared" si="48"/>
        <v>22121</v>
      </c>
      <c r="K1580">
        <f t="shared" ca="1" si="49"/>
        <v>65</v>
      </c>
    </row>
    <row r="1581" spans="1:11" ht="15.75" customHeight="1">
      <c r="A1581" t="s">
        <v>1521</v>
      </c>
      <c r="B1581">
        <v>1975</v>
      </c>
      <c r="C1581" t="s">
        <v>4716</v>
      </c>
      <c r="D1581">
        <v>7</v>
      </c>
      <c r="E1581">
        <v>1</v>
      </c>
      <c r="F1581" s="16">
        <v>13472.19</v>
      </c>
      <c r="G1581" t="s">
        <v>4700</v>
      </c>
      <c r="H1581" t="s">
        <v>4699</v>
      </c>
      <c r="I1581" t="s">
        <v>4713</v>
      </c>
      <c r="J1581" s="17">
        <f t="shared" si="48"/>
        <v>27613</v>
      </c>
      <c r="K1581">
        <f t="shared" ca="1" si="49"/>
        <v>50</v>
      </c>
    </row>
    <row r="1582" spans="1:11" ht="15.75" customHeight="1">
      <c r="A1582" t="s">
        <v>1519</v>
      </c>
      <c r="B1582">
        <v>1990</v>
      </c>
      <c r="C1582" t="s">
        <v>4716</v>
      </c>
      <c r="D1582">
        <v>30</v>
      </c>
      <c r="E1582">
        <v>3</v>
      </c>
      <c r="F1582" s="16">
        <v>13480.83</v>
      </c>
      <c r="G1582" t="s">
        <v>4700</v>
      </c>
      <c r="H1582" t="s">
        <v>4699</v>
      </c>
      <c r="I1582" t="s">
        <v>4725</v>
      </c>
      <c r="J1582" s="17">
        <f t="shared" si="48"/>
        <v>33115</v>
      </c>
      <c r="K1582">
        <f t="shared" ca="1" si="49"/>
        <v>35</v>
      </c>
    </row>
    <row r="1583" spans="1:11" ht="15.75" customHeight="1">
      <c r="A1583" t="s">
        <v>1517</v>
      </c>
      <c r="B1583">
        <v>1963</v>
      </c>
      <c r="C1583" t="s">
        <v>4717</v>
      </c>
      <c r="D1583">
        <v>14</v>
      </c>
      <c r="E1583">
        <v>0</v>
      </c>
      <c r="F1583" s="16">
        <v>13511.28</v>
      </c>
      <c r="G1583" t="s">
        <v>4700</v>
      </c>
      <c r="H1583" t="s">
        <v>4698</v>
      </c>
      <c r="I1583" t="s">
        <v>4713</v>
      </c>
      <c r="J1583" s="17">
        <f t="shared" si="48"/>
        <v>23298</v>
      </c>
      <c r="K1583">
        <f t="shared" ca="1" si="49"/>
        <v>62</v>
      </c>
    </row>
    <row r="1584" spans="1:11" ht="15.75" customHeight="1">
      <c r="A1584" t="s">
        <v>1515</v>
      </c>
      <c r="B1584">
        <v>1960</v>
      </c>
      <c r="C1584" t="s">
        <v>4708</v>
      </c>
      <c r="D1584">
        <v>11</v>
      </c>
      <c r="E1584">
        <v>0</v>
      </c>
      <c r="F1584" s="16">
        <v>13555</v>
      </c>
      <c r="G1584" t="s">
        <v>4700</v>
      </c>
      <c r="H1584" t="s">
        <v>4700</v>
      </c>
      <c r="I1584" t="s">
        <v>4728</v>
      </c>
      <c r="J1584" s="17">
        <f t="shared" si="48"/>
        <v>22108</v>
      </c>
      <c r="K1584">
        <f t="shared" ca="1" si="49"/>
        <v>65</v>
      </c>
    </row>
    <row r="1585" spans="1:11" ht="15.75" customHeight="1">
      <c r="A1585" t="s">
        <v>1513</v>
      </c>
      <c r="B1585">
        <v>1968</v>
      </c>
      <c r="C1585" t="s">
        <v>4708</v>
      </c>
      <c r="D1585">
        <v>15</v>
      </c>
      <c r="E1585">
        <v>0</v>
      </c>
      <c r="F1585" s="16">
        <v>13566.04</v>
      </c>
      <c r="G1585" t="s">
        <v>4700</v>
      </c>
      <c r="H1585" t="s">
        <v>4700</v>
      </c>
      <c r="I1585" t="s">
        <v>4730</v>
      </c>
      <c r="J1585" s="17">
        <f t="shared" si="48"/>
        <v>25034</v>
      </c>
      <c r="K1585">
        <f t="shared" ca="1" si="49"/>
        <v>57</v>
      </c>
    </row>
    <row r="1586" spans="1:11" ht="15.75" customHeight="1">
      <c r="A1586" t="s">
        <v>1511</v>
      </c>
      <c r="B1586">
        <v>1992</v>
      </c>
      <c r="C1586" t="s">
        <v>4716</v>
      </c>
      <c r="D1586">
        <v>14</v>
      </c>
      <c r="E1586">
        <v>0</v>
      </c>
      <c r="F1586" s="16">
        <v>13588.17</v>
      </c>
      <c r="G1586" t="s">
        <v>4700</v>
      </c>
      <c r="H1586" t="s">
        <v>4698</v>
      </c>
      <c r="I1586" t="s">
        <v>4713</v>
      </c>
      <c r="J1586" s="17">
        <f t="shared" si="48"/>
        <v>33830</v>
      </c>
      <c r="K1586">
        <f t="shared" ca="1" si="49"/>
        <v>33</v>
      </c>
    </row>
    <row r="1587" spans="1:11" ht="15.75" customHeight="1">
      <c r="A1587" t="s">
        <v>1509</v>
      </c>
      <c r="B1587">
        <v>1964</v>
      </c>
      <c r="C1587" t="s">
        <v>4712</v>
      </c>
      <c r="D1587">
        <v>10</v>
      </c>
      <c r="E1587">
        <v>2</v>
      </c>
      <c r="F1587" s="16">
        <v>13607.37</v>
      </c>
      <c r="G1587" t="s">
        <v>4700</v>
      </c>
      <c r="H1587" t="s">
        <v>4698</v>
      </c>
      <c r="I1587" t="s">
        <v>4724</v>
      </c>
      <c r="J1587" s="17">
        <f t="shared" si="48"/>
        <v>23630</v>
      </c>
      <c r="K1587">
        <f t="shared" ca="1" si="49"/>
        <v>61</v>
      </c>
    </row>
    <row r="1588" spans="1:11" ht="15.75" customHeight="1">
      <c r="A1588" t="s">
        <v>1507</v>
      </c>
      <c r="B1588">
        <v>1961</v>
      </c>
      <c r="C1588" t="s">
        <v>4710</v>
      </c>
      <c r="D1588">
        <v>18</v>
      </c>
      <c r="E1588">
        <v>0</v>
      </c>
      <c r="F1588" s="16">
        <v>13616.36</v>
      </c>
      <c r="G1588" t="s">
        <v>4700</v>
      </c>
      <c r="H1588" t="s">
        <v>4700</v>
      </c>
      <c r="I1588" t="s">
        <v>4724</v>
      </c>
      <c r="J1588" s="17">
        <f t="shared" si="48"/>
        <v>22603</v>
      </c>
      <c r="K1588">
        <f t="shared" ca="1" si="49"/>
        <v>64</v>
      </c>
    </row>
    <row r="1589" spans="1:11" ht="15.75" customHeight="1">
      <c r="A1589" t="s">
        <v>1505</v>
      </c>
      <c r="B1589">
        <v>1969</v>
      </c>
      <c r="C1589" t="s">
        <v>4708</v>
      </c>
      <c r="D1589">
        <v>26</v>
      </c>
      <c r="E1589">
        <v>0</v>
      </c>
      <c r="F1589" s="16">
        <v>13622.01</v>
      </c>
      <c r="G1589" t="s">
        <v>4700</v>
      </c>
      <c r="H1589" t="s">
        <v>4700</v>
      </c>
      <c r="I1589" t="s">
        <v>4713</v>
      </c>
      <c r="J1589" s="17">
        <f t="shared" si="48"/>
        <v>25410</v>
      </c>
      <c r="K1589">
        <f t="shared" ca="1" si="49"/>
        <v>56</v>
      </c>
    </row>
    <row r="1590" spans="1:11" ht="15.75" customHeight="1">
      <c r="A1590" t="s">
        <v>1503</v>
      </c>
      <c r="B1590">
        <v>1961</v>
      </c>
      <c r="C1590" t="s">
        <v>4714</v>
      </c>
      <c r="D1590">
        <v>24</v>
      </c>
      <c r="E1590">
        <v>0</v>
      </c>
      <c r="F1590" s="16">
        <v>13635.64</v>
      </c>
      <c r="G1590" t="s">
        <v>4700</v>
      </c>
      <c r="H1590" t="s">
        <v>4700</v>
      </c>
      <c r="I1590" t="s">
        <v>4724</v>
      </c>
      <c r="J1590" s="17">
        <f t="shared" si="48"/>
        <v>22639</v>
      </c>
      <c r="K1590">
        <f t="shared" ca="1" si="49"/>
        <v>63</v>
      </c>
    </row>
    <row r="1591" spans="1:11" ht="15.75" customHeight="1">
      <c r="A1591" t="s">
        <v>1501</v>
      </c>
      <c r="B1591">
        <v>1984</v>
      </c>
      <c r="C1591" t="s">
        <v>4708</v>
      </c>
      <c r="D1591">
        <v>20</v>
      </c>
      <c r="E1591">
        <v>3</v>
      </c>
      <c r="F1591" s="16">
        <v>13638.06</v>
      </c>
      <c r="G1591" t="s">
        <v>4700</v>
      </c>
      <c r="H1591" t="s">
        <v>4700</v>
      </c>
      <c r="I1591" t="s">
        <v>4725</v>
      </c>
      <c r="J1591" s="17">
        <f t="shared" si="48"/>
        <v>30883</v>
      </c>
      <c r="K1591">
        <f t="shared" ca="1" si="49"/>
        <v>41</v>
      </c>
    </row>
    <row r="1592" spans="1:11" ht="15.75" customHeight="1">
      <c r="A1592" t="s">
        <v>1499</v>
      </c>
      <c r="B1592">
        <v>1963</v>
      </c>
      <c r="C1592" t="s">
        <v>4716</v>
      </c>
      <c r="D1592">
        <v>4</v>
      </c>
      <c r="E1592">
        <v>0</v>
      </c>
      <c r="F1592" s="16">
        <v>13677.68</v>
      </c>
      <c r="G1592" t="s">
        <v>4700</v>
      </c>
      <c r="H1592" t="s">
        <v>4699</v>
      </c>
      <c r="I1592" t="s">
        <v>4727</v>
      </c>
      <c r="J1592" s="17">
        <f t="shared" si="48"/>
        <v>23227</v>
      </c>
      <c r="K1592">
        <f t="shared" ca="1" si="49"/>
        <v>62</v>
      </c>
    </row>
    <row r="1593" spans="1:11" ht="15.75" customHeight="1">
      <c r="A1593" t="s">
        <v>1497</v>
      </c>
      <c r="B1593">
        <v>1985</v>
      </c>
      <c r="C1593" t="s">
        <v>4712</v>
      </c>
      <c r="D1593">
        <v>14</v>
      </c>
      <c r="E1593">
        <v>3</v>
      </c>
      <c r="F1593" s="16">
        <v>13685.51</v>
      </c>
      <c r="G1593" t="s">
        <v>4700</v>
      </c>
      <c r="H1593" t="s">
        <v>4698</v>
      </c>
      <c r="I1593" t="s">
        <v>4730</v>
      </c>
      <c r="J1593" s="17">
        <f t="shared" si="48"/>
        <v>31304</v>
      </c>
      <c r="K1593">
        <f t="shared" ca="1" si="49"/>
        <v>40</v>
      </c>
    </row>
    <row r="1594" spans="1:11" ht="15.75" customHeight="1">
      <c r="A1594" t="s">
        <v>1495</v>
      </c>
      <c r="B1594">
        <v>1986</v>
      </c>
      <c r="C1594" t="s">
        <v>4710</v>
      </c>
      <c r="D1594">
        <v>24</v>
      </c>
      <c r="E1594">
        <v>3</v>
      </c>
      <c r="F1594" s="16">
        <v>13714.55</v>
      </c>
      <c r="G1594" t="s">
        <v>4700</v>
      </c>
      <c r="H1594" t="s">
        <v>4699</v>
      </c>
      <c r="I1594" t="s">
        <v>4725</v>
      </c>
      <c r="J1594" s="17">
        <f t="shared" si="48"/>
        <v>31740</v>
      </c>
      <c r="K1594">
        <f t="shared" ca="1" si="49"/>
        <v>39</v>
      </c>
    </row>
    <row r="1595" spans="1:11" ht="15.75" customHeight="1">
      <c r="A1595" t="s">
        <v>1493</v>
      </c>
      <c r="B1595">
        <v>1981</v>
      </c>
      <c r="C1595" t="s">
        <v>4716</v>
      </c>
      <c r="D1595">
        <v>2</v>
      </c>
      <c r="E1595">
        <v>1</v>
      </c>
      <c r="F1595" s="16">
        <v>13725.47</v>
      </c>
      <c r="G1595" t="s">
        <v>4700</v>
      </c>
      <c r="H1595" t="s">
        <v>4699</v>
      </c>
      <c r="I1595" t="s">
        <v>4724</v>
      </c>
      <c r="J1595" s="17">
        <f t="shared" si="48"/>
        <v>29800</v>
      </c>
      <c r="K1595">
        <f t="shared" ca="1" si="49"/>
        <v>44</v>
      </c>
    </row>
    <row r="1596" spans="1:11" ht="15.75" customHeight="1">
      <c r="A1596" t="s">
        <v>1491</v>
      </c>
      <c r="B1596">
        <v>1985</v>
      </c>
      <c r="C1596" t="s">
        <v>4716</v>
      </c>
      <c r="D1596">
        <v>29</v>
      </c>
      <c r="E1596">
        <v>3</v>
      </c>
      <c r="F1596" s="16">
        <v>13726.21</v>
      </c>
      <c r="G1596" t="s">
        <v>4700</v>
      </c>
      <c r="H1596" t="s">
        <v>4700</v>
      </c>
      <c r="I1596" t="s">
        <v>4730</v>
      </c>
      <c r="J1596" s="17">
        <f t="shared" si="48"/>
        <v>31288</v>
      </c>
      <c r="K1596">
        <f t="shared" ca="1" si="49"/>
        <v>40</v>
      </c>
    </row>
    <row r="1597" spans="1:11" ht="15.75" customHeight="1">
      <c r="A1597" t="s">
        <v>1489</v>
      </c>
      <c r="B1597">
        <v>1969</v>
      </c>
      <c r="C1597" t="s">
        <v>4717</v>
      </c>
      <c r="D1597">
        <v>23</v>
      </c>
      <c r="E1597">
        <v>0</v>
      </c>
      <c r="F1597" s="16">
        <v>13746.74</v>
      </c>
      <c r="G1597" t="s">
        <v>4700</v>
      </c>
      <c r="H1597" t="s">
        <v>4699</v>
      </c>
      <c r="I1597" t="s">
        <v>4730</v>
      </c>
      <c r="J1597" s="17">
        <f t="shared" si="48"/>
        <v>25499</v>
      </c>
      <c r="K1597">
        <f t="shared" ca="1" si="49"/>
        <v>56</v>
      </c>
    </row>
    <row r="1598" spans="1:11" ht="15.75" customHeight="1">
      <c r="A1598" t="s">
        <v>1487</v>
      </c>
      <c r="B1598">
        <v>2004</v>
      </c>
      <c r="C1598" t="s">
        <v>4708</v>
      </c>
      <c r="D1598">
        <v>16</v>
      </c>
      <c r="E1598">
        <v>0</v>
      </c>
      <c r="F1598" s="16">
        <v>13747.87</v>
      </c>
      <c r="G1598" t="s">
        <v>4700</v>
      </c>
      <c r="H1598" t="s">
        <v>4699</v>
      </c>
      <c r="I1598" t="s">
        <v>4722</v>
      </c>
      <c r="J1598" s="17">
        <f t="shared" si="48"/>
        <v>38184</v>
      </c>
      <c r="K1598">
        <f t="shared" ca="1" si="49"/>
        <v>21</v>
      </c>
    </row>
    <row r="1599" spans="1:11" ht="15.75" customHeight="1">
      <c r="A1599" t="s">
        <v>1485</v>
      </c>
      <c r="B1599">
        <v>1959</v>
      </c>
      <c r="C1599" t="s">
        <v>4716</v>
      </c>
      <c r="D1599">
        <v>6</v>
      </c>
      <c r="E1599">
        <v>0</v>
      </c>
      <c r="F1599" s="16">
        <v>13770.1</v>
      </c>
      <c r="G1599" t="s">
        <v>4700</v>
      </c>
      <c r="H1599" t="s">
        <v>4698</v>
      </c>
      <c r="I1599" t="s">
        <v>4713</v>
      </c>
      <c r="J1599" s="17">
        <f t="shared" si="48"/>
        <v>21768</v>
      </c>
      <c r="K1599">
        <f t="shared" ca="1" si="49"/>
        <v>66</v>
      </c>
    </row>
    <row r="1600" spans="1:11" ht="15.75" customHeight="1">
      <c r="A1600" t="s">
        <v>1483</v>
      </c>
      <c r="B1600">
        <v>1966</v>
      </c>
      <c r="C1600" t="s">
        <v>4710</v>
      </c>
      <c r="D1600">
        <v>10</v>
      </c>
      <c r="E1600">
        <v>0</v>
      </c>
      <c r="F1600" s="16">
        <v>13801.61</v>
      </c>
      <c r="G1600" t="s">
        <v>4700</v>
      </c>
      <c r="H1600" t="s">
        <v>4700</v>
      </c>
      <c r="I1600" t="s">
        <v>4730</v>
      </c>
      <c r="J1600" s="17">
        <f t="shared" si="48"/>
        <v>24421</v>
      </c>
      <c r="K1600">
        <f t="shared" ca="1" si="49"/>
        <v>59</v>
      </c>
    </row>
    <row r="1601" spans="1:11" ht="15.75" customHeight="1">
      <c r="A1601" t="s">
        <v>1481</v>
      </c>
      <c r="B1601">
        <v>1986</v>
      </c>
      <c r="C1601" t="s">
        <v>4714</v>
      </c>
      <c r="D1601">
        <v>8</v>
      </c>
      <c r="E1601">
        <v>3</v>
      </c>
      <c r="F1601" s="16">
        <v>13819.49</v>
      </c>
      <c r="G1601" t="s">
        <v>4700</v>
      </c>
      <c r="H1601" t="s">
        <v>4699</v>
      </c>
      <c r="I1601" t="s">
        <v>4713</v>
      </c>
      <c r="J1601" s="17">
        <f t="shared" si="48"/>
        <v>31754</v>
      </c>
      <c r="K1601">
        <f t="shared" ca="1" si="49"/>
        <v>38</v>
      </c>
    </row>
    <row r="1602" spans="1:11" ht="15.75" customHeight="1">
      <c r="A1602" t="s">
        <v>1479</v>
      </c>
      <c r="B1602">
        <v>1958</v>
      </c>
      <c r="C1602" t="s">
        <v>4710</v>
      </c>
      <c r="D1602">
        <v>25</v>
      </c>
      <c r="E1602">
        <v>0</v>
      </c>
      <c r="F1602" s="16">
        <v>13822.8</v>
      </c>
      <c r="G1602" t="s">
        <v>4700</v>
      </c>
      <c r="H1602" t="s">
        <v>4700</v>
      </c>
      <c r="I1602" t="s">
        <v>4718</v>
      </c>
      <c r="J1602" s="17">
        <f t="shared" si="48"/>
        <v>21514</v>
      </c>
      <c r="K1602">
        <f t="shared" ca="1" si="49"/>
        <v>67</v>
      </c>
    </row>
    <row r="1603" spans="1:11" ht="15.75" customHeight="1">
      <c r="A1603" t="s">
        <v>1477</v>
      </c>
      <c r="B1603">
        <v>1958</v>
      </c>
      <c r="C1603" t="s">
        <v>4714</v>
      </c>
      <c r="D1603">
        <v>10</v>
      </c>
      <c r="E1603">
        <v>0</v>
      </c>
      <c r="F1603" s="16">
        <v>13831.12</v>
      </c>
      <c r="G1603" t="s">
        <v>4700</v>
      </c>
      <c r="H1603" t="s">
        <v>4698</v>
      </c>
      <c r="I1603" t="s">
        <v>4709</v>
      </c>
      <c r="J1603" s="17">
        <f t="shared" ref="J1603:J1666" si="50">DATEVALUE(D1603&amp;"-"&amp;C1603&amp;" -"&amp;B1603)</f>
        <v>21529</v>
      </c>
      <c r="K1603">
        <f t="shared" ref="K1603:K1666" ca="1" si="51">DATEDIF(J1603,TODAY(),"Y")</f>
        <v>66</v>
      </c>
    </row>
    <row r="1604" spans="1:11" ht="15.75" customHeight="1">
      <c r="A1604" t="s">
        <v>1475</v>
      </c>
      <c r="B1604">
        <v>2003</v>
      </c>
      <c r="C1604" t="s">
        <v>4711</v>
      </c>
      <c r="D1604">
        <v>7</v>
      </c>
      <c r="E1604">
        <v>0</v>
      </c>
      <c r="F1604" s="16">
        <v>13844.51</v>
      </c>
      <c r="G1604" t="s">
        <v>4699</v>
      </c>
      <c r="H1604" t="s">
        <v>4698</v>
      </c>
      <c r="I1604" t="s">
        <v>4718</v>
      </c>
      <c r="J1604" s="17">
        <f t="shared" si="50"/>
        <v>37779</v>
      </c>
      <c r="K1604">
        <f t="shared" ca="1" si="51"/>
        <v>22</v>
      </c>
    </row>
    <row r="1605" spans="1:11" ht="15.75" customHeight="1">
      <c r="A1605" t="s">
        <v>1473</v>
      </c>
      <c r="B1605">
        <v>1960</v>
      </c>
      <c r="C1605" t="s">
        <v>4708</v>
      </c>
      <c r="D1605">
        <v>21</v>
      </c>
      <c r="E1605">
        <v>0</v>
      </c>
      <c r="F1605" s="16">
        <v>13844.8</v>
      </c>
      <c r="G1605" t="s">
        <v>4699</v>
      </c>
      <c r="H1605" t="s">
        <v>4699</v>
      </c>
      <c r="I1605" t="s">
        <v>4713</v>
      </c>
      <c r="J1605" s="17">
        <f t="shared" si="50"/>
        <v>22118</v>
      </c>
      <c r="K1605">
        <f t="shared" ca="1" si="51"/>
        <v>65</v>
      </c>
    </row>
    <row r="1606" spans="1:11" ht="15.75" customHeight="1">
      <c r="A1606" t="s">
        <v>1471</v>
      </c>
      <c r="B1606">
        <v>1978</v>
      </c>
      <c r="C1606" t="s">
        <v>4714</v>
      </c>
      <c r="D1606">
        <v>19</v>
      </c>
      <c r="E1606">
        <v>2</v>
      </c>
      <c r="F1606" s="16">
        <v>13874.89</v>
      </c>
      <c r="G1606" t="s">
        <v>4699</v>
      </c>
      <c r="H1606" t="s">
        <v>4698</v>
      </c>
      <c r="I1606" t="s">
        <v>4713</v>
      </c>
      <c r="J1606" s="17">
        <f t="shared" si="50"/>
        <v>28843</v>
      </c>
      <c r="K1606">
        <f t="shared" ca="1" si="51"/>
        <v>46</v>
      </c>
    </row>
    <row r="1607" spans="1:11" ht="15.75" customHeight="1">
      <c r="A1607" t="s">
        <v>1469</v>
      </c>
      <c r="B1607">
        <v>1959</v>
      </c>
      <c r="C1607" t="s">
        <v>4717</v>
      </c>
      <c r="D1607">
        <v>5</v>
      </c>
      <c r="E1607">
        <v>0</v>
      </c>
      <c r="F1607" s="16">
        <v>13880.95</v>
      </c>
      <c r="G1607" t="s">
        <v>4699</v>
      </c>
      <c r="H1607" t="s">
        <v>4699</v>
      </c>
      <c r="I1607" t="s">
        <v>4718</v>
      </c>
      <c r="J1607" s="17">
        <f t="shared" si="50"/>
        <v>21828</v>
      </c>
      <c r="K1607">
        <f t="shared" ca="1" si="51"/>
        <v>66</v>
      </c>
    </row>
    <row r="1608" spans="1:11" ht="15.75" customHeight="1">
      <c r="A1608" t="s">
        <v>1467</v>
      </c>
      <c r="B1608">
        <v>1985</v>
      </c>
      <c r="C1608" t="s">
        <v>4712</v>
      </c>
      <c r="D1608">
        <v>25</v>
      </c>
      <c r="E1608">
        <v>3</v>
      </c>
      <c r="F1608" s="16">
        <v>13886.4</v>
      </c>
      <c r="G1608" t="s">
        <v>4699</v>
      </c>
      <c r="H1608" t="s">
        <v>4699</v>
      </c>
      <c r="I1608" t="s">
        <v>4713</v>
      </c>
      <c r="J1608" s="17">
        <f t="shared" si="50"/>
        <v>31315</v>
      </c>
      <c r="K1608">
        <f t="shared" ca="1" si="51"/>
        <v>40</v>
      </c>
    </row>
    <row r="1609" spans="1:11" ht="15.75" customHeight="1">
      <c r="A1609" t="s">
        <v>1465</v>
      </c>
      <c r="B1609">
        <v>1959</v>
      </c>
      <c r="C1609" t="s">
        <v>4714</v>
      </c>
      <c r="D1609">
        <v>29</v>
      </c>
      <c r="E1609">
        <v>0</v>
      </c>
      <c r="F1609" s="16">
        <v>13887.2</v>
      </c>
      <c r="G1609" t="s">
        <v>4699</v>
      </c>
      <c r="H1609" t="s">
        <v>4700</v>
      </c>
      <c r="I1609" t="s">
        <v>4709</v>
      </c>
      <c r="J1609" s="17">
        <f t="shared" si="50"/>
        <v>21913</v>
      </c>
      <c r="K1609">
        <f t="shared" ca="1" si="51"/>
        <v>65</v>
      </c>
    </row>
    <row r="1610" spans="1:11" ht="15.75" customHeight="1">
      <c r="A1610" t="s">
        <v>1463</v>
      </c>
      <c r="B1610">
        <v>1959</v>
      </c>
      <c r="C1610" t="s">
        <v>4708</v>
      </c>
      <c r="D1610">
        <v>7</v>
      </c>
      <c r="E1610">
        <v>0</v>
      </c>
      <c r="F1610" s="16">
        <v>13887.97</v>
      </c>
      <c r="G1610" t="s">
        <v>4699</v>
      </c>
      <c r="H1610" t="s">
        <v>4699</v>
      </c>
      <c r="I1610" t="s">
        <v>4709</v>
      </c>
      <c r="J1610" s="17">
        <f t="shared" si="50"/>
        <v>21738</v>
      </c>
      <c r="K1610">
        <f t="shared" ca="1" si="51"/>
        <v>66</v>
      </c>
    </row>
    <row r="1611" spans="1:11" ht="15.75" customHeight="1">
      <c r="A1611" t="s">
        <v>1461</v>
      </c>
      <c r="B1611">
        <v>1962</v>
      </c>
      <c r="C1611" t="s">
        <v>4708</v>
      </c>
      <c r="D1611">
        <v>27</v>
      </c>
      <c r="E1611">
        <v>3</v>
      </c>
      <c r="F1611" s="16">
        <v>13919.82</v>
      </c>
      <c r="G1611" t="s">
        <v>4699</v>
      </c>
      <c r="H1611" t="s">
        <v>4699</v>
      </c>
      <c r="I1611" t="s">
        <v>4709</v>
      </c>
      <c r="J1611" s="17">
        <f t="shared" si="50"/>
        <v>22854</v>
      </c>
      <c r="K1611">
        <f t="shared" ca="1" si="51"/>
        <v>63</v>
      </c>
    </row>
    <row r="1612" spans="1:11" ht="15.75" customHeight="1">
      <c r="A1612" t="s">
        <v>1459</v>
      </c>
      <c r="B1612">
        <v>1960</v>
      </c>
      <c r="C1612" t="s">
        <v>4711</v>
      </c>
      <c r="D1612">
        <v>18</v>
      </c>
      <c r="E1612">
        <v>1</v>
      </c>
      <c r="F1612" s="16">
        <v>13937.67</v>
      </c>
      <c r="G1612" t="s">
        <v>4699</v>
      </c>
      <c r="H1612" t="s">
        <v>4698</v>
      </c>
      <c r="I1612" t="s">
        <v>4713</v>
      </c>
      <c r="J1612" s="17">
        <f t="shared" si="50"/>
        <v>22085</v>
      </c>
      <c r="K1612">
        <f t="shared" ca="1" si="51"/>
        <v>65</v>
      </c>
    </row>
    <row r="1613" spans="1:11" ht="15.75" customHeight="1">
      <c r="A1613" t="s">
        <v>1457</v>
      </c>
      <c r="B1613">
        <v>1959</v>
      </c>
      <c r="C1613" t="s">
        <v>4716</v>
      </c>
      <c r="D1613">
        <v>29</v>
      </c>
      <c r="E1613">
        <v>0</v>
      </c>
      <c r="F1613" s="16">
        <v>13974.46</v>
      </c>
      <c r="G1613" t="s">
        <v>4699</v>
      </c>
      <c r="H1613" t="s">
        <v>4699</v>
      </c>
      <c r="I1613" t="s">
        <v>4720</v>
      </c>
      <c r="J1613" s="17">
        <f t="shared" si="50"/>
        <v>21791</v>
      </c>
      <c r="K1613">
        <f t="shared" ca="1" si="51"/>
        <v>66</v>
      </c>
    </row>
    <row r="1614" spans="1:11" ht="15.75" customHeight="1">
      <c r="A1614" t="s">
        <v>1455</v>
      </c>
      <c r="B1614">
        <v>1990</v>
      </c>
      <c r="C1614" t="s">
        <v>4708</v>
      </c>
      <c r="D1614">
        <v>13</v>
      </c>
      <c r="E1614">
        <v>3</v>
      </c>
      <c r="F1614" s="16">
        <v>13979.45</v>
      </c>
      <c r="G1614" t="s">
        <v>4699</v>
      </c>
      <c r="H1614" t="s">
        <v>4698</v>
      </c>
      <c r="I1614" t="s">
        <v>4725</v>
      </c>
      <c r="J1614" s="17">
        <f t="shared" si="50"/>
        <v>33067</v>
      </c>
      <c r="K1614">
        <f t="shared" ca="1" si="51"/>
        <v>35</v>
      </c>
    </row>
    <row r="1615" spans="1:11" ht="15.75" customHeight="1">
      <c r="A1615" t="s">
        <v>1453</v>
      </c>
      <c r="B1615">
        <v>1959</v>
      </c>
      <c r="C1615" t="s">
        <v>4712</v>
      </c>
      <c r="D1615">
        <v>6</v>
      </c>
      <c r="E1615">
        <v>0</v>
      </c>
      <c r="F1615" s="16">
        <v>13981.85</v>
      </c>
      <c r="G1615" t="s">
        <v>4699</v>
      </c>
      <c r="H1615" t="s">
        <v>4698</v>
      </c>
      <c r="I1615" t="s">
        <v>4721</v>
      </c>
      <c r="J1615" s="17">
        <f t="shared" si="50"/>
        <v>21799</v>
      </c>
      <c r="K1615">
        <f t="shared" ca="1" si="51"/>
        <v>66</v>
      </c>
    </row>
    <row r="1616" spans="1:11" ht="15.75" customHeight="1">
      <c r="A1616" t="s">
        <v>1451</v>
      </c>
      <c r="B1616">
        <v>1963</v>
      </c>
      <c r="C1616" t="s">
        <v>4714</v>
      </c>
      <c r="D1616">
        <v>23</v>
      </c>
      <c r="E1616">
        <v>3</v>
      </c>
      <c r="F1616" s="16">
        <v>14001.13</v>
      </c>
      <c r="G1616" t="s">
        <v>4699</v>
      </c>
      <c r="H1616" t="s">
        <v>4698</v>
      </c>
      <c r="I1616" t="s">
        <v>4709</v>
      </c>
      <c r="J1616" s="17">
        <f t="shared" si="50"/>
        <v>23368</v>
      </c>
      <c r="K1616">
        <f t="shared" ca="1" si="51"/>
        <v>61</v>
      </c>
    </row>
    <row r="1617" spans="1:11" ht="15.75" customHeight="1">
      <c r="A1617" t="s">
        <v>1449</v>
      </c>
      <c r="B1617">
        <v>1963</v>
      </c>
      <c r="C1617" t="s">
        <v>4708</v>
      </c>
      <c r="D1617">
        <v>6</v>
      </c>
      <c r="E1617">
        <v>3</v>
      </c>
      <c r="F1617" s="16">
        <v>14001.29</v>
      </c>
      <c r="G1617" t="s">
        <v>4699</v>
      </c>
      <c r="H1617" t="s">
        <v>4699</v>
      </c>
      <c r="I1617" t="s">
        <v>4709</v>
      </c>
      <c r="J1617" s="17">
        <f t="shared" si="50"/>
        <v>23198</v>
      </c>
      <c r="K1617">
        <f t="shared" ca="1" si="51"/>
        <v>62</v>
      </c>
    </row>
    <row r="1618" spans="1:11" ht="15.75" customHeight="1">
      <c r="A1618" t="s">
        <v>1447</v>
      </c>
      <c r="B1618">
        <v>1963</v>
      </c>
      <c r="C1618" t="s">
        <v>4708</v>
      </c>
      <c r="D1618">
        <v>8</v>
      </c>
      <c r="E1618">
        <v>3</v>
      </c>
      <c r="F1618" s="16">
        <v>14007.22</v>
      </c>
      <c r="G1618" t="s">
        <v>4699</v>
      </c>
      <c r="H1618" t="s">
        <v>4700</v>
      </c>
      <c r="I1618" t="s">
        <v>4718</v>
      </c>
      <c r="J1618" s="17">
        <f t="shared" si="50"/>
        <v>23200</v>
      </c>
      <c r="K1618">
        <f t="shared" ca="1" si="51"/>
        <v>62</v>
      </c>
    </row>
    <row r="1619" spans="1:11" ht="15.75" customHeight="1">
      <c r="A1619" t="s">
        <v>1445</v>
      </c>
      <c r="B1619">
        <v>1960</v>
      </c>
      <c r="C1619" t="s">
        <v>4710</v>
      </c>
      <c r="D1619">
        <v>8</v>
      </c>
      <c r="E1619">
        <v>0</v>
      </c>
      <c r="F1619" s="16">
        <v>14043.48</v>
      </c>
      <c r="G1619" t="s">
        <v>4699</v>
      </c>
      <c r="H1619" t="s">
        <v>4700</v>
      </c>
      <c r="I1619" t="s">
        <v>4724</v>
      </c>
      <c r="J1619" s="17">
        <f t="shared" si="50"/>
        <v>22228</v>
      </c>
      <c r="K1619">
        <f t="shared" ca="1" si="51"/>
        <v>65</v>
      </c>
    </row>
    <row r="1620" spans="1:11" ht="15.75" customHeight="1">
      <c r="A1620" t="s">
        <v>1443</v>
      </c>
      <c r="B1620">
        <v>1991</v>
      </c>
      <c r="C1620" t="s">
        <v>4712</v>
      </c>
      <c r="D1620">
        <v>12</v>
      </c>
      <c r="E1620">
        <v>3</v>
      </c>
      <c r="F1620" s="16">
        <v>14081.93</v>
      </c>
      <c r="G1620" t="s">
        <v>4699</v>
      </c>
      <c r="H1620" t="s">
        <v>4700</v>
      </c>
      <c r="I1620" t="s">
        <v>4713</v>
      </c>
      <c r="J1620" s="17">
        <f t="shared" si="50"/>
        <v>33493</v>
      </c>
      <c r="K1620">
        <f t="shared" ca="1" si="51"/>
        <v>34</v>
      </c>
    </row>
    <row r="1621" spans="1:11" ht="15.75" customHeight="1">
      <c r="A1621" t="s">
        <v>1441</v>
      </c>
      <c r="B1621">
        <v>1976</v>
      </c>
      <c r="C1621" t="s">
        <v>4712</v>
      </c>
      <c r="D1621">
        <v>26</v>
      </c>
      <c r="E1621">
        <v>2</v>
      </c>
      <c r="F1621" s="16">
        <v>14098.07</v>
      </c>
      <c r="G1621" t="s">
        <v>4699</v>
      </c>
      <c r="H1621" t="s">
        <v>4700</v>
      </c>
      <c r="I1621" t="s">
        <v>4725</v>
      </c>
      <c r="J1621" s="17">
        <f t="shared" si="50"/>
        <v>28029</v>
      </c>
      <c r="K1621">
        <f t="shared" ca="1" si="51"/>
        <v>49</v>
      </c>
    </row>
    <row r="1622" spans="1:11" ht="15.75" customHeight="1">
      <c r="A1622" t="s">
        <v>1439</v>
      </c>
      <c r="B1622">
        <v>1961</v>
      </c>
      <c r="C1622" t="s">
        <v>4711</v>
      </c>
      <c r="D1622">
        <v>14</v>
      </c>
      <c r="E1622">
        <v>2</v>
      </c>
      <c r="F1622" s="16">
        <v>14119.62</v>
      </c>
      <c r="G1622" t="s">
        <v>4699</v>
      </c>
      <c r="H1622" t="s">
        <v>4698</v>
      </c>
      <c r="I1622" t="s">
        <v>4713</v>
      </c>
      <c r="J1622" s="17">
        <f t="shared" si="50"/>
        <v>22446</v>
      </c>
      <c r="K1622">
        <f t="shared" ca="1" si="51"/>
        <v>64</v>
      </c>
    </row>
    <row r="1623" spans="1:11" ht="15.75" customHeight="1">
      <c r="A1623" t="s">
        <v>1437</v>
      </c>
      <c r="B1623">
        <v>2004</v>
      </c>
      <c r="C1623" t="s">
        <v>4708</v>
      </c>
      <c r="D1623">
        <v>6</v>
      </c>
      <c r="E1623">
        <v>0</v>
      </c>
      <c r="F1623" s="16">
        <v>14133.04</v>
      </c>
      <c r="G1623" t="s">
        <v>4699</v>
      </c>
      <c r="H1623" t="s">
        <v>4700</v>
      </c>
      <c r="I1623" t="s">
        <v>4709</v>
      </c>
      <c r="J1623" s="17">
        <f t="shared" si="50"/>
        <v>38174</v>
      </c>
      <c r="K1623">
        <f t="shared" ca="1" si="51"/>
        <v>21</v>
      </c>
    </row>
    <row r="1624" spans="1:11" ht="15.75" customHeight="1">
      <c r="A1624" t="s">
        <v>1435</v>
      </c>
      <c r="B1624">
        <v>1984</v>
      </c>
      <c r="C1624" t="s">
        <v>4708</v>
      </c>
      <c r="D1624">
        <v>7</v>
      </c>
      <c r="E1624">
        <v>3</v>
      </c>
      <c r="F1624" s="16">
        <v>14152.46</v>
      </c>
      <c r="G1624" t="s">
        <v>4699</v>
      </c>
      <c r="H1624" t="s">
        <v>4698</v>
      </c>
      <c r="I1624" t="s">
        <v>4713</v>
      </c>
      <c r="J1624" s="17">
        <f t="shared" si="50"/>
        <v>30870</v>
      </c>
      <c r="K1624">
        <f t="shared" ca="1" si="51"/>
        <v>41</v>
      </c>
    </row>
    <row r="1625" spans="1:11" ht="15.75" customHeight="1">
      <c r="A1625" t="s">
        <v>1433</v>
      </c>
      <c r="B1625">
        <v>1968</v>
      </c>
      <c r="C1625" t="s">
        <v>4714</v>
      </c>
      <c r="D1625">
        <v>25</v>
      </c>
      <c r="E1625">
        <v>0</v>
      </c>
      <c r="F1625" s="16">
        <v>14193.55</v>
      </c>
      <c r="G1625" t="s">
        <v>4699</v>
      </c>
      <c r="H1625" t="s">
        <v>4698</v>
      </c>
      <c r="I1625" t="s">
        <v>4730</v>
      </c>
      <c r="J1625" s="17">
        <f t="shared" si="50"/>
        <v>25197</v>
      </c>
      <c r="K1625">
        <f t="shared" ca="1" si="51"/>
        <v>56</v>
      </c>
    </row>
    <row r="1626" spans="1:11" ht="15.75" customHeight="1">
      <c r="A1626" t="s">
        <v>1431</v>
      </c>
      <c r="B1626">
        <v>1983</v>
      </c>
      <c r="C1626" t="s">
        <v>4710</v>
      </c>
      <c r="D1626">
        <v>17</v>
      </c>
      <c r="E1626">
        <v>3</v>
      </c>
      <c r="F1626" s="16">
        <v>14209.4</v>
      </c>
      <c r="G1626" t="s">
        <v>4699</v>
      </c>
      <c r="H1626" t="s">
        <v>4698</v>
      </c>
      <c r="I1626" t="s">
        <v>4730</v>
      </c>
      <c r="J1626" s="17">
        <f t="shared" si="50"/>
        <v>30637</v>
      </c>
      <c r="K1626">
        <f t="shared" ca="1" si="51"/>
        <v>42</v>
      </c>
    </row>
    <row r="1627" spans="1:11" ht="15.75" customHeight="1">
      <c r="A1627" t="s">
        <v>1429</v>
      </c>
      <c r="B1627">
        <v>1958</v>
      </c>
      <c r="C1627" t="s">
        <v>4712</v>
      </c>
      <c r="D1627">
        <v>21</v>
      </c>
      <c r="E1627">
        <v>0</v>
      </c>
      <c r="F1627" s="16">
        <v>14210.54</v>
      </c>
      <c r="G1627" t="s">
        <v>4699</v>
      </c>
      <c r="H1627" t="s">
        <v>4699</v>
      </c>
      <c r="I1627" t="s">
        <v>4713</v>
      </c>
      <c r="J1627" s="17">
        <f t="shared" si="50"/>
        <v>21449</v>
      </c>
      <c r="K1627">
        <f t="shared" ca="1" si="51"/>
        <v>67</v>
      </c>
    </row>
    <row r="1628" spans="1:11" ht="15.75" customHeight="1">
      <c r="A1628" t="s">
        <v>1427</v>
      </c>
      <c r="B1628">
        <v>1961</v>
      </c>
      <c r="C1628" t="s">
        <v>4712</v>
      </c>
      <c r="D1628">
        <v>25</v>
      </c>
      <c r="E1628">
        <v>2</v>
      </c>
      <c r="F1628" s="16">
        <v>14235.07</v>
      </c>
      <c r="G1628" t="s">
        <v>4699</v>
      </c>
      <c r="H1628" t="s">
        <v>4698</v>
      </c>
      <c r="I1628" t="s">
        <v>4718</v>
      </c>
      <c r="J1628" s="17">
        <f t="shared" si="50"/>
        <v>22549</v>
      </c>
      <c r="K1628">
        <f t="shared" ca="1" si="51"/>
        <v>64</v>
      </c>
    </row>
    <row r="1629" spans="1:11" ht="15.75" customHeight="1">
      <c r="A1629" t="s">
        <v>1425</v>
      </c>
      <c r="B1629">
        <v>1959</v>
      </c>
      <c r="C1629" t="s">
        <v>4717</v>
      </c>
      <c r="D1629">
        <v>10</v>
      </c>
      <c r="E1629">
        <v>0</v>
      </c>
      <c r="F1629" s="16">
        <v>14254.61</v>
      </c>
      <c r="G1629" t="s">
        <v>4699</v>
      </c>
      <c r="H1629" t="s">
        <v>4698</v>
      </c>
      <c r="I1629" t="s">
        <v>4713</v>
      </c>
      <c r="J1629" s="17">
        <f t="shared" si="50"/>
        <v>21833</v>
      </c>
      <c r="K1629">
        <f t="shared" ca="1" si="51"/>
        <v>66</v>
      </c>
    </row>
    <row r="1630" spans="1:11" ht="15.75" customHeight="1">
      <c r="A1630" t="s">
        <v>1423</v>
      </c>
      <c r="B1630">
        <v>1959</v>
      </c>
      <c r="C1630" t="s">
        <v>4710</v>
      </c>
      <c r="D1630">
        <v>8</v>
      </c>
      <c r="E1630">
        <v>0</v>
      </c>
      <c r="F1630" s="16">
        <v>14256.19</v>
      </c>
      <c r="G1630" t="s">
        <v>4699</v>
      </c>
      <c r="H1630" t="s">
        <v>4700</v>
      </c>
      <c r="I1630" t="s">
        <v>4713</v>
      </c>
      <c r="J1630" s="17">
        <f t="shared" si="50"/>
        <v>21862</v>
      </c>
      <c r="K1630">
        <f t="shared" ca="1" si="51"/>
        <v>66</v>
      </c>
    </row>
    <row r="1631" spans="1:11" ht="15.75" customHeight="1">
      <c r="A1631" t="s">
        <v>1421</v>
      </c>
      <c r="B1631">
        <v>1974</v>
      </c>
      <c r="C1631" t="s">
        <v>4714</v>
      </c>
      <c r="D1631">
        <v>26</v>
      </c>
      <c r="E1631">
        <v>0</v>
      </c>
      <c r="F1631" s="16">
        <v>14256.79</v>
      </c>
      <c r="G1631" t="s">
        <v>4699</v>
      </c>
      <c r="H1631" t="s">
        <v>4699</v>
      </c>
      <c r="I1631" t="s">
        <v>4730</v>
      </c>
      <c r="J1631" s="17">
        <f t="shared" si="50"/>
        <v>27389</v>
      </c>
      <c r="K1631">
        <f t="shared" ca="1" si="51"/>
        <v>50</v>
      </c>
    </row>
    <row r="1632" spans="1:11" ht="15.75" customHeight="1">
      <c r="A1632" t="s">
        <v>1419</v>
      </c>
      <c r="B1632">
        <v>1972</v>
      </c>
      <c r="C1632" t="s">
        <v>4708</v>
      </c>
      <c r="D1632">
        <v>13</v>
      </c>
      <c r="E1632">
        <v>0</v>
      </c>
      <c r="F1632" s="16">
        <v>14258.33</v>
      </c>
      <c r="G1632" t="s">
        <v>4699</v>
      </c>
      <c r="H1632" t="s">
        <v>4699</v>
      </c>
      <c r="I1632" t="s">
        <v>4730</v>
      </c>
      <c r="J1632" s="17">
        <f t="shared" si="50"/>
        <v>26493</v>
      </c>
      <c r="K1632">
        <f t="shared" ca="1" si="51"/>
        <v>53</v>
      </c>
    </row>
    <row r="1633" spans="1:11" ht="15.75" customHeight="1">
      <c r="A1633" t="s">
        <v>1417</v>
      </c>
      <c r="B1633">
        <v>2004</v>
      </c>
      <c r="C1633" t="s">
        <v>4712</v>
      </c>
      <c r="D1633">
        <v>6</v>
      </c>
      <c r="E1633">
        <v>0</v>
      </c>
      <c r="F1633" s="16">
        <v>14283.46</v>
      </c>
      <c r="G1633" t="s">
        <v>4699</v>
      </c>
      <c r="H1633" t="s">
        <v>4699</v>
      </c>
      <c r="I1633" t="s">
        <v>4724</v>
      </c>
      <c r="J1633" s="17">
        <f t="shared" si="50"/>
        <v>38236</v>
      </c>
      <c r="K1633">
        <f t="shared" ca="1" si="51"/>
        <v>21</v>
      </c>
    </row>
    <row r="1634" spans="1:11" ht="15.75" customHeight="1">
      <c r="A1634" t="s">
        <v>1415</v>
      </c>
      <c r="B1634">
        <v>1968</v>
      </c>
      <c r="C1634" t="s">
        <v>4714</v>
      </c>
      <c r="D1634">
        <v>15</v>
      </c>
      <c r="E1634">
        <v>0</v>
      </c>
      <c r="F1634" s="16">
        <v>14285.9</v>
      </c>
      <c r="G1634" t="s">
        <v>4699</v>
      </c>
      <c r="H1634" t="s">
        <v>4700</v>
      </c>
      <c r="I1634" t="s">
        <v>4713</v>
      </c>
      <c r="J1634" s="17">
        <f t="shared" si="50"/>
        <v>25187</v>
      </c>
      <c r="K1634">
        <f t="shared" ca="1" si="51"/>
        <v>56</v>
      </c>
    </row>
    <row r="1635" spans="1:11" ht="15.75" customHeight="1">
      <c r="A1635" t="s">
        <v>1413</v>
      </c>
      <c r="B1635">
        <v>1958</v>
      </c>
      <c r="C1635" t="s">
        <v>4717</v>
      </c>
      <c r="D1635">
        <v>15</v>
      </c>
      <c r="E1635">
        <v>0</v>
      </c>
      <c r="F1635" s="16">
        <v>14313.85</v>
      </c>
      <c r="G1635" t="s">
        <v>4699</v>
      </c>
      <c r="H1635" t="s">
        <v>4700</v>
      </c>
      <c r="I1635" t="s">
        <v>4709</v>
      </c>
      <c r="J1635" s="17">
        <f t="shared" si="50"/>
        <v>21473</v>
      </c>
      <c r="K1635">
        <f t="shared" ca="1" si="51"/>
        <v>67</v>
      </c>
    </row>
    <row r="1636" spans="1:11" ht="15.75" customHeight="1">
      <c r="A1636" t="s">
        <v>1411</v>
      </c>
      <c r="B1636">
        <v>1958</v>
      </c>
      <c r="C1636" t="s">
        <v>4708</v>
      </c>
      <c r="D1636">
        <v>10</v>
      </c>
      <c r="E1636">
        <v>0</v>
      </c>
      <c r="F1636" s="16">
        <v>14319.03</v>
      </c>
      <c r="G1636" t="s">
        <v>4699</v>
      </c>
      <c r="H1636" t="s">
        <v>4699</v>
      </c>
      <c r="I1636" t="s">
        <v>4718</v>
      </c>
      <c r="J1636" s="17">
        <f t="shared" si="50"/>
        <v>21376</v>
      </c>
      <c r="K1636">
        <f t="shared" ca="1" si="51"/>
        <v>67</v>
      </c>
    </row>
    <row r="1637" spans="1:11" ht="15.75" customHeight="1">
      <c r="A1637" t="s">
        <v>1409</v>
      </c>
      <c r="B1637">
        <v>1969</v>
      </c>
      <c r="C1637" t="s">
        <v>4712</v>
      </c>
      <c r="D1637">
        <v>26</v>
      </c>
      <c r="E1637">
        <v>0</v>
      </c>
      <c r="F1637" s="16">
        <v>14337.91</v>
      </c>
      <c r="G1637" t="s">
        <v>4699</v>
      </c>
      <c r="H1637" t="s">
        <v>4700</v>
      </c>
      <c r="I1637" t="s">
        <v>4731</v>
      </c>
      <c r="J1637" s="17">
        <f t="shared" si="50"/>
        <v>25472</v>
      </c>
      <c r="K1637">
        <f t="shared" ca="1" si="51"/>
        <v>56</v>
      </c>
    </row>
    <row r="1638" spans="1:11" ht="15.75" customHeight="1">
      <c r="A1638" t="s">
        <v>1407</v>
      </c>
      <c r="B1638">
        <v>1959</v>
      </c>
      <c r="C1638" t="s">
        <v>4714</v>
      </c>
      <c r="D1638">
        <v>24</v>
      </c>
      <c r="E1638">
        <v>1</v>
      </c>
      <c r="F1638" s="16">
        <v>14349.85</v>
      </c>
      <c r="G1638" t="s">
        <v>4699</v>
      </c>
      <c r="H1638" t="s">
        <v>4699</v>
      </c>
      <c r="I1638" t="s">
        <v>4713</v>
      </c>
      <c r="J1638" s="17">
        <f t="shared" si="50"/>
        <v>21908</v>
      </c>
      <c r="K1638">
        <f t="shared" ca="1" si="51"/>
        <v>65</v>
      </c>
    </row>
    <row r="1639" spans="1:11" ht="15.75" customHeight="1">
      <c r="A1639" t="s">
        <v>1405</v>
      </c>
      <c r="B1639">
        <v>1967</v>
      </c>
      <c r="C1639" t="s">
        <v>4717</v>
      </c>
      <c r="D1639">
        <v>10</v>
      </c>
      <c r="E1639">
        <v>0</v>
      </c>
      <c r="F1639" s="16">
        <v>14355.43</v>
      </c>
      <c r="G1639" t="s">
        <v>4699</v>
      </c>
      <c r="H1639" t="s">
        <v>4698</v>
      </c>
      <c r="I1639" t="s">
        <v>4730</v>
      </c>
      <c r="J1639" s="17">
        <f t="shared" si="50"/>
        <v>24755</v>
      </c>
      <c r="K1639">
        <f t="shared" ca="1" si="51"/>
        <v>58</v>
      </c>
    </row>
    <row r="1640" spans="1:11" ht="15.75" customHeight="1">
      <c r="A1640" t="s">
        <v>1403</v>
      </c>
      <c r="B1640">
        <v>1988</v>
      </c>
      <c r="C1640" t="s">
        <v>4710</v>
      </c>
      <c r="D1640">
        <v>16</v>
      </c>
      <c r="E1640">
        <v>1</v>
      </c>
      <c r="F1640" s="16">
        <v>14358.36</v>
      </c>
      <c r="G1640" t="s">
        <v>4699</v>
      </c>
      <c r="H1640" t="s">
        <v>4699</v>
      </c>
      <c r="I1640" t="s">
        <v>4718</v>
      </c>
      <c r="J1640" s="17">
        <f t="shared" si="50"/>
        <v>32463</v>
      </c>
      <c r="K1640">
        <f t="shared" ca="1" si="51"/>
        <v>37</v>
      </c>
    </row>
    <row r="1641" spans="1:11" ht="15.75" customHeight="1">
      <c r="A1641" t="s">
        <v>1401</v>
      </c>
      <c r="B1641">
        <v>1963</v>
      </c>
      <c r="C1641" t="s">
        <v>4708</v>
      </c>
      <c r="D1641">
        <v>16</v>
      </c>
      <c r="E1641">
        <v>3</v>
      </c>
      <c r="F1641" s="16">
        <v>14382.71</v>
      </c>
      <c r="G1641" t="s">
        <v>4699</v>
      </c>
      <c r="H1641" t="s">
        <v>4699</v>
      </c>
      <c r="I1641" t="s">
        <v>4713</v>
      </c>
      <c r="J1641" s="17">
        <f t="shared" si="50"/>
        <v>23208</v>
      </c>
      <c r="K1641">
        <f t="shared" ca="1" si="51"/>
        <v>62</v>
      </c>
    </row>
    <row r="1642" spans="1:11" ht="15.75" customHeight="1">
      <c r="A1642" t="s">
        <v>1399</v>
      </c>
      <c r="B1642">
        <v>1965</v>
      </c>
      <c r="C1642" t="s">
        <v>4711</v>
      </c>
      <c r="D1642">
        <v>22</v>
      </c>
      <c r="E1642">
        <v>4</v>
      </c>
      <c r="F1642" s="16">
        <v>14394.4</v>
      </c>
      <c r="G1642" t="s">
        <v>4699</v>
      </c>
      <c r="H1642" t="s">
        <v>4700</v>
      </c>
      <c r="I1642" t="s">
        <v>4724</v>
      </c>
      <c r="J1642" s="17">
        <f t="shared" si="50"/>
        <v>23915</v>
      </c>
      <c r="K1642">
        <f t="shared" ca="1" si="51"/>
        <v>60</v>
      </c>
    </row>
    <row r="1643" spans="1:11" ht="15.75" customHeight="1">
      <c r="A1643" t="s">
        <v>1397</v>
      </c>
      <c r="B1643">
        <v>1958</v>
      </c>
      <c r="C1643" t="s">
        <v>4712</v>
      </c>
      <c r="D1643">
        <v>14</v>
      </c>
      <c r="E1643">
        <v>0</v>
      </c>
      <c r="F1643" s="16">
        <v>14394.56</v>
      </c>
      <c r="G1643" t="s">
        <v>4699</v>
      </c>
      <c r="H1643" t="s">
        <v>4698</v>
      </c>
      <c r="I1643" t="s">
        <v>4722</v>
      </c>
      <c r="J1643" s="17">
        <f t="shared" si="50"/>
        <v>21442</v>
      </c>
      <c r="K1643">
        <f t="shared" ca="1" si="51"/>
        <v>67</v>
      </c>
    </row>
    <row r="1644" spans="1:11" ht="15.75" customHeight="1">
      <c r="A1644" t="s">
        <v>1395</v>
      </c>
      <c r="B1644">
        <v>1958</v>
      </c>
      <c r="C1644" t="s">
        <v>4708</v>
      </c>
      <c r="D1644">
        <v>29</v>
      </c>
      <c r="E1644">
        <v>0</v>
      </c>
      <c r="F1644" s="16">
        <v>14410.93</v>
      </c>
      <c r="G1644" t="s">
        <v>4699</v>
      </c>
      <c r="H1644" t="s">
        <v>4699</v>
      </c>
      <c r="I1644" t="s">
        <v>4721</v>
      </c>
      <c r="J1644" s="17">
        <f t="shared" si="50"/>
        <v>21395</v>
      </c>
      <c r="K1644">
        <f t="shared" ca="1" si="51"/>
        <v>67</v>
      </c>
    </row>
    <row r="1645" spans="1:11" ht="15.75" customHeight="1">
      <c r="A1645" t="s">
        <v>1393</v>
      </c>
      <c r="B1645">
        <v>1958</v>
      </c>
      <c r="C1645" t="s">
        <v>4712</v>
      </c>
      <c r="D1645">
        <v>20</v>
      </c>
      <c r="E1645">
        <v>1</v>
      </c>
      <c r="F1645" s="16">
        <v>14418.28</v>
      </c>
      <c r="G1645" t="s">
        <v>4699</v>
      </c>
      <c r="H1645" t="s">
        <v>4700</v>
      </c>
      <c r="I1645" t="s">
        <v>4709</v>
      </c>
      <c r="J1645" s="17">
        <f t="shared" si="50"/>
        <v>21448</v>
      </c>
      <c r="K1645">
        <f t="shared" ca="1" si="51"/>
        <v>67</v>
      </c>
    </row>
    <row r="1646" spans="1:11" ht="15.75" customHeight="1">
      <c r="A1646" t="s">
        <v>1391</v>
      </c>
      <c r="B1646">
        <v>1999</v>
      </c>
      <c r="C1646" t="s">
        <v>4716</v>
      </c>
      <c r="D1646">
        <v>10</v>
      </c>
      <c r="E1646">
        <v>2</v>
      </c>
      <c r="F1646" s="16">
        <v>14426.07</v>
      </c>
      <c r="G1646" t="s">
        <v>4699</v>
      </c>
      <c r="H1646" t="s">
        <v>4698</v>
      </c>
      <c r="I1646" t="s">
        <v>4713</v>
      </c>
      <c r="J1646" s="17">
        <f t="shared" si="50"/>
        <v>36382</v>
      </c>
      <c r="K1646">
        <f t="shared" ca="1" si="51"/>
        <v>26</v>
      </c>
    </row>
    <row r="1647" spans="1:11" ht="15.75" customHeight="1">
      <c r="A1647" t="s">
        <v>1389</v>
      </c>
      <c r="B1647">
        <v>1967</v>
      </c>
      <c r="C1647" t="s">
        <v>4716</v>
      </c>
      <c r="D1647">
        <v>15</v>
      </c>
      <c r="E1647">
        <v>0</v>
      </c>
      <c r="F1647" s="16">
        <v>14426.66</v>
      </c>
      <c r="G1647" t="s">
        <v>4699</v>
      </c>
      <c r="H1647" t="s">
        <v>4699</v>
      </c>
      <c r="I1647" t="s">
        <v>4730</v>
      </c>
      <c r="J1647" s="17">
        <f t="shared" si="50"/>
        <v>24699</v>
      </c>
      <c r="K1647">
        <f t="shared" ca="1" si="51"/>
        <v>58</v>
      </c>
    </row>
    <row r="1648" spans="1:11" ht="15.75" customHeight="1">
      <c r="A1648" t="s">
        <v>1387</v>
      </c>
      <c r="B1648">
        <v>1967</v>
      </c>
      <c r="C1648" t="s">
        <v>4710</v>
      </c>
      <c r="D1648">
        <v>4</v>
      </c>
      <c r="E1648">
        <v>0</v>
      </c>
      <c r="F1648" s="16">
        <v>14427.63</v>
      </c>
      <c r="G1648" t="s">
        <v>4699</v>
      </c>
      <c r="H1648" t="s">
        <v>4699</v>
      </c>
      <c r="I1648" t="s">
        <v>4727</v>
      </c>
      <c r="J1648" s="17">
        <f t="shared" si="50"/>
        <v>24780</v>
      </c>
      <c r="K1648">
        <f t="shared" ca="1" si="51"/>
        <v>58</v>
      </c>
    </row>
    <row r="1649" spans="1:11" ht="15.75" customHeight="1">
      <c r="A1649" t="s">
        <v>1385</v>
      </c>
      <c r="B1649">
        <v>1959</v>
      </c>
      <c r="C1649" t="s">
        <v>4711</v>
      </c>
      <c r="D1649">
        <v>29</v>
      </c>
      <c r="E1649">
        <v>0</v>
      </c>
      <c r="F1649" s="16">
        <v>14449.85</v>
      </c>
      <c r="G1649" t="s">
        <v>4699</v>
      </c>
      <c r="H1649" t="s">
        <v>4698</v>
      </c>
      <c r="I1649" t="s">
        <v>4724</v>
      </c>
      <c r="J1649" s="17">
        <f t="shared" si="50"/>
        <v>21730</v>
      </c>
      <c r="K1649">
        <f t="shared" ca="1" si="51"/>
        <v>66</v>
      </c>
    </row>
    <row r="1650" spans="1:11" ht="15.75" customHeight="1">
      <c r="A1650" t="s">
        <v>1383</v>
      </c>
      <c r="B1650">
        <v>1959</v>
      </c>
      <c r="C1650" t="s">
        <v>4716</v>
      </c>
      <c r="D1650">
        <v>3</v>
      </c>
      <c r="E1650">
        <v>0</v>
      </c>
      <c r="F1650" s="16">
        <v>14451.84</v>
      </c>
      <c r="G1650" t="s">
        <v>4699</v>
      </c>
      <c r="H1650" t="s">
        <v>4700</v>
      </c>
      <c r="I1650" t="s">
        <v>4725</v>
      </c>
      <c r="J1650" s="17">
        <f t="shared" si="50"/>
        <v>21765</v>
      </c>
      <c r="K1650">
        <f t="shared" ca="1" si="51"/>
        <v>66</v>
      </c>
    </row>
    <row r="1651" spans="1:11" ht="15.75" customHeight="1">
      <c r="A1651" t="s">
        <v>1381</v>
      </c>
      <c r="B1651">
        <v>1996</v>
      </c>
      <c r="C1651" t="s">
        <v>4710</v>
      </c>
      <c r="D1651">
        <v>10</v>
      </c>
      <c r="E1651">
        <v>2</v>
      </c>
      <c r="F1651" s="16">
        <v>14455.64</v>
      </c>
      <c r="G1651" t="s">
        <v>4699</v>
      </c>
      <c r="H1651" t="s">
        <v>4700</v>
      </c>
      <c r="I1651" t="s">
        <v>4724</v>
      </c>
      <c r="J1651" s="17">
        <f t="shared" si="50"/>
        <v>35379</v>
      </c>
      <c r="K1651">
        <f t="shared" ca="1" si="51"/>
        <v>29</v>
      </c>
    </row>
    <row r="1652" spans="1:11" ht="15.75" customHeight="1">
      <c r="A1652" t="s">
        <v>1379</v>
      </c>
      <c r="B1652">
        <v>1976</v>
      </c>
      <c r="C1652" t="s">
        <v>4710</v>
      </c>
      <c r="D1652">
        <v>27</v>
      </c>
      <c r="E1652">
        <v>2</v>
      </c>
      <c r="F1652" s="16">
        <v>14470.01</v>
      </c>
      <c r="G1652" t="s">
        <v>4699</v>
      </c>
      <c r="H1652" t="s">
        <v>4700</v>
      </c>
      <c r="I1652" t="s">
        <v>4713</v>
      </c>
      <c r="J1652" s="17">
        <f t="shared" si="50"/>
        <v>28091</v>
      </c>
      <c r="K1652">
        <f t="shared" ca="1" si="51"/>
        <v>49</v>
      </c>
    </row>
    <row r="1653" spans="1:11" ht="15.75" customHeight="1">
      <c r="A1653" t="s">
        <v>1377</v>
      </c>
      <c r="B1653">
        <v>1959</v>
      </c>
      <c r="C1653" t="s">
        <v>4710</v>
      </c>
      <c r="D1653">
        <v>20</v>
      </c>
      <c r="E1653">
        <v>1</v>
      </c>
      <c r="F1653" s="16">
        <v>14474.68</v>
      </c>
      <c r="G1653" t="s">
        <v>4699</v>
      </c>
      <c r="H1653" t="s">
        <v>4699</v>
      </c>
      <c r="I1653" t="s">
        <v>4709</v>
      </c>
      <c r="J1653" s="17">
        <f t="shared" si="50"/>
        <v>21874</v>
      </c>
      <c r="K1653">
        <f t="shared" ca="1" si="51"/>
        <v>66</v>
      </c>
    </row>
    <row r="1654" spans="1:11" ht="15.75" customHeight="1">
      <c r="A1654" t="s">
        <v>1375</v>
      </c>
      <c r="B1654">
        <v>1979</v>
      </c>
      <c r="C1654" t="s">
        <v>4717</v>
      </c>
      <c r="D1654">
        <v>20</v>
      </c>
      <c r="E1654">
        <v>5</v>
      </c>
      <c r="F1654" s="16">
        <v>14478.33</v>
      </c>
      <c r="G1654" t="s">
        <v>4699</v>
      </c>
      <c r="H1654" t="s">
        <v>4699</v>
      </c>
      <c r="I1654" t="s">
        <v>4709</v>
      </c>
      <c r="J1654" s="17">
        <f t="shared" si="50"/>
        <v>29148</v>
      </c>
      <c r="K1654">
        <f t="shared" ca="1" si="51"/>
        <v>46</v>
      </c>
    </row>
    <row r="1655" spans="1:11" ht="15.75" customHeight="1">
      <c r="A1655" t="s">
        <v>1373</v>
      </c>
      <c r="B1655">
        <v>1989</v>
      </c>
      <c r="C1655" t="s">
        <v>4708</v>
      </c>
      <c r="D1655">
        <v>22</v>
      </c>
      <c r="E1655">
        <v>3</v>
      </c>
      <c r="F1655" s="16">
        <v>14507.46</v>
      </c>
      <c r="G1655" t="s">
        <v>4699</v>
      </c>
      <c r="H1655" t="s">
        <v>4700</v>
      </c>
      <c r="I1655" t="s">
        <v>4713</v>
      </c>
      <c r="J1655" s="17">
        <f t="shared" si="50"/>
        <v>32711</v>
      </c>
      <c r="K1655">
        <f t="shared" ca="1" si="51"/>
        <v>36</v>
      </c>
    </row>
    <row r="1656" spans="1:11" ht="15.75" customHeight="1">
      <c r="A1656" t="s">
        <v>1371</v>
      </c>
      <c r="B1656">
        <v>1989</v>
      </c>
      <c r="C1656" t="s">
        <v>4708</v>
      </c>
      <c r="D1656">
        <v>14</v>
      </c>
      <c r="E1656">
        <v>3</v>
      </c>
      <c r="F1656" s="16">
        <v>14547.26</v>
      </c>
      <c r="G1656" t="s">
        <v>4699</v>
      </c>
      <c r="H1656" t="s">
        <v>4700</v>
      </c>
      <c r="I1656" t="s">
        <v>4718</v>
      </c>
      <c r="J1656" s="17">
        <f t="shared" si="50"/>
        <v>32703</v>
      </c>
      <c r="K1656">
        <f t="shared" ca="1" si="51"/>
        <v>36</v>
      </c>
    </row>
    <row r="1657" spans="1:11" ht="15.75" customHeight="1">
      <c r="A1657" t="s">
        <v>1369</v>
      </c>
      <c r="B1657">
        <v>1998</v>
      </c>
      <c r="C1657" t="s">
        <v>4712</v>
      </c>
      <c r="D1657">
        <v>12</v>
      </c>
      <c r="E1657">
        <v>0</v>
      </c>
      <c r="F1657" s="16">
        <v>14571.89</v>
      </c>
      <c r="G1657" t="s">
        <v>4699</v>
      </c>
      <c r="H1657" t="s">
        <v>4698</v>
      </c>
      <c r="I1657" t="s">
        <v>4724</v>
      </c>
      <c r="J1657" s="17">
        <f t="shared" si="50"/>
        <v>36050</v>
      </c>
      <c r="K1657">
        <f t="shared" ca="1" si="51"/>
        <v>27</v>
      </c>
    </row>
    <row r="1658" spans="1:11" ht="15.75" customHeight="1">
      <c r="A1658" t="s">
        <v>1367</v>
      </c>
      <c r="B1658">
        <v>1962</v>
      </c>
      <c r="C1658" t="s">
        <v>4714</v>
      </c>
      <c r="D1658">
        <v>3</v>
      </c>
      <c r="E1658">
        <v>0</v>
      </c>
      <c r="F1658" s="16">
        <v>14574.64</v>
      </c>
      <c r="G1658" t="s">
        <v>4699</v>
      </c>
      <c r="H1658" t="s">
        <v>4698</v>
      </c>
      <c r="I1658" t="s">
        <v>4723</v>
      </c>
      <c r="J1658" s="17">
        <f t="shared" si="50"/>
        <v>22983</v>
      </c>
      <c r="K1658">
        <f t="shared" ca="1" si="51"/>
        <v>62</v>
      </c>
    </row>
    <row r="1659" spans="1:11" ht="15.75" customHeight="1">
      <c r="A1659" t="s">
        <v>1365</v>
      </c>
      <c r="B1659">
        <v>1963</v>
      </c>
      <c r="C1659" t="s">
        <v>4717</v>
      </c>
      <c r="D1659">
        <v>14</v>
      </c>
      <c r="E1659">
        <v>3</v>
      </c>
      <c r="F1659" s="16">
        <v>14590.63</v>
      </c>
      <c r="G1659" t="s">
        <v>4699</v>
      </c>
      <c r="H1659" t="s">
        <v>4698</v>
      </c>
      <c r="I1659" t="s">
        <v>4724</v>
      </c>
      <c r="J1659" s="17">
        <f t="shared" si="50"/>
        <v>23298</v>
      </c>
      <c r="K1659">
        <f t="shared" ca="1" si="51"/>
        <v>62</v>
      </c>
    </row>
    <row r="1660" spans="1:11" ht="15.75" customHeight="1">
      <c r="A1660" t="s">
        <v>1363</v>
      </c>
      <c r="B1660">
        <v>1967</v>
      </c>
      <c r="C1660" t="s">
        <v>4708</v>
      </c>
      <c r="D1660">
        <v>18</v>
      </c>
      <c r="E1660">
        <v>0</v>
      </c>
      <c r="F1660" s="16">
        <v>14600.62</v>
      </c>
      <c r="G1660" t="s">
        <v>4699</v>
      </c>
      <c r="H1660" t="s">
        <v>4700</v>
      </c>
      <c r="I1660" t="s">
        <v>4731</v>
      </c>
      <c r="J1660" s="17">
        <f t="shared" si="50"/>
        <v>24671</v>
      </c>
      <c r="K1660">
        <f t="shared" ca="1" si="51"/>
        <v>58</v>
      </c>
    </row>
    <row r="1661" spans="1:11" ht="15.75" customHeight="1">
      <c r="A1661" t="s">
        <v>1361</v>
      </c>
      <c r="B1661">
        <v>1965</v>
      </c>
      <c r="C1661" t="s">
        <v>4710</v>
      </c>
      <c r="D1661">
        <v>8</v>
      </c>
      <c r="E1661">
        <v>0</v>
      </c>
      <c r="F1661" s="16">
        <v>14612.33</v>
      </c>
      <c r="G1661" t="s">
        <v>4699</v>
      </c>
      <c r="H1661" t="s">
        <v>4700</v>
      </c>
      <c r="I1661" t="s">
        <v>4727</v>
      </c>
      <c r="J1661" s="17">
        <f t="shared" si="50"/>
        <v>24054</v>
      </c>
      <c r="K1661">
        <f t="shared" ca="1" si="51"/>
        <v>60</v>
      </c>
    </row>
    <row r="1662" spans="1:11" ht="15.75" customHeight="1">
      <c r="A1662" t="s">
        <v>1359</v>
      </c>
      <c r="B1662">
        <v>1991</v>
      </c>
      <c r="C1662" t="s">
        <v>4716</v>
      </c>
      <c r="D1662">
        <v>21</v>
      </c>
      <c r="E1662">
        <v>3</v>
      </c>
      <c r="F1662" s="16">
        <v>14630.52</v>
      </c>
      <c r="G1662" t="s">
        <v>4699</v>
      </c>
      <c r="H1662" t="s">
        <v>4700</v>
      </c>
      <c r="I1662" t="s">
        <v>4718</v>
      </c>
      <c r="J1662" s="17">
        <f t="shared" si="50"/>
        <v>33471</v>
      </c>
      <c r="K1662">
        <f t="shared" ca="1" si="51"/>
        <v>34</v>
      </c>
    </row>
    <row r="1663" spans="1:11" ht="15.75" customHeight="1">
      <c r="A1663" t="s">
        <v>1357</v>
      </c>
      <c r="B1663">
        <v>1967</v>
      </c>
      <c r="C1663" t="s">
        <v>4712</v>
      </c>
      <c r="D1663">
        <v>1</v>
      </c>
      <c r="E1663">
        <v>0</v>
      </c>
      <c r="F1663" s="16">
        <v>14640.35</v>
      </c>
      <c r="G1663" t="s">
        <v>4699</v>
      </c>
      <c r="H1663" t="s">
        <v>4700</v>
      </c>
      <c r="I1663" t="s">
        <v>4730</v>
      </c>
      <c r="J1663" s="17">
        <f t="shared" si="50"/>
        <v>24716</v>
      </c>
      <c r="K1663">
        <f t="shared" ca="1" si="51"/>
        <v>58</v>
      </c>
    </row>
    <row r="1664" spans="1:11" ht="15.75" customHeight="1">
      <c r="A1664" t="s">
        <v>1355</v>
      </c>
      <c r="B1664">
        <v>1981</v>
      </c>
      <c r="C1664" t="s">
        <v>4710</v>
      </c>
      <c r="D1664">
        <v>13</v>
      </c>
      <c r="E1664">
        <v>1</v>
      </c>
      <c r="F1664" s="16">
        <v>14657.2</v>
      </c>
      <c r="G1664" t="s">
        <v>4699</v>
      </c>
      <c r="H1664" t="s">
        <v>4698</v>
      </c>
      <c r="I1664" t="s">
        <v>4713</v>
      </c>
      <c r="J1664" s="17">
        <f t="shared" si="50"/>
        <v>29903</v>
      </c>
      <c r="K1664">
        <f t="shared" ca="1" si="51"/>
        <v>44</v>
      </c>
    </row>
    <row r="1665" spans="1:11" ht="15.75" customHeight="1">
      <c r="A1665" t="s">
        <v>1353</v>
      </c>
      <c r="B1665">
        <v>1969</v>
      </c>
      <c r="C1665" t="s">
        <v>4717</v>
      </c>
      <c r="D1665">
        <v>20</v>
      </c>
      <c r="E1665">
        <v>0</v>
      </c>
      <c r="F1665" s="16">
        <v>14665.75</v>
      </c>
      <c r="G1665" t="s">
        <v>4699</v>
      </c>
      <c r="H1665" t="s">
        <v>4698</v>
      </c>
      <c r="I1665" t="s">
        <v>4713</v>
      </c>
      <c r="J1665" s="17">
        <f t="shared" si="50"/>
        <v>25496</v>
      </c>
      <c r="K1665">
        <f t="shared" ca="1" si="51"/>
        <v>56</v>
      </c>
    </row>
    <row r="1666" spans="1:11" ht="15.75" customHeight="1">
      <c r="A1666" t="s">
        <v>1351</v>
      </c>
      <c r="B1666">
        <v>1958</v>
      </c>
      <c r="C1666" t="s">
        <v>4708</v>
      </c>
      <c r="D1666">
        <v>23</v>
      </c>
      <c r="E1666">
        <v>0</v>
      </c>
      <c r="F1666" s="16">
        <v>14692.67</v>
      </c>
      <c r="G1666" t="s">
        <v>4699</v>
      </c>
      <c r="H1666" t="s">
        <v>4698</v>
      </c>
      <c r="I1666" t="s">
        <v>4713</v>
      </c>
      <c r="J1666" s="17">
        <f t="shared" si="50"/>
        <v>21389</v>
      </c>
      <c r="K1666">
        <f t="shared" ca="1" si="51"/>
        <v>67</v>
      </c>
    </row>
    <row r="1667" spans="1:11" ht="15.75" customHeight="1">
      <c r="A1667" t="s">
        <v>1349</v>
      </c>
      <c r="B1667">
        <v>1982</v>
      </c>
      <c r="C1667" t="s">
        <v>4712</v>
      </c>
      <c r="D1667">
        <v>4</v>
      </c>
      <c r="E1667">
        <v>3</v>
      </c>
      <c r="F1667" s="16">
        <v>14696.77</v>
      </c>
      <c r="G1667" t="s">
        <v>4699</v>
      </c>
      <c r="H1667" t="s">
        <v>4699</v>
      </c>
      <c r="I1667" t="s">
        <v>4718</v>
      </c>
      <c r="J1667" s="17">
        <f t="shared" ref="J1667:J1730" si="52">DATEVALUE(D1667&amp;"-"&amp;C1667&amp;" -"&amp;B1667)</f>
        <v>30198</v>
      </c>
      <c r="K1667">
        <f t="shared" ref="K1667:K1730" ca="1" si="53">DATEDIF(J1667,TODAY(),"Y")</f>
        <v>43</v>
      </c>
    </row>
    <row r="1668" spans="1:11" ht="15.75" customHeight="1">
      <c r="A1668" t="s">
        <v>1347</v>
      </c>
      <c r="B1668">
        <v>2002</v>
      </c>
      <c r="C1668" t="s">
        <v>4712</v>
      </c>
      <c r="D1668">
        <v>24</v>
      </c>
      <c r="E1668">
        <v>0</v>
      </c>
      <c r="F1668" s="16">
        <v>14711.74</v>
      </c>
      <c r="G1668" t="s">
        <v>4699</v>
      </c>
      <c r="H1668" t="s">
        <v>4699</v>
      </c>
      <c r="I1668" t="s">
        <v>4713</v>
      </c>
      <c r="J1668" s="17">
        <f t="shared" si="52"/>
        <v>37523</v>
      </c>
      <c r="K1668">
        <f t="shared" ca="1" si="53"/>
        <v>23</v>
      </c>
    </row>
    <row r="1669" spans="1:11" ht="15.75" customHeight="1">
      <c r="A1669" t="s">
        <v>1345</v>
      </c>
      <c r="B1669">
        <v>1962</v>
      </c>
      <c r="C1669" t="s">
        <v>4708</v>
      </c>
      <c r="D1669">
        <v>29</v>
      </c>
      <c r="E1669">
        <v>0</v>
      </c>
      <c r="F1669" s="16">
        <v>14738.43</v>
      </c>
      <c r="G1669" t="s">
        <v>4699</v>
      </c>
      <c r="H1669" t="s">
        <v>4700</v>
      </c>
      <c r="I1669" t="s">
        <v>4727</v>
      </c>
      <c r="J1669" s="17">
        <f t="shared" si="52"/>
        <v>22856</v>
      </c>
      <c r="K1669">
        <f t="shared" ca="1" si="53"/>
        <v>63</v>
      </c>
    </row>
    <row r="1670" spans="1:11" ht="15.75" customHeight="1">
      <c r="A1670" t="s">
        <v>1343</v>
      </c>
      <c r="B1670">
        <v>1965</v>
      </c>
      <c r="C1670" t="s">
        <v>4708</v>
      </c>
      <c r="D1670">
        <v>27</v>
      </c>
      <c r="E1670">
        <v>0</v>
      </c>
      <c r="F1670" s="16">
        <v>14750.42</v>
      </c>
      <c r="G1670" t="s">
        <v>4699</v>
      </c>
      <c r="H1670" t="s">
        <v>4699</v>
      </c>
      <c r="I1670" t="s">
        <v>4730</v>
      </c>
      <c r="J1670" s="17">
        <f t="shared" si="52"/>
        <v>23950</v>
      </c>
      <c r="K1670">
        <f t="shared" ca="1" si="53"/>
        <v>60</v>
      </c>
    </row>
    <row r="1671" spans="1:11" ht="15.75" customHeight="1">
      <c r="A1671" t="s">
        <v>1341</v>
      </c>
      <c r="B1671">
        <v>1975</v>
      </c>
      <c r="C1671" t="s">
        <v>4714</v>
      </c>
      <c r="D1671">
        <v>10</v>
      </c>
      <c r="E1671">
        <v>1</v>
      </c>
      <c r="F1671" s="16">
        <v>14819</v>
      </c>
      <c r="G1671" t="s">
        <v>4699</v>
      </c>
      <c r="H1671" t="s">
        <v>4700</v>
      </c>
      <c r="I1671" t="s">
        <v>4725</v>
      </c>
      <c r="J1671" s="17">
        <f t="shared" si="52"/>
        <v>27738</v>
      </c>
      <c r="K1671">
        <f t="shared" ca="1" si="53"/>
        <v>49</v>
      </c>
    </row>
    <row r="1672" spans="1:11" ht="15.75" customHeight="1">
      <c r="A1672" t="s">
        <v>1339</v>
      </c>
      <c r="B1672">
        <v>1979</v>
      </c>
      <c r="C1672" t="s">
        <v>4717</v>
      </c>
      <c r="D1672">
        <v>18</v>
      </c>
      <c r="E1672">
        <v>2</v>
      </c>
      <c r="F1672" s="16">
        <v>14839.34</v>
      </c>
      <c r="G1672" t="s">
        <v>4699</v>
      </c>
      <c r="H1672" t="s">
        <v>4700</v>
      </c>
      <c r="I1672" t="s">
        <v>4730</v>
      </c>
      <c r="J1672" s="17">
        <f t="shared" si="52"/>
        <v>29146</v>
      </c>
      <c r="K1672">
        <f t="shared" ca="1" si="53"/>
        <v>46</v>
      </c>
    </row>
    <row r="1673" spans="1:11" ht="15.75" customHeight="1">
      <c r="A1673" t="s">
        <v>1337</v>
      </c>
      <c r="B1673">
        <v>1981</v>
      </c>
      <c r="C1673" t="s">
        <v>4711</v>
      </c>
      <c r="D1673">
        <v>5</v>
      </c>
      <c r="E1673">
        <v>1</v>
      </c>
      <c r="F1673" s="16">
        <v>14843.96</v>
      </c>
      <c r="G1673" t="s">
        <v>4699</v>
      </c>
      <c r="H1673" t="s">
        <v>4700</v>
      </c>
      <c r="I1673" t="s">
        <v>4730</v>
      </c>
      <c r="J1673" s="17">
        <f t="shared" si="52"/>
        <v>29742</v>
      </c>
      <c r="K1673">
        <f t="shared" ca="1" si="53"/>
        <v>44</v>
      </c>
    </row>
    <row r="1674" spans="1:11" ht="15.75" customHeight="1">
      <c r="A1674" t="s">
        <v>1335</v>
      </c>
      <c r="B1674">
        <v>1970</v>
      </c>
      <c r="C1674" t="s">
        <v>4710</v>
      </c>
      <c r="D1674">
        <v>11</v>
      </c>
      <c r="E1674">
        <v>0</v>
      </c>
      <c r="F1674" s="16">
        <v>14847.63</v>
      </c>
      <c r="G1674" t="s">
        <v>4699</v>
      </c>
      <c r="H1674" t="s">
        <v>4699</v>
      </c>
      <c r="I1674" t="s">
        <v>4725</v>
      </c>
      <c r="J1674" s="17">
        <f t="shared" si="52"/>
        <v>25883</v>
      </c>
      <c r="K1674">
        <f t="shared" ca="1" si="53"/>
        <v>55</v>
      </c>
    </row>
    <row r="1675" spans="1:11" ht="15.75" customHeight="1">
      <c r="A1675" t="s">
        <v>1333</v>
      </c>
      <c r="B1675">
        <v>1958</v>
      </c>
      <c r="C1675" t="s">
        <v>4717</v>
      </c>
      <c r="D1675">
        <v>17</v>
      </c>
      <c r="E1675">
        <v>0</v>
      </c>
      <c r="F1675" s="16">
        <v>14901.52</v>
      </c>
      <c r="G1675" t="s">
        <v>4699</v>
      </c>
      <c r="H1675" t="s">
        <v>4699</v>
      </c>
      <c r="I1675" t="s">
        <v>4724</v>
      </c>
      <c r="J1675" s="17">
        <f t="shared" si="52"/>
        <v>21475</v>
      </c>
      <c r="K1675">
        <f t="shared" ca="1" si="53"/>
        <v>67</v>
      </c>
    </row>
    <row r="1676" spans="1:11" ht="15.75" customHeight="1">
      <c r="A1676" t="s">
        <v>1331</v>
      </c>
      <c r="B1676">
        <v>1981</v>
      </c>
      <c r="C1676" t="s">
        <v>4708</v>
      </c>
      <c r="D1676">
        <v>4</v>
      </c>
      <c r="E1676">
        <v>1</v>
      </c>
      <c r="F1676" s="16">
        <v>14908.27</v>
      </c>
      <c r="G1676" t="s">
        <v>4699</v>
      </c>
      <c r="H1676" t="s">
        <v>4698</v>
      </c>
      <c r="I1676" t="s">
        <v>4718</v>
      </c>
      <c r="J1676" s="17">
        <f t="shared" si="52"/>
        <v>29771</v>
      </c>
      <c r="K1676">
        <f t="shared" ca="1" si="53"/>
        <v>44</v>
      </c>
    </row>
    <row r="1677" spans="1:11" ht="15.75" customHeight="1">
      <c r="A1677" t="s">
        <v>1329</v>
      </c>
      <c r="B1677">
        <v>1968</v>
      </c>
      <c r="C1677" t="s">
        <v>4710</v>
      </c>
      <c r="D1677">
        <v>8</v>
      </c>
      <c r="E1677">
        <v>0</v>
      </c>
      <c r="F1677" s="16">
        <v>14926.97</v>
      </c>
      <c r="G1677" t="s">
        <v>4699</v>
      </c>
      <c r="H1677" t="s">
        <v>4699</v>
      </c>
      <c r="I1677" t="s">
        <v>4713</v>
      </c>
      <c r="J1677" s="17">
        <f t="shared" si="52"/>
        <v>25150</v>
      </c>
      <c r="K1677">
        <f t="shared" ca="1" si="53"/>
        <v>57</v>
      </c>
    </row>
    <row r="1678" spans="1:11" ht="15.75" customHeight="1">
      <c r="A1678" t="s">
        <v>1327</v>
      </c>
      <c r="B1678">
        <v>1962</v>
      </c>
      <c r="C1678" t="s">
        <v>4710</v>
      </c>
      <c r="D1678">
        <v>29</v>
      </c>
      <c r="E1678">
        <v>0</v>
      </c>
      <c r="F1678" s="16">
        <v>14945.34</v>
      </c>
      <c r="G1678" t="s">
        <v>4699</v>
      </c>
      <c r="H1678" t="s">
        <v>4698</v>
      </c>
      <c r="I1678" t="s">
        <v>4727</v>
      </c>
      <c r="J1678" s="17">
        <f t="shared" si="52"/>
        <v>22979</v>
      </c>
      <c r="K1678">
        <f t="shared" ca="1" si="53"/>
        <v>62</v>
      </c>
    </row>
    <row r="1679" spans="1:11" ht="15.75" customHeight="1">
      <c r="A1679" t="s">
        <v>1325</v>
      </c>
      <c r="B1679">
        <v>1958</v>
      </c>
      <c r="C1679" t="s">
        <v>4708</v>
      </c>
      <c r="D1679">
        <v>29</v>
      </c>
      <c r="E1679">
        <v>2</v>
      </c>
      <c r="F1679" s="16">
        <v>14988.43</v>
      </c>
      <c r="G1679" t="s">
        <v>4699</v>
      </c>
      <c r="H1679" t="s">
        <v>4700</v>
      </c>
      <c r="I1679" t="s">
        <v>4718</v>
      </c>
      <c r="J1679" s="17">
        <f t="shared" si="52"/>
        <v>21395</v>
      </c>
      <c r="K1679">
        <f t="shared" ca="1" si="53"/>
        <v>67</v>
      </c>
    </row>
    <row r="1680" spans="1:11" ht="15.75" customHeight="1">
      <c r="A1680" t="s">
        <v>1323</v>
      </c>
      <c r="B1680">
        <v>1995</v>
      </c>
      <c r="C1680" t="s">
        <v>4716</v>
      </c>
      <c r="D1680">
        <v>2</v>
      </c>
      <c r="E1680">
        <v>2</v>
      </c>
      <c r="F1680" s="16">
        <v>15006.58</v>
      </c>
      <c r="G1680" t="s">
        <v>4699</v>
      </c>
      <c r="H1680" t="s">
        <v>4699</v>
      </c>
      <c r="I1680" t="s">
        <v>4724</v>
      </c>
      <c r="J1680" s="17">
        <f t="shared" si="52"/>
        <v>34913</v>
      </c>
      <c r="K1680">
        <f t="shared" ca="1" si="53"/>
        <v>30</v>
      </c>
    </row>
    <row r="1681" spans="1:11" ht="15.75" customHeight="1">
      <c r="A1681" t="s">
        <v>1321</v>
      </c>
      <c r="B1681">
        <v>1960</v>
      </c>
      <c r="C1681" t="s">
        <v>4716</v>
      </c>
      <c r="D1681">
        <v>8</v>
      </c>
      <c r="E1681">
        <v>2</v>
      </c>
      <c r="F1681" s="16">
        <v>15019.76</v>
      </c>
      <c r="G1681" t="s">
        <v>4699</v>
      </c>
      <c r="H1681" t="s">
        <v>4699</v>
      </c>
      <c r="I1681" t="s">
        <v>4713</v>
      </c>
      <c r="J1681" s="17">
        <f t="shared" si="52"/>
        <v>22136</v>
      </c>
      <c r="K1681">
        <f t="shared" ca="1" si="53"/>
        <v>65</v>
      </c>
    </row>
    <row r="1682" spans="1:11" ht="15.75" customHeight="1">
      <c r="A1682" t="s">
        <v>1319</v>
      </c>
      <c r="B1682">
        <v>1979</v>
      </c>
      <c r="C1682" t="s">
        <v>4710</v>
      </c>
      <c r="D1682">
        <v>25</v>
      </c>
      <c r="E1682">
        <v>2</v>
      </c>
      <c r="F1682" s="16">
        <v>15025.76</v>
      </c>
      <c r="G1682" t="s">
        <v>4699</v>
      </c>
      <c r="H1682" t="s">
        <v>4698</v>
      </c>
      <c r="I1682" t="s">
        <v>4718</v>
      </c>
      <c r="J1682" s="17">
        <f t="shared" si="52"/>
        <v>29184</v>
      </c>
      <c r="K1682">
        <f t="shared" ca="1" si="53"/>
        <v>46</v>
      </c>
    </row>
    <row r="1683" spans="1:11" ht="15.75" customHeight="1">
      <c r="A1683" t="s">
        <v>1317</v>
      </c>
      <c r="B1683">
        <v>1970</v>
      </c>
      <c r="C1683" t="s">
        <v>4712</v>
      </c>
      <c r="D1683">
        <v>11</v>
      </c>
      <c r="E1683">
        <v>0</v>
      </c>
      <c r="F1683" s="16">
        <v>15026.3</v>
      </c>
      <c r="G1683" t="s">
        <v>4699</v>
      </c>
      <c r="H1683" t="s">
        <v>4700</v>
      </c>
      <c r="I1683" t="s">
        <v>4718</v>
      </c>
      <c r="J1683" s="17">
        <f t="shared" si="52"/>
        <v>25822</v>
      </c>
      <c r="K1683">
        <f t="shared" ca="1" si="53"/>
        <v>55</v>
      </c>
    </row>
    <row r="1684" spans="1:11" ht="15.75" customHeight="1">
      <c r="A1684" t="s">
        <v>1315</v>
      </c>
      <c r="B1684">
        <v>1971</v>
      </c>
      <c r="C1684" t="s">
        <v>4716</v>
      </c>
      <c r="D1684">
        <v>15</v>
      </c>
      <c r="E1684">
        <v>0</v>
      </c>
      <c r="F1684" s="16">
        <v>15038.51</v>
      </c>
      <c r="G1684" t="s">
        <v>4699</v>
      </c>
      <c r="H1684" t="s">
        <v>4700</v>
      </c>
      <c r="I1684" t="s">
        <v>4725</v>
      </c>
      <c r="J1684" s="17">
        <f t="shared" si="52"/>
        <v>26160</v>
      </c>
      <c r="K1684">
        <f t="shared" ca="1" si="53"/>
        <v>54</v>
      </c>
    </row>
    <row r="1685" spans="1:11" ht="15.75" customHeight="1">
      <c r="A1685" t="s">
        <v>1313</v>
      </c>
      <c r="B1685">
        <v>1968</v>
      </c>
      <c r="C1685" t="s">
        <v>4711</v>
      </c>
      <c r="D1685">
        <v>12</v>
      </c>
      <c r="E1685">
        <v>0</v>
      </c>
      <c r="F1685" s="16">
        <v>15052.68</v>
      </c>
      <c r="G1685" t="s">
        <v>4699</v>
      </c>
      <c r="H1685" t="s">
        <v>4699</v>
      </c>
      <c r="I1685" t="s">
        <v>4731</v>
      </c>
      <c r="J1685" s="17">
        <f t="shared" si="52"/>
        <v>25001</v>
      </c>
      <c r="K1685">
        <f t="shared" ca="1" si="53"/>
        <v>57</v>
      </c>
    </row>
    <row r="1686" spans="1:11" ht="15.75" customHeight="1">
      <c r="A1686" t="s">
        <v>1311</v>
      </c>
      <c r="B1686">
        <v>1975</v>
      </c>
      <c r="C1686" t="s">
        <v>4717</v>
      </c>
      <c r="D1686">
        <v>26</v>
      </c>
      <c r="E1686">
        <v>1</v>
      </c>
      <c r="F1686" s="16">
        <v>15090.35</v>
      </c>
      <c r="G1686" t="s">
        <v>4699</v>
      </c>
      <c r="H1686" t="s">
        <v>4698</v>
      </c>
      <c r="I1686" t="s">
        <v>4725</v>
      </c>
      <c r="J1686" s="17">
        <f t="shared" si="52"/>
        <v>27693</v>
      </c>
      <c r="K1686">
        <f t="shared" ca="1" si="53"/>
        <v>50</v>
      </c>
    </row>
    <row r="1687" spans="1:11" ht="15.75" customHeight="1">
      <c r="A1687" t="s">
        <v>1309</v>
      </c>
      <c r="B1687">
        <v>1972</v>
      </c>
      <c r="C1687" t="s">
        <v>4710</v>
      </c>
      <c r="D1687">
        <v>7</v>
      </c>
      <c r="E1687">
        <v>0</v>
      </c>
      <c r="F1687" s="16">
        <v>15103.69</v>
      </c>
      <c r="G1687" t="s">
        <v>4699</v>
      </c>
      <c r="H1687" t="s">
        <v>4698</v>
      </c>
      <c r="I1687" t="s">
        <v>4713</v>
      </c>
      <c r="J1687" s="17">
        <f t="shared" si="52"/>
        <v>26610</v>
      </c>
      <c r="K1687">
        <f t="shared" ca="1" si="53"/>
        <v>53</v>
      </c>
    </row>
    <row r="1688" spans="1:11" ht="15.75" customHeight="1">
      <c r="A1688" t="s">
        <v>1307</v>
      </c>
      <c r="B1688">
        <v>1978</v>
      </c>
      <c r="C1688" t="s">
        <v>4712</v>
      </c>
      <c r="D1688">
        <v>5</v>
      </c>
      <c r="E1688">
        <v>2</v>
      </c>
      <c r="F1688" s="16">
        <v>15123.19</v>
      </c>
      <c r="G1688" t="s">
        <v>4699</v>
      </c>
      <c r="H1688" t="s">
        <v>4698</v>
      </c>
      <c r="I1688" t="s">
        <v>4718</v>
      </c>
      <c r="J1688" s="17">
        <f t="shared" si="52"/>
        <v>28738</v>
      </c>
      <c r="K1688">
        <f t="shared" ca="1" si="53"/>
        <v>47</v>
      </c>
    </row>
    <row r="1689" spans="1:11" ht="15.75" customHeight="1">
      <c r="A1689" t="s">
        <v>1305</v>
      </c>
      <c r="B1689">
        <v>1971</v>
      </c>
      <c r="C1689" t="s">
        <v>4710</v>
      </c>
      <c r="D1689">
        <v>25</v>
      </c>
      <c r="E1689">
        <v>0</v>
      </c>
      <c r="F1689" s="16">
        <v>15150.44</v>
      </c>
      <c r="G1689" t="s">
        <v>4699</v>
      </c>
      <c r="H1689" t="s">
        <v>4698</v>
      </c>
      <c r="I1689" t="s">
        <v>4725</v>
      </c>
      <c r="J1689" s="17">
        <f t="shared" si="52"/>
        <v>26262</v>
      </c>
      <c r="K1689">
        <f t="shared" ca="1" si="53"/>
        <v>54</v>
      </c>
    </row>
    <row r="1690" spans="1:11" ht="15.75" customHeight="1">
      <c r="A1690" t="s">
        <v>1303</v>
      </c>
      <c r="B1690">
        <v>1962</v>
      </c>
      <c r="C1690" t="s">
        <v>4717</v>
      </c>
      <c r="D1690">
        <v>25</v>
      </c>
      <c r="E1690">
        <v>0</v>
      </c>
      <c r="F1690" s="16">
        <v>15161.25</v>
      </c>
      <c r="G1690" t="s">
        <v>4699</v>
      </c>
      <c r="H1690" t="s">
        <v>4699</v>
      </c>
      <c r="I1690" t="s">
        <v>4713</v>
      </c>
      <c r="J1690" s="17">
        <f t="shared" si="52"/>
        <v>22944</v>
      </c>
      <c r="K1690">
        <f t="shared" ca="1" si="53"/>
        <v>63</v>
      </c>
    </row>
    <row r="1691" spans="1:11" ht="15.75" customHeight="1">
      <c r="A1691" t="s">
        <v>1301</v>
      </c>
      <c r="B1691">
        <v>1959</v>
      </c>
      <c r="C1691" t="s">
        <v>4711</v>
      </c>
      <c r="D1691">
        <v>4</v>
      </c>
      <c r="E1691">
        <v>3</v>
      </c>
      <c r="F1691" s="16">
        <v>15161.53</v>
      </c>
      <c r="G1691" t="s">
        <v>4699</v>
      </c>
      <c r="H1691" t="s">
        <v>4698</v>
      </c>
      <c r="I1691" t="s">
        <v>4709</v>
      </c>
      <c r="J1691" s="17">
        <f t="shared" si="52"/>
        <v>21705</v>
      </c>
      <c r="K1691">
        <f t="shared" ca="1" si="53"/>
        <v>66</v>
      </c>
    </row>
    <row r="1692" spans="1:11" ht="15.75" customHeight="1">
      <c r="A1692" t="s">
        <v>1299</v>
      </c>
      <c r="B1692">
        <v>1959</v>
      </c>
      <c r="C1692" t="s">
        <v>4714</v>
      </c>
      <c r="D1692">
        <v>3</v>
      </c>
      <c r="E1692">
        <v>3</v>
      </c>
      <c r="F1692" s="16">
        <v>15170.07</v>
      </c>
      <c r="G1692" t="s">
        <v>4699</v>
      </c>
      <c r="H1692" t="s">
        <v>4700</v>
      </c>
      <c r="I1692" t="s">
        <v>4718</v>
      </c>
      <c r="J1692" s="17">
        <f t="shared" si="52"/>
        <v>21887</v>
      </c>
      <c r="K1692">
        <f t="shared" ca="1" si="53"/>
        <v>65</v>
      </c>
    </row>
    <row r="1693" spans="1:11" ht="15.75" customHeight="1">
      <c r="A1693" t="s">
        <v>1297</v>
      </c>
      <c r="B1693">
        <v>1962</v>
      </c>
      <c r="C1693" t="s">
        <v>4711</v>
      </c>
      <c r="D1693">
        <v>17</v>
      </c>
      <c r="E1693">
        <v>0</v>
      </c>
      <c r="F1693" s="16">
        <v>15174.81</v>
      </c>
      <c r="G1693" t="s">
        <v>4699</v>
      </c>
      <c r="H1693" t="s">
        <v>4698</v>
      </c>
      <c r="I1693" t="s">
        <v>4713</v>
      </c>
      <c r="J1693" s="17">
        <f t="shared" si="52"/>
        <v>22814</v>
      </c>
      <c r="K1693">
        <f t="shared" ca="1" si="53"/>
        <v>63</v>
      </c>
    </row>
    <row r="1694" spans="1:11" ht="15.75" customHeight="1">
      <c r="A1694" t="s">
        <v>1295</v>
      </c>
      <c r="B1694">
        <v>1978</v>
      </c>
      <c r="C1694" t="s">
        <v>4710</v>
      </c>
      <c r="D1694">
        <v>23</v>
      </c>
      <c r="E1694">
        <v>2</v>
      </c>
      <c r="F1694" s="16">
        <v>15207.92</v>
      </c>
      <c r="G1694" t="s">
        <v>4699</v>
      </c>
      <c r="H1694" t="s">
        <v>4698</v>
      </c>
      <c r="I1694" t="s">
        <v>4713</v>
      </c>
      <c r="J1694" s="17">
        <f t="shared" si="52"/>
        <v>28817</v>
      </c>
      <c r="K1694">
        <f t="shared" ca="1" si="53"/>
        <v>47</v>
      </c>
    </row>
    <row r="1695" spans="1:11" ht="15.75" customHeight="1">
      <c r="A1695" t="s">
        <v>1293</v>
      </c>
      <c r="B1695">
        <v>1960</v>
      </c>
      <c r="C1695" t="s">
        <v>4708</v>
      </c>
      <c r="D1695">
        <v>25</v>
      </c>
      <c r="E1695">
        <v>2</v>
      </c>
      <c r="F1695" s="16">
        <v>15230.32</v>
      </c>
      <c r="G1695" t="s">
        <v>4699</v>
      </c>
      <c r="H1695" t="s">
        <v>4699</v>
      </c>
      <c r="I1695" t="s">
        <v>4724</v>
      </c>
      <c r="J1695" s="17">
        <f t="shared" si="52"/>
        <v>22122</v>
      </c>
      <c r="K1695">
        <f t="shared" ca="1" si="53"/>
        <v>65</v>
      </c>
    </row>
    <row r="1696" spans="1:11" ht="15.75" customHeight="1">
      <c r="A1696" t="s">
        <v>1291</v>
      </c>
      <c r="B1696">
        <v>1969</v>
      </c>
      <c r="C1696" t="s">
        <v>4712</v>
      </c>
      <c r="D1696">
        <v>16</v>
      </c>
      <c r="E1696">
        <v>0</v>
      </c>
      <c r="F1696" s="16">
        <v>15260.52</v>
      </c>
      <c r="G1696" t="s">
        <v>4699</v>
      </c>
      <c r="H1696" t="s">
        <v>4699</v>
      </c>
      <c r="I1696" t="s">
        <v>4725</v>
      </c>
      <c r="J1696" s="17">
        <f t="shared" si="52"/>
        <v>25462</v>
      </c>
      <c r="K1696">
        <f t="shared" ca="1" si="53"/>
        <v>56</v>
      </c>
    </row>
    <row r="1697" spans="1:11" ht="15.75" customHeight="1">
      <c r="A1697" t="s">
        <v>1289</v>
      </c>
      <c r="B1697">
        <v>1963</v>
      </c>
      <c r="C1697" t="s">
        <v>4714</v>
      </c>
      <c r="D1697">
        <v>13</v>
      </c>
      <c r="E1697">
        <v>0</v>
      </c>
      <c r="F1697" s="16">
        <v>15322.77</v>
      </c>
      <c r="G1697" t="s">
        <v>4699</v>
      </c>
      <c r="H1697" t="s">
        <v>4700</v>
      </c>
      <c r="I1697" t="s">
        <v>4727</v>
      </c>
      <c r="J1697" s="17">
        <f t="shared" si="52"/>
        <v>23358</v>
      </c>
      <c r="K1697">
        <f t="shared" ca="1" si="53"/>
        <v>61</v>
      </c>
    </row>
    <row r="1698" spans="1:11" ht="15.75" customHeight="1">
      <c r="A1698" t="s">
        <v>1287</v>
      </c>
      <c r="B1698">
        <v>2001</v>
      </c>
      <c r="C1698" t="s">
        <v>4708</v>
      </c>
      <c r="D1698">
        <v>14</v>
      </c>
      <c r="E1698">
        <v>1</v>
      </c>
      <c r="F1698" s="16">
        <v>15359.1</v>
      </c>
      <c r="G1698" t="s">
        <v>4699</v>
      </c>
      <c r="H1698" t="s">
        <v>4700</v>
      </c>
      <c r="I1698" t="s">
        <v>4724</v>
      </c>
      <c r="J1698" s="17">
        <f t="shared" si="52"/>
        <v>37086</v>
      </c>
      <c r="K1698">
        <f t="shared" ca="1" si="53"/>
        <v>24</v>
      </c>
    </row>
    <row r="1699" spans="1:11" ht="15.75" customHeight="1">
      <c r="A1699" t="s">
        <v>1285</v>
      </c>
      <c r="B1699">
        <v>1988</v>
      </c>
      <c r="C1699" t="s">
        <v>4714</v>
      </c>
      <c r="D1699">
        <v>17</v>
      </c>
      <c r="E1699">
        <v>3</v>
      </c>
      <c r="F1699" s="16">
        <v>15361.5</v>
      </c>
      <c r="G1699" t="s">
        <v>4699</v>
      </c>
      <c r="H1699" t="s">
        <v>4700</v>
      </c>
      <c r="I1699" t="s">
        <v>4725</v>
      </c>
      <c r="J1699" s="17">
        <f t="shared" si="52"/>
        <v>32494</v>
      </c>
      <c r="K1699">
        <f t="shared" ca="1" si="53"/>
        <v>36</v>
      </c>
    </row>
    <row r="1700" spans="1:11" ht="15.75" customHeight="1">
      <c r="A1700" t="s">
        <v>1283</v>
      </c>
      <c r="B1700">
        <v>1968</v>
      </c>
      <c r="C1700" t="s">
        <v>4708</v>
      </c>
      <c r="D1700">
        <v>18</v>
      </c>
      <c r="E1700">
        <v>0</v>
      </c>
      <c r="F1700" s="16">
        <v>15363.77</v>
      </c>
      <c r="G1700" t="s">
        <v>4699</v>
      </c>
      <c r="H1700" t="s">
        <v>4698</v>
      </c>
      <c r="I1700" t="s">
        <v>4730</v>
      </c>
      <c r="J1700" s="17">
        <f t="shared" si="52"/>
        <v>25037</v>
      </c>
      <c r="K1700">
        <f t="shared" ca="1" si="53"/>
        <v>57</v>
      </c>
    </row>
    <row r="1701" spans="1:11" ht="15.75" customHeight="1">
      <c r="A1701" t="s">
        <v>1281</v>
      </c>
      <c r="B1701">
        <v>1962</v>
      </c>
      <c r="C1701" t="s">
        <v>4712</v>
      </c>
      <c r="D1701">
        <v>6</v>
      </c>
      <c r="E1701">
        <v>0</v>
      </c>
      <c r="F1701" s="16">
        <v>15368.22</v>
      </c>
      <c r="G1701" t="s">
        <v>4699</v>
      </c>
      <c r="H1701" t="s">
        <v>4699</v>
      </c>
      <c r="I1701" t="s">
        <v>4718</v>
      </c>
      <c r="J1701" s="17">
        <f t="shared" si="52"/>
        <v>22895</v>
      </c>
      <c r="K1701">
        <f t="shared" ca="1" si="53"/>
        <v>63</v>
      </c>
    </row>
    <row r="1702" spans="1:11" ht="15.75" customHeight="1">
      <c r="A1702" t="s">
        <v>1279</v>
      </c>
      <c r="B1702">
        <v>1964</v>
      </c>
      <c r="C1702" t="s">
        <v>4712</v>
      </c>
      <c r="D1702">
        <v>4</v>
      </c>
      <c r="E1702">
        <v>0</v>
      </c>
      <c r="F1702" s="16">
        <v>15377.77</v>
      </c>
      <c r="G1702" t="s">
        <v>4699</v>
      </c>
      <c r="H1702" t="s">
        <v>4699</v>
      </c>
      <c r="I1702" t="s">
        <v>4713</v>
      </c>
      <c r="J1702" s="17">
        <f t="shared" si="52"/>
        <v>23624</v>
      </c>
      <c r="K1702">
        <f t="shared" ca="1" si="53"/>
        <v>61</v>
      </c>
    </row>
    <row r="1703" spans="1:11" ht="15.75" customHeight="1">
      <c r="A1703" t="s">
        <v>1277</v>
      </c>
      <c r="B1703">
        <v>1990</v>
      </c>
      <c r="C1703" t="s">
        <v>4717</v>
      </c>
      <c r="D1703">
        <v>25</v>
      </c>
      <c r="E1703">
        <v>3</v>
      </c>
      <c r="F1703" s="16">
        <v>15440.2</v>
      </c>
      <c r="G1703" t="s">
        <v>4699</v>
      </c>
      <c r="H1703" t="s">
        <v>4698</v>
      </c>
      <c r="I1703" t="s">
        <v>4713</v>
      </c>
      <c r="J1703" s="17">
        <f t="shared" si="52"/>
        <v>33171</v>
      </c>
      <c r="K1703">
        <f t="shared" ca="1" si="53"/>
        <v>35</v>
      </c>
    </row>
    <row r="1704" spans="1:11" ht="15.75" customHeight="1">
      <c r="A1704" t="s">
        <v>1275</v>
      </c>
      <c r="B1704">
        <v>1976</v>
      </c>
      <c r="C1704" t="s">
        <v>4708</v>
      </c>
      <c r="D1704">
        <v>20</v>
      </c>
      <c r="E1704">
        <v>2</v>
      </c>
      <c r="F1704" s="16">
        <v>15450.48</v>
      </c>
      <c r="G1704" t="s">
        <v>4699</v>
      </c>
      <c r="H1704" t="s">
        <v>4698</v>
      </c>
      <c r="I1704" t="s">
        <v>4730</v>
      </c>
      <c r="J1704" s="17">
        <f t="shared" si="52"/>
        <v>27961</v>
      </c>
      <c r="K1704">
        <f t="shared" ca="1" si="53"/>
        <v>49</v>
      </c>
    </row>
    <row r="1705" spans="1:11" ht="15.75" customHeight="1">
      <c r="A1705" t="s">
        <v>1273</v>
      </c>
      <c r="B1705">
        <v>2004</v>
      </c>
      <c r="C1705" t="s">
        <v>4708</v>
      </c>
      <c r="D1705">
        <v>17</v>
      </c>
      <c r="E1705">
        <v>0</v>
      </c>
      <c r="F1705" s="16">
        <v>15518.18</v>
      </c>
      <c r="G1705" t="s">
        <v>4699</v>
      </c>
      <c r="H1705" t="s">
        <v>4700</v>
      </c>
      <c r="I1705" t="s">
        <v>4719</v>
      </c>
      <c r="J1705" s="17">
        <f t="shared" si="52"/>
        <v>38185</v>
      </c>
      <c r="K1705">
        <f t="shared" ca="1" si="53"/>
        <v>21</v>
      </c>
    </row>
    <row r="1706" spans="1:11" ht="15.75" customHeight="1">
      <c r="A1706" t="s">
        <v>1271</v>
      </c>
      <c r="B1706">
        <v>1974</v>
      </c>
      <c r="C1706" t="s">
        <v>4711</v>
      </c>
      <c r="D1706">
        <v>28</v>
      </c>
      <c r="E1706">
        <v>0</v>
      </c>
      <c r="F1706" s="16">
        <v>15532.16</v>
      </c>
      <c r="G1706" t="s">
        <v>4699</v>
      </c>
      <c r="H1706" t="s">
        <v>4699</v>
      </c>
      <c r="I1706" t="s">
        <v>4730</v>
      </c>
      <c r="J1706" s="17">
        <f t="shared" si="52"/>
        <v>27208</v>
      </c>
      <c r="K1706">
        <f t="shared" ca="1" si="53"/>
        <v>51</v>
      </c>
    </row>
    <row r="1707" spans="1:11" ht="15.75" customHeight="1">
      <c r="A1707" t="s">
        <v>1269</v>
      </c>
      <c r="B1707">
        <v>1959</v>
      </c>
      <c r="C1707" t="s">
        <v>4717</v>
      </c>
      <c r="D1707">
        <v>2</v>
      </c>
      <c r="E1707">
        <v>3</v>
      </c>
      <c r="F1707" s="16">
        <v>15555.19</v>
      </c>
      <c r="G1707" t="s">
        <v>4699</v>
      </c>
      <c r="H1707" t="s">
        <v>4700</v>
      </c>
      <c r="I1707" t="s">
        <v>4713</v>
      </c>
      <c r="J1707" s="17">
        <f t="shared" si="52"/>
        <v>21825</v>
      </c>
      <c r="K1707">
        <f t="shared" ca="1" si="53"/>
        <v>66</v>
      </c>
    </row>
    <row r="1708" spans="1:11" ht="15.75" customHeight="1">
      <c r="A1708" t="s">
        <v>1267</v>
      </c>
      <c r="B1708">
        <v>1974</v>
      </c>
      <c r="C1708" t="s">
        <v>4708</v>
      </c>
      <c r="D1708">
        <v>30</v>
      </c>
      <c r="E1708">
        <v>0</v>
      </c>
      <c r="F1708" s="16">
        <v>15556.67</v>
      </c>
      <c r="G1708" t="s">
        <v>4699</v>
      </c>
      <c r="H1708" t="s">
        <v>4699</v>
      </c>
      <c r="I1708" t="s">
        <v>4713</v>
      </c>
      <c r="J1708" s="17">
        <f t="shared" si="52"/>
        <v>27240</v>
      </c>
      <c r="K1708">
        <f t="shared" ca="1" si="53"/>
        <v>51</v>
      </c>
    </row>
    <row r="1709" spans="1:11" ht="15.75" customHeight="1">
      <c r="A1709" t="s">
        <v>1265</v>
      </c>
      <c r="B1709">
        <v>1965</v>
      </c>
      <c r="C1709" t="s">
        <v>4717</v>
      </c>
      <c r="D1709">
        <v>28</v>
      </c>
      <c r="E1709">
        <v>0</v>
      </c>
      <c r="F1709" s="16">
        <v>15608.58</v>
      </c>
      <c r="G1709" t="s">
        <v>4699</v>
      </c>
      <c r="H1709" t="s">
        <v>4699</v>
      </c>
      <c r="I1709" t="s">
        <v>4730</v>
      </c>
      <c r="J1709" s="17">
        <f t="shared" si="52"/>
        <v>24043</v>
      </c>
      <c r="K1709">
        <f t="shared" ca="1" si="53"/>
        <v>60</v>
      </c>
    </row>
    <row r="1710" spans="1:11" ht="15.75" customHeight="1">
      <c r="A1710" t="s">
        <v>1263</v>
      </c>
      <c r="B1710">
        <v>1960</v>
      </c>
      <c r="C1710" t="s">
        <v>4711</v>
      </c>
      <c r="D1710">
        <v>6</v>
      </c>
      <c r="E1710">
        <v>3</v>
      </c>
      <c r="F1710" s="16">
        <v>15612.19</v>
      </c>
      <c r="G1710" t="s">
        <v>4699</v>
      </c>
      <c r="H1710" t="s">
        <v>4699</v>
      </c>
      <c r="I1710" t="s">
        <v>4713</v>
      </c>
      <c r="J1710" s="17">
        <f t="shared" si="52"/>
        <v>22073</v>
      </c>
      <c r="K1710">
        <f t="shared" ca="1" si="53"/>
        <v>65</v>
      </c>
    </row>
    <row r="1711" spans="1:11" ht="15.75" customHeight="1">
      <c r="A1711" t="s">
        <v>1261</v>
      </c>
      <c r="B1711">
        <v>1988</v>
      </c>
      <c r="C1711" t="s">
        <v>4714</v>
      </c>
      <c r="D1711">
        <v>22</v>
      </c>
      <c r="E1711">
        <v>3</v>
      </c>
      <c r="F1711" s="16">
        <v>15646.28</v>
      </c>
      <c r="G1711" t="s">
        <v>4699</v>
      </c>
      <c r="H1711" t="s">
        <v>4699</v>
      </c>
      <c r="I1711" t="s">
        <v>4718</v>
      </c>
      <c r="J1711" s="17">
        <f t="shared" si="52"/>
        <v>32499</v>
      </c>
      <c r="K1711">
        <f t="shared" ca="1" si="53"/>
        <v>36</v>
      </c>
    </row>
    <row r="1712" spans="1:11" ht="15.75" customHeight="1">
      <c r="A1712" t="s">
        <v>1259</v>
      </c>
      <c r="B1712">
        <v>1973</v>
      </c>
      <c r="C1712" t="s">
        <v>4711</v>
      </c>
      <c r="D1712">
        <v>26</v>
      </c>
      <c r="E1712">
        <v>0</v>
      </c>
      <c r="F1712" s="16">
        <v>15670.3</v>
      </c>
      <c r="G1712" t="s">
        <v>4699</v>
      </c>
      <c r="H1712" t="s">
        <v>4699</v>
      </c>
      <c r="I1712" t="s">
        <v>4730</v>
      </c>
      <c r="J1712" s="17">
        <f t="shared" si="52"/>
        <v>26841</v>
      </c>
      <c r="K1712">
        <f t="shared" ca="1" si="53"/>
        <v>52</v>
      </c>
    </row>
    <row r="1713" spans="1:11" ht="15.75" customHeight="1">
      <c r="A1713" t="s">
        <v>1257</v>
      </c>
      <c r="B1713">
        <v>1976</v>
      </c>
      <c r="C1713" t="s">
        <v>4712</v>
      </c>
      <c r="D1713">
        <v>20</v>
      </c>
      <c r="E1713">
        <v>2</v>
      </c>
      <c r="F1713" s="16">
        <v>15698.86</v>
      </c>
      <c r="G1713" t="s">
        <v>4699</v>
      </c>
      <c r="H1713" t="s">
        <v>4699</v>
      </c>
      <c r="I1713" t="s">
        <v>4713</v>
      </c>
      <c r="J1713" s="17">
        <f t="shared" si="52"/>
        <v>28023</v>
      </c>
      <c r="K1713">
        <f t="shared" ca="1" si="53"/>
        <v>49</v>
      </c>
    </row>
    <row r="1714" spans="1:11" ht="15.75" customHeight="1">
      <c r="A1714" t="s">
        <v>1255</v>
      </c>
      <c r="B1714">
        <v>1974</v>
      </c>
      <c r="C1714" t="s">
        <v>4716</v>
      </c>
      <c r="D1714">
        <v>29</v>
      </c>
      <c r="E1714">
        <v>0</v>
      </c>
      <c r="F1714" s="16">
        <v>15746.62</v>
      </c>
      <c r="G1714" t="s">
        <v>4699</v>
      </c>
      <c r="H1714" t="s">
        <v>4698</v>
      </c>
      <c r="I1714" t="s">
        <v>4713</v>
      </c>
      <c r="J1714" s="17">
        <f t="shared" si="52"/>
        <v>27270</v>
      </c>
      <c r="K1714">
        <f t="shared" ca="1" si="53"/>
        <v>51</v>
      </c>
    </row>
    <row r="1715" spans="1:11" ht="15.75" customHeight="1">
      <c r="A1715" t="s">
        <v>1253</v>
      </c>
      <c r="B1715">
        <v>1997</v>
      </c>
      <c r="C1715" t="s">
        <v>4717</v>
      </c>
      <c r="D1715">
        <v>9</v>
      </c>
      <c r="E1715">
        <v>0</v>
      </c>
      <c r="F1715" s="16">
        <v>15817.99</v>
      </c>
      <c r="G1715" t="s">
        <v>4699</v>
      </c>
      <c r="H1715" t="s">
        <v>4699</v>
      </c>
      <c r="I1715" t="s">
        <v>4713</v>
      </c>
      <c r="J1715" s="17">
        <f t="shared" si="52"/>
        <v>35712</v>
      </c>
      <c r="K1715">
        <f t="shared" ca="1" si="53"/>
        <v>28</v>
      </c>
    </row>
    <row r="1716" spans="1:11" ht="15.75" customHeight="1">
      <c r="A1716" t="s">
        <v>1251</v>
      </c>
      <c r="B1716">
        <v>1984</v>
      </c>
      <c r="C1716" t="s">
        <v>4711</v>
      </c>
      <c r="D1716">
        <v>26</v>
      </c>
      <c r="E1716">
        <v>0</v>
      </c>
      <c r="F1716" s="16">
        <v>15820.7</v>
      </c>
      <c r="G1716" t="s">
        <v>4699</v>
      </c>
      <c r="H1716" t="s">
        <v>4700</v>
      </c>
      <c r="I1716" t="s">
        <v>4718</v>
      </c>
      <c r="J1716" s="17">
        <f t="shared" si="52"/>
        <v>30859</v>
      </c>
      <c r="K1716">
        <f t="shared" ca="1" si="53"/>
        <v>41</v>
      </c>
    </row>
    <row r="1717" spans="1:11" ht="15.75" customHeight="1">
      <c r="A1717" t="s">
        <v>1249</v>
      </c>
      <c r="B1717">
        <v>1982</v>
      </c>
      <c r="C1717" t="s">
        <v>4710</v>
      </c>
      <c r="D1717">
        <v>11</v>
      </c>
      <c r="E1717">
        <v>4</v>
      </c>
      <c r="F1717" s="16">
        <v>15828.82</v>
      </c>
      <c r="G1717" t="s">
        <v>4699</v>
      </c>
      <c r="H1717" t="s">
        <v>4700</v>
      </c>
      <c r="I1717" t="s">
        <v>4718</v>
      </c>
      <c r="J1717" s="17">
        <f t="shared" si="52"/>
        <v>30266</v>
      </c>
      <c r="K1717">
        <f t="shared" ca="1" si="53"/>
        <v>43</v>
      </c>
    </row>
    <row r="1718" spans="1:11" ht="15.75" customHeight="1">
      <c r="A1718" t="s">
        <v>1247</v>
      </c>
      <c r="B1718">
        <v>1962</v>
      </c>
      <c r="C1718" t="s">
        <v>4714</v>
      </c>
      <c r="D1718">
        <v>25</v>
      </c>
      <c r="E1718">
        <v>0</v>
      </c>
      <c r="F1718" s="16">
        <v>15840.81</v>
      </c>
      <c r="G1718" t="s">
        <v>4699</v>
      </c>
      <c r="H1718" t="s">
        <v>4698</v>
      </c>
      <c r="I1718" t="s">
        <v>4731</v>
      </c>
      <c r="J1718" s="17">
        <f t="shared" si="52"/>
        <v>23005</v>
      </c>
      <c r="K1718">
        <f t="shared" ca="1" si="53"/>
        <v>62</v>
      </c>
    </row>
    <row r="1719" spans="1:11" ht="15.75" customHeight="1">
      <c r="A1719" t="s">
        <v>1245</v>
      </c>
      <c r="B1719">
        <v>1980</v>
      </c>
      <c r="C1719" t="s">
        <v>4717</v>
      </c>
      <c r="D1719">
        <v>12</v>
      </c>
      <c r="E1719">
        <v>2</v>
      </c>
      <c r="F1719" s="16">
        <v>15922.29</v>
      </c>
      <c r="G1719" t="s">
        <v>4699</v>
      </c>
      <c r="H1719" t="s">
        <v>4700</v>
      </c>
      <c r="I1719" t="s">
        <v>4730</v>
      </c>
      <c r="J1719" s="17">
        <f t="shared" si="52"/>
        <v>29506</v>
      </c>
      <c r="K1719">
        <f t="shared" ca="1" si="53"/>
        <v>45</v>
      </c>
    </row>
    <row r="1720" spans="1:11" ht="15.75" customHeight="1">
      <c r="A1720" t="s">
        <v>1243</v>
      </c>
      <c r="B1720">
        <v>1982</v>
      </c>
      <c r="C1720" t="s">
        <v>4708</v>
      </c>
      <c r="D1720">
        <v>24</v>
      </c>
      <c r="E1720">
        <v>3</v>
      </c>
      <c r="F1720" s="16">
        <v>15965.29</v>
      </c>
      <c r="G1720" t="s">
        <v>4699</v>
      </c>
      <c r="H1720" t="s">
        <v>4698</v>
      </c>
      <c r="I1720" t="s">
        <v>4713</v>
      </c>
      <c r="J1720" s="17">
        <f t="shared" si="52"/>
        <v>30156</v>
      </c>
      <c r="K1720">
        <f t="shared" ca="1" si="53"/>
        <v>43</v>
      </c>
    </row>
    <row r="1721" spans="1:11" ht="15.75" customHeight="1">
      <c r="A1721" t="s">
        <v>1241</v>
      </c>
      <c r="B1721">
        <v>1980</v>
      </c>
      <c r="C1721" t="s">
        <v>4712</v>
      </c>
      <c r="D1721">
        <v>19</v>
      </c>
      <c r="E1721">
        <v>2</v>
      </c>
      <c r="F1721" s="16">
        <v>15966.19</v>
      </c>
      <c r="G1721" t="s">
        <v>4699</v>
      </c>
      <c r="H1721" t="s">
        <v>4699</v>
      </c>
      <c r="I1721" t="s">
        <v>4713</v>
      </c>
      <c r="J1721" s="17">
        <f t="shared" si="52"/>
        <v>29483</v>
      </c>
      <c r="K1721">
        <f t="shared" ca="1" si="53"/>
        <v>45</v>
      </c>
    </row>
    <row r="1722" spans="1:11" ht="15.75" customHeight="1">
      <c r="A1722" t="s">
        <v>1239</v>
      </c>
      <c r="B1722">
        <v>1988</v>
      </c>
      <c r="C1722" t="s">
        <v>4714</v>
      </c>
      <c r="D1722">
        <v>5</v>
      </c>
      <c r="E1722">
        <v>3</v>
      </c>
      <c r="F1722" s="16">
        <v>16059.06</v>
      </c>
      <c r="G1722" t="s">
        <v>4699</v>
      </c>
      <c r="H1722" t="s">
        <v>4700</v>
      </c>
      <c r="I1722" t="s">
        <v>4713</v>
      </c>
      <c r="J1722" s="17">
        <f t="shared" si="52"/>
        <v>32482</v>
      </c>
      <c r="K1722">
        <f t="shared" ca="1" si="53"/>
        <v>36</v>
      </c>
    </row>
    <row r="1723" spans="1:11" ht="15.75" customHeight="1">
      <c r="A1723" t="s">
        <v>1237</v>
      </c>
      <c r="B1723">
        <v>1978</v>
      </c>
      <c r="C1723" t="s">
        <v>4712</v>
      </c>
      <c r="D1723">
        <v>16</v>
      </c>
      <c r="E1723">
        <v>2</v>
      </c>
      <c r="F1723" s="16">
        <v>16062.89</v>
      </c>
      <c r="G1723" t="s">
        <v>4699</v>
      </c>
      <c r="H1723" t="s">
        <v>4699</v>
      </c>
      <c r="I1723" t="s">
        <v>4730</v>
      </c>
      <c r="J1723" s="17">
        <f t="shared" si="52"/>
        <v>28749</v>
      </c>
      <c r="K1723">
        <f t="shared" ca="1" si="53"/>
        <v>47</v>
      </c>
    </row>
    <row r="1724" spans="1:11" ht="15.75" customHeight="1">
      <c r="A1724" t="s">
        <v>1235</v>
      </c>
      <c r="B1724">
        <v>1958</v>
      </c>
      <c r="C1724" t="s">
        <v>4717</v>
      </c>
      <c r="D1724">
        <v>22</v>
      </c>
      <c r="E1724">
        <v>2</v>
      </c>
      <c r="F1724" s="16">
        <v>16069.08</v>
      </c>
      <c r="G1724" t="s">
        <v>4699</v>
      </c>
      <c r="H1724" t="s">
        <v>4699</v>
      </c>
      <c r="I1724" t="s">
        <v>4724</v>
      </c>
      <c r="J1724" s="17">
        <f t="shared" si="52"/>
        <v>21480</v>
      </c>
      <c r="K1724">
        <f t="shared" ca="1" si="53"/>
        <v>67</v>
      </c>
    </row>
    <row r="1725" spans="1:11" ht="15.75" customHeight="1">
      <c r="A1725" t="s">
        <v>1233</v>
      </c>
      <c r="B1725">
        <v>1958</v>
      </c>
      <c r="C1725" t="s">
        <v>4711</v>
      </c>
      <c r="D1725">
        <v>21</v>
      </c>
      <c r="E1725">
        <v>3</v>
      </c>
      <c r="F1725" s="16">
        <v>16085.13</v>
      </c>
      <c r="G1725" t="s">
        <v>4699</v>
      </c>
      <c r="H1725" t="s">
        <v>4699</v>
      </c>
      <c r="I1725" t="s">
        <v>4709</v>
      </c>
      <c r="J1725" s="17">
        <f t="shared" si="52"/>
        <v>21357</v>
      </c>
      <c r="K1725">
        <f t="shared" ca="1" si="53"/>
        <v>67</v>
      </c>
    </row>
    <row r="1726" spans="1:11" ht="15.75" customHeight="1">
      <c r="A1726" t="s">
        <v>1231</v>
      </c>
      <c r="B1726">
        <v>1985</v>
      </c>
      <c r="C1726" t="s">
        <v>4716</v>
      </c>
      <c r="D1726">
        <v>27</v>
      </c>
      <c r="E1726">
        <v>3</v>
      </c>
      <c r="F1726" s="16">
        <v>16097.94</v>
      </c>
      <c r="G1726" t="s">
        <v>4699</v>
      </c>
      <c r="H1726" t="s">
        <v>4700</v>
      </c>
      <c r="I1726" t="s">
        <v>4713</v>
      </c>
      <c r="J1726" s="17">
        <f t="shared" si="52"/>
        <v>31286</v>
      </c>
      <c r="K1726">
        <f t="shared" ca="1" si="53"/>
        <v>40</v>
      </c>
    </row>
    <row r="1727" spans="1:11" ht="15.75" customHeight="1">
      <c r="A1727" t="s">
        <v>1229</v>
      </c>
      <c r="B1727">
        <v>1993</v>
      </c>
      <c r="C1727" t="s">
        <v>4716</v>
      </c>
      <c r="D1727">
        <v>8</v>
      </c>
      <c r="E1727">
        <v>0</v>
      </c>
      <c r="F1727" s="16">
        <v>16115.3</v>
      </c>
      <c r="G1727" t="s">
        <v>4699</v>
      </c>
      <c r="H1727" t="s">
        <v>4698</v>
      </c>
      <c r="I1727" t="s">
        <v>4724</v>
      </c>
      <c r="J1727" s="17">
        <f t="shared" si="52"/>
        <v>34189</v>
      </c>
      <c r="K1727">
        <f t="shared" ca="1" si="53"/>
        <v>32</v>
      </c>
    </row>
    <row r="1728" spans="1:11" ht="15.75" customHeight="1">
      <c r="A1728" t="s">
        <v>1227</v>
      </c>
      <c r="B1728">
        <v>1987</v>
      </c>
      <c r="C1728" t="s">
        <v>4717</v>
      </c>
      <c r="D1728">
        <v>6</v>
      </c>
      <c r="E1728">
        <v>3</v>
      </c>
      <c r="F1728" s="16">
        <v>16122.65</v>
      </c>
      <c r="G1728" t="s">
        <v>4699</v>
      </c>
      <c r="H1728" t="s">
        <v>4698</v>
      </c>
      <c r="I1728" t="s">
        <v>4718</v>
      </c>
      <c r="J1728" s="17">
        <f t="shared" si="52"/>
        <v>32056</v>
      </c>
      <c r="K1728">
        <f t="shared" ca="1" si="53"/>
        <v>38</v>
      </c>
    </row>
    <row r="1729" spans="1:11" ht="15.75" customHeight="1">
      <c r="A1729" t="s">
        <v>1225</v>
      </c>
      <c r="B1729">
        <v>1993</v>
      </c>
      <c r="C1729" t="s">
        <v>4714</v>
      </c>
      <c r="D1729">
        <v>12</v>
      </c>
      <c r="E1729">
        <v>0</v>
      </c>
      <c r="F1729" s="16">
        <v>16138.76</v>
      </c>
      <c r="G1729" t="s">
        <v>4699</v>
      </c>
      <c r="H1729" t="s">
        <v>4700</v>
      </c>
      <c r="I1729" t="s">
        <v>4728</v>
      </c>
      <c r="J1729" s="17">
        <f t="shared" si="52"/>
        <v>34315</v>
      </c>
      <c r="K1729">
        <f t="shared" ca="1" si="53"/>
        <v>31</v>
      </c>
    </row>
    <row r="1730" spans="1:11" ht="15.75" customHeight="1">
      <c r="A1730" t="s">
        <v>1223</v>
      </c>
      <c r="B1730">
        <v>1982</v>
      </c>
      <c r="C1730" t="s">
        <v>4708</v>
      </c>
      <c r="D1730">
        <v>6</v>
      </c>
      <c r="E1730">
        <v>3</v>
      </c>
      <c r="F1730" s="16">
        <v>16152.04</v>
      </c>
      <c r="G1730" t="s">
        <v>4699</v>
      </c>
      <c r="H1730" t="s">
        <v>4698</v>
      </c>
      <c r="I1730" t="s">
        <v>4730</v>
      </c>
      <c r="J1730" s="17">
        <f t="shared" si="52"/>
        <v>30138</v>
      </c>
      <c r="K1730">
        <f t="shared" ca="1" si="53"/>
        <v>43</v>
      </c>
    </row>
    <row r="1731" spans="1:11" ht="15.75" customHeight="1">
      <c r="A1731" t="s">
        <v>1221</v>
      </c>
      <c r="B1731">
        <v>1974</v>
      </c>
      <c r="C1731" t="s">
        <v>4712</v>
      </c>
      <c r="D1731">
        <v>11</v>
      </c>
      <c r="E1731">
        <v>0</v>
      </c>
      <c r="F1731" s="16">
        <v>16190.97</v>
      </c>
      <c r="G1731" t="s">
        <v>4699</v>
      </c>
      <c r="H1731" t="s">
        <v>4700</v>
      </c>
      <c r="I1731" t="s">
        <v>4713</v>
      </c>
      <c r="J1731" s="17">
        <f t="shared" ref="J1731:J1794" si="54">DATEVALUE(D1731&amp;"-"&amp;C1731&amp;" -"&amp;B1731)</f>
        <v>27283</v>
      </c>
      <c r="K1731">
        <f t="shared" ref="K1731:K1794" ca="1" si="55">DATEDIF(J1731,TODAY(),"Y")</f>
        <v>51</v>
      </c>
    </row>
    <row r="1732" spans="1:11" ht="15.75" customHeight="1">
      <c r="A1732" t="s">
        <v>1219</v>
      </c>
      <c r="B1732">
        <v>1988</v>
      </c>
      <c r="C1732" t="s">
        <v>4716</v>
      </c>
      <c r="D1732">
        <v>6</v>
      </c>
      <c r="E1732">
        <v>3</v>
      </c>
      <c r="F1732" s="16">
        <v>16199.1</v>
      </c>
      <c r="G1732" t="s">
        <v>4699</v>
      </c>
      <c r="H1732" t="s">
        <v>4699</v>
      </c>
      <c r="I1732" t="s">
        <v>4713</v>
      </c>
      <c r="J1732" s="17">
        <f t="shared" si="54"/>
        <v>32361</v>
      </c>
      <c r="K1732">
        <f t="shared" ca="1" si="55"/>
        <v>37</v>
      </c>
    </row>
    <row r="1733" spans="1:11" ht="15.75" customHeight="1">
      <c r="A1733" t="s">
        <v>1217</v>
      </c>
      <c r="B1733">
        <v>1988</v>
      </c>
      <c r="C1733" t="s">
        <v>4716</v>
      </c>
      <c r="D1733">
        <v>21</v>
      </c>
      <c r="E1733">
        <v>3</v>
      </c>
      <c r="F1733" s="16">
        <v>16205.88</v>
      </c>
      <c r="G1733" t="s">
        <v>4699</v>
      </c>
      <c r="H1733" t="s">
        <v>4698</v>
      </c>
      <c r="I1733" t="s">
        <v>4713</v>
      </c>
      <c r="J1733" s="17">
        <f t="shared" si="54"/>
        <v>32376</v>
      </c>
      <c r="K1733">
        <f t="shared" ca="1" si="55"/>
        <v>37</v>
      </c>
    </row>
    <row r="1734" spans="1:11" ht="15.75" customHeight="1">
      <c r="A1734" t="s">
        <v>1215</v>
      </c>
      <c r="B1734">
        <v>2002</v>
      </c>
      <c r="C1734" t="s">
        <v>4712</v>
      </c>
      <c r="D1734">
        <v>8</v>
      </c>
      <c r="E1734">
        <v>0</v>
      </c>
      <c r="F1734" s="16">
        <v>16232.85</v>
      </c>
      <c r="G1734" t="s">
        <v>4699</v>
      </c>
      <c r="H1734" t="s">
        <v>4698</v>
      </c>
      <c r="I1734" t="s">
        <v>4718</v>
      </c>
      <c r="J1734" s="17">
        <f t="shared" si="54"/>
        <v>37507</v>
      </c>
      <c r="K1734">
        <f t="shared" ca="1" si="55"/>
        <v>23</v>
      </c>
    </row>
    <row r="1735" spans="1:11" ht="15.75" customHeight="1">
      <c r="A1735" t="s">
        <v>1213</v>
      </c>
      <c r="B1735">
        <v>1972</v>
      </c>
      <c r="C1735" t="s">
        <v>4708</v>
      </c>
      <c r="D1735">
        <v>30</v>
      </c>
      <c r="E1735">
        <v>0</v>
      </c>
      <c r="F1735" s="16">
        <v>16267.32</v>
      </c>
      <c r="G1735" t="s">
        <v>4699</v>
      </c>
      <c r="H1735" t="s">
        <v>4699</v>
      </c>
      <c r="I1735" t="s">
        <v>4725</v>
      </c>
      <c r="J1735" s="17">
        <f t="shared" si="54"/>
        <v>26510</v>
      </c>
      <c r="K1735">
        <f t="shared" ca="1" si="55"/>
        <v>53</v>
      </c>
    </row>
    <row r="1736" spans="1:11" ht="15.75" customHeight="1">
      <c r="A1736" t="s">
        <v>1211</v>
      </c>
      <c r="B1736">
        <v>2003</v>
      </c>
      <c r="C1736" t="s">
        <v>4716</v>
      </c>
      <c r="D1736">
        <v>24</v>
      </c>
      <c r="E1736">
        <v>0</v>
      </c>
      <c r="F1736" s="16">
        <v>16297.85</v>
      </c>
      <c r="G1736" t="s">
        <v>4699</v>
      </c>
      <c r="H1736" t="s">
        <v>4700</v>
      </c>
      <c r="I1736" t="s">
        <v>4718</v>
      </c>
      <c r="J1736" s="17">
        <f t="shared" si="54"/>
        <v>37857</v>
      </c>
      <c r="K1736">
        <f t="shared" ca="1" si="55"/>
        <v>22</v>
      </c>
    </row>
    <row r="1737" spans="1:11" ht="15.75" customHeight="1">
      <c r="A1737" t="s">
        <v>1209</v>
      </c>
      <c r="B1737">
        <v>1969</v>
      </c>
      <c r="C1737" t="s">
        <v>4716</v>
      </c>
      <c r="D1737">
        <v>8</v>
      </c>
      <c r="E1737">
        <v>0</v>
      </c>
      <c r="F1737" s="16">
        <v>16311.05</v>
      </c>
      <c r="G1737" t="s">
        <v>4699</v>
      </c>
      <c r="H1737" t="s">
        <v>4700</v>
      </c>
      <c r="I1737" t="s">
        <v>4730</v>
      </c>
      <c r="J1737" s="17">
        <f t="shared" si="54"/>
        <v>25423</v>
      </c>
      <c r="K1737">
        <f t="shared" ca="1" si="55"/>
        <v>56</v>
      </c>
    </row>
    <row r="1738" spans="1:11" ht="15.75" customHeight="1">
      <c r="A1738" t="s">
        <v>1207</v>
      </c>
      <c r="B1738">
        <v>1965</v>
      </c>
      <c r="C1738" t="s">
        <v>4714</v>
      </c>
      <c r="D1738">
        <v>5</v>
      </c>
      <c r="E1738">
        <v>0</v>
      </c>
      <c r="F1738" s="16">
        <v>16351.42</v>
      </c>
      <c r="G1738" t="s">
        <v>4699</v>
      </c>
      <c r="H1738" t="s">
        <v>4700</v>
      </c>
      <c r="I1738" t="s">
        <v>4730</v>
      </c>
      <c r="J1738" s="17">
        <f t="shared" si="54"/>
        <v>24081</v>
      </c>
      <c r="K1738">
        <f t="shared" ca="1" si="55"/>
        <v>59</v>
      </c>
    </row>
    <row r="1739" spans="1:11" ht="15.75" customHeight="1">
      <c r="A1739" t="s">
        <v>1205</v>
      </c>
      <c r="B1739">
        <v>1995</v>
      </c>
      <c r="C1739" t="s">
        <v>4712</v>
      </c>
      <c r="D1739">
        <v>28</v>
      </c>
      <c r="E1739">
        <v>3</v>
      </c>
      <c r="F1739" s="16">
        <v>16420.490000000002</v>
      </c>
      <c r="G1739" t="s">
        <v>4699</v>
      </c>
      <c r="H1739" t="s">
        <v>4700</v>
      </c>
      <c r="I1739" t="s">
        <v>4713</v>
      </c>
      <c r="J1739" s="17">
        <f t="shared" si="54"/>
        <v>34970</v>
      </c>
      <c r="K1739">
        <f t="shared" ca="1" si="55"/>
        <v>30</v>
      </c>
    </row>
    <row r="1740" spans="1:11" ht="15.75" customHeight="1">
      <c r="A1740" t="s">
        <v>1203</v>
      </c>
      <c r="B1740">
        <v>2003</v>
      </c>
      <c r="C1740" t="s">
        <v>4714</v>
      </c>
      <c r="D1740">
        <v>20</v>
      </c>
      <c r="E1740">
        <v>1</v>
      </c>
      <c r="F1740" s="16">
        <v>16450.89</v>
      </c>
      <c r="G1740" t="s">
        <v>4699</v>
      </c>
      <c r="H1740" t="s">
        <v>4698</v>
      </c>
      <c r="I1740" t="s">
        <v>4713</v>
      </c>
      <c r="J1740" s="17">
        <f t="shared" si="54"/>
        <v>37975</v>
      </c>
      <c r="K1740">
        <f t="shared" ca="1" si="55"/>
        <v>21</v>
      </c>
    </row>
    <row r="1741" spans="1:11" ht="15.75" customHeight="1">
      <c r="A1741" t="s">
        <v>1201</v>
      </c>
      <c r="B1741">
        <v>1958</v>
      </c>
      <c r="C1741" t="s">
        <v>4717</v>
      </c>
      <c r="D1741">
        <v>10</v>
      </c>
      <c r="E1741">
        <v>3</v>
      </c>
      <c r="F1741" s="16">
        <v>16455.71</v>
      </c>
      <c r="G1741" t="s">
        <v>4699</v>
      </c>
      <c r="H1741" t="s">
        <v>4699</v>
      </c>
      <c r="I1741" t="s">
        <v>4713</v>
      </c>
      <c r="J1741" s="17">
        <f t="shared" si="54"/>
        <v>21468</v>
      </c>
      <c r="K1741">
        <f t="shared" ca="1" si="55"/>
        <v>67</v>
      </c>
    </row>
    <row r="1742" spans="1:11" ht="15.75" customHeight="1">
      <c r="A1742" t="s">
        <v>1199</v>
      </c>
      <c r="B1742">
        <v>1995</v>
      </c>
      <c r="C1742" t="s">
        <v>4714</v>
      </c>
      <c r="D1742">
        <v>23</v>
      </c>
      <c r="E1742">
        <v>0</v>
      </c>
      <c r="F1742" s="16">
        <v>16577.78</v>
      </c>
      <c r="G1742" t="s">
        <v>4699</v>
      </c>
      <c r="H1742" t="s">
        <v>4698</v>
      </c>
      <c r="I1742" t="s">
        <v>4709</v>
      </c>
      <c r="J1742" s="17">
        <f t="shared" si="54"/>
        <v>35056</v>
      </c>
      <c r="K1742">
        <f t="shared" ca="1" si="55"/>
        <v>29</v>
      </c>
    </row>
    <row r="1743" spans="1:11" ht="15.75" customHeight="1">
      <c r="A1743" t="s">
        <v>1197</v>
      </c>
      <c r="B1743">
        <v>2001</v>
      </c>
      <c r="C1743" t="s">
        <v>4711</v>
      </c>
      <c r="D1743">
        <v>25</v>
      </c>
      <c r="E1743">
        <v>0</v>
      </c>
      <c r="F1743" s="16">
        <v>16586.5</v>
      </c>
      <c r="G1743" t="s">
        <v>4699</v>
      </c>
      <c r="H1743" t="s">
        <v>4698</v>
      </c>
      <c r="I1743" t="s">
        <v>4709</v>
      </c>
      <c r="J1743" s="17">
        <f t="shared" si="54"/>
        <v>37067</v>
      </c>
      <c r="K1743">
        <f t="shared" ca="1" si="55"/>
        <v>24</v>
      </c>
    </row>
    <row r="1744" spans="1:11" ht="15.75" customHeight="1">
      <c r="A1744" t="s">
        <v>1195</v>
      </c>
      <c r="B1744">
        <v>1963</v>
      </c>
      <c r="C1744" t="s">
        <v>4711</v>
      </c>
      <c r="D1744">
        <v>25</v>
      </c>
      <c r="E1744">
        <v>0</v>
      </c>
      <c r="F1744" s="16">
        <v>16587.96</v>
      </c>
      <c r="G1744" t="s">
        <v>4699</v>
      </c>
      <c r="H1744" t="s">
        <v>4699</v>
      </c>
      <c r="I1744" t="s">
        <v>4725</v>
      </c>
      <c r="J1744" s="17">
        <f t="shared" si="54"/>
        <v>23187</v>
      </c>
      <c r="K1744">
        <f t="shared" ca="1" si="55"/>
        <v>62</v>
      </c>
    </row>
    <row r="1745" spans="1:11" ht="15.75" customHeight="1">
      <c r="A1745" t="s">
        <v>1193</v>
      </c>
      <c r="B1745">
        <v>1970</v>
      </c>
      <c r="C1745" t="s">
        <v>4708</v>
      </c>
      <c r="D1745">
        <v>10</v>
      </c>
      <c r="E1745">
        <v>0</v>
      </c>
      <c r="F1745" s="16">
        <v>16600.16</v>
      </c>
      <c r="G1745" t="s">
        <v>4699</v>
      </c>
      <c r="H1745" t="s">
        <v>4699</v>
      </c>
      <c r="I1745" t="s">
        <v>4718</v>
      </c>
      <c r="J1745" s="17">
        <f t="shared" si="54"/>
        <v>25759</v>
      </c>
      <c r="K1745">
        <f t="shared" ca="1" si="55"/>
        <v>55</v>
      </c>
    </row>
    <row r="1746" spans="1:11" ht="15.75" customHeight="1">
      <c r="A1746" t="s">
        <v>1191</v>
      </c>
      <c r="B1746">
        <v>1975</v>
      </c>
      <c r="C1746" t="s">
        <v>4708</v>
      </c>
      <c r="D1746">
        <v>24</v>
      </c>
      <c r="E1746">
        <v>1</v>
      </c>
      <c r="F1746" s="16">
        <v>16602.18</v>
      </c>
      <c r="G1746" t="s">
        <v>4699</v>
      </c>
      <c r="H1746" t="s">
        <v>4698</v>
      </c>
      <c r="I1746" t="s">
        <v>4730</v>
      </c>
      <c r="J1746" s="17">
        <f t="shared" si="54"/>
        <v>27599</v>
      </c>
      <c r="K1746">
        <f t="shared" ca="1" si="55"/>
        <v>50</v>
      </c>
    </row>
    <row r="1747" spans="1:11" ht="15.75" customHeight="1">
      <c r="A1747" t="s">
        <v>1189</v>
      </c>
      <c r="B1747">
        <v>1977</v>
      </c>
      <c r="C1747" t="s">
        <v>4712</v>
      </c>
      <c r="D1747">
        <v>25</v>
      </c>
      <c r="E1747">
        <v>2</v>
      </c>
      <c r="F1747" s="16">
        <v>16631.61</v>
      </c>
      <c r="G1747" t="s">
        <v>4699</v>
      </c>
      <c r="H1747" t="s">
        <v>4698</v>
      </c>
      <c r="I1747" t="s">
        <v>4713</v>
      </c>
      <c r="J1747" s="17">
        <f t="shared" si="54"/>
        <v>28393</v>
      </c>
      <c r="K1747">
        <f t="shared" ca="1" si="55"/>
        <v>48</v>
      </c>
    </row>
    <row r="1748" spans="1:11" ht="15.75" customHeight="1">
      <c r="A1748" t="s">
        <v>1187</v>
      </c>
      <c r="B1748">
        <v>1993</v>
      </c>
      <c r="C1748" t="s">
        <v>4710</v>
      </c>
      <c r="D1748">
        <v>5</v>
      </c>
      <c r="E1748">
        <v>1</v>
      </c>
      <c r="F1748" s="16">
        <v>16657.72</v>
      </c>
      <c r="G1748" t="s">
        <v>4699</v>
      </c>
      <c r="H1748" t="s">
        <v>4698</v>
      </c>
      <c r="I1748" t="s">
        <v>4724</v>
      </c>
      <c r="J1748" s="17">
        <f t="shared" si="54"/>
        <v>34278</v>
      </c>
      <c r="K1748">
        <f t="shared" ca="1" si="55"/>
        <v>32</v>
      </c>
    </row>
    <row r="1749" spans="1:11" ht="15.75" customHeight="1">
      <c r="A1749" t="s">
        <v>1185</v>
      </c>
      <c r="B1749">
        <v>1974</v>
      </c>
      <c r="C1749" t="s">
        <v>4716</v>
      </c>
      <c r="D1749">
        <v>28</v>
      </c>
      <c r="E1749">
        <v>0</v>
      </c>
      <c r="F1749" s="16">
        <v>16770.990000000002</v>
      </c>
      <c r="G1749" t="s">
        <v>4699</v>
      </c>
      <c r="H1749" t="s">
        <v>4698</v>
      </c>
      <c r="I1749" t="s">
        <v>4713</v>
      </c>
      <c r="J1749" s="17">
        <f t="shared" si="54"/>
        <v>27269</v>
      </c>
      <c r="K1749">
        <f t="shared" ca="1" si="55"/>
        <v>51</v>
      </c>
    </row>
    <row r="1750" spans="1:11" ht="15.75" customHeight="1">
      <c r="A1750" t="s">
        <v>1183</v>
      </c>
      <c r="B1750">
        <v>1989</v>
      </c>
      <c r="C1750" t="s">
        <v>4712</v>
      </c>
      <c r="D1750">
        <v>23</v>
      </c>
      <c r="E1750">
        <v>2</v>
      </c>
      <c r="F1750" s="16">
        <v>16776.3</v>
      </c>
      <c r="G1750" t="s">
        <v>4699</v>
      </c>
      <c r="H1750" t="s">
        <v>4699</v>
      </c>
      <c r="I1750" t="s">
        <v>4724</v>
      </c>
      <c r="J1750" s="17">
        <f t="shared" si="54"/>
        <v>32774</v>
      </c>
      <c r="K1750">
        <f t="shared" ca="1" si="55"/>
        <v>36</v>
      </c>
    </row>
    <row r="1751" spans="1:11" ht="15.75" customHeight="1">
      <c r="A1751" t="s">
        <v>1181</v>
      </c>
      <c r="B1751">
        <v>1962</v>
      </c>
      <c r="C1751" t="s">
        <v>4708</v>
      </c>
      <c r="D1751">
        <v>29</v>
      </c>
      <c r="E1751">
        <v>0</v>
      </c>
      <c r="F1751" s="16">
        <v>16779.400000000001</v>
      </c>
      <c r="G1751" t="s">
        <v>4699</v>
      </c>
      <c r="H1751" t="s">
        <v>4699</v>
      </c>
      <c r="I1751" t="s">
        <v>4730</v>
      </c>
      <c r="J1751" s="17">
        <f t="shared" si="54"/>
        <v>22856</v>
      </c>
      <c r="K1751">
        <f t="shared" ca="1" si="55"/>
        <v>63</v>
      </c>
    </row>
    <row r="1752" spans="1:11" ht="15.75" customHeight="1">
      <c r="A1752" t="s">
        <v>1179</v>
      </c>
      <c r="B1752">
        <v>1995</v>
      </c>
      <c r="C1752" t="s">
        <v>4717</v>
      </c>
      <c r="D1752">
        <v>19</v>
      </c>
      <c r="E1752">
        <v>1</v>
      </c>
      <c r="F1752" s="16">
        <v>16796.41</v>
      </c>
      <c r="G1752" t="s">
        <v>4699</v>
      </c>
      <c r="H1752" t="s">
        <v>4700</v>
      </c>
      <c r="I1752" t="s">
        <v>4724</v>
      </c>
      <c r="J1752" s="17">
        <f t="shared" si="54"/>
        <v>34991</v>
      </c>
      <c r="K1752">
        <f t="shared" ca="1" si="55"/>
        <v>30</v>
      </c>
    </row>
    <row r="1753" spans="1:11" ht="15.75" customHeight="1">
      <c r="A1753" t="s">
        <v>1177</v>
      </c>
      <c r="B1753">
        <v>1974</v>
      </c>
      <c r="C1753" t="s">
        <v>4716</v>
      </c>
      <c r="D1753">
        <v>8</v>
      </c>
      <c r="E1753">
        <v>0</v>
      </c>
      <c r="F1753" s="16">
        <v>16841.32</v>
      </c>
      <c r="G1753" t="s">
        <v>4699</v>
      </c>
      <c r="H1753" t="s">
        <v>4700</v>
      </c>
      <c r="I1753" t="s">
        <v>4718</v>
      </c>
      <c r="J1753" s="17">
        <f t="shared" si="54"/>
        <v>27249</v>
      </c>
      <c r="K1753">
        <f t="shared" ca="1" si="55"/>
        <v>51</v>
      </c>
    </row>
    <row r="1754" spans="1:11" ht="15.75" customHeight="1">
      <c r="A1754" t="s">
        <v>1175</v>
      </c>
      <c r="B1754">
        <v>2003</v>
      </c>
      <c r="C1754" t="s">
        <v>4712</v>
      </c>
      <c r="D1754">
        <v>10</v>
      </c>
      <c r="E1754">
        <v>0</v>
      </c>
      <c r="F1754" s="16">
        <v>16884.919999999998</v>
      </c>
      <c r="G1754" t="s">
        <v>4699</v>
      </c>
      <c r="H1754" t="s">
        <v>4699</v>
      </c>
      <c r="I1754" t="s">
        <v>4718</v>
      </c>
      <c r="J1754" s="17">
        <f t="shared" si="54"/>
        <v>37874</v>
      </c>
      <c r="K1754">
        <f t="shared" ca="1" si="55"/>
        <v>22</v>
      </c>
    </row>
    <row r="1755" spans="1:11" ht="15.75" customHeight="1">
      <c r="A1755" t="s">
        <v>1173</v>
      </c>
      <c r="B1755">
        <v>1968</v>
      </c>
      <c r="C1755" t="s">
        <v>4717</v>
      </c>
      <c r="D1755">
        <v>21</v>
      </c>
      <c r="E1755">
        <v>0</v>
      </c>
      <c r="F1755" s="16">
        <v>16903.5</v>
      </c>
      <c r="G1755" t="s">
        <v>4699</v>
      </c>
      <c r="H1755" t="s">
        <v>4700</v>
      </c>
      <c r="I1755" t="s">
        <v>4713</v>
      </c>
      <c r="J1755" s="17">
        <f t="shared" si="54"/>
        <v>25132</v>
      </c>
      <c r="K1755">
        <f t="shared" ca="1" si="55"/>
        <v>57</v>
      </c>
    </row>
    <row r="1756" spans="1:11" ht="15.75" customHeight="1">
      <c r="A1756" t="s">
        <v>1171</v>
      </c>
      <c r="B1756">
        <v>1977</v>
      </c>
      <c r="C1756" t="s">
        <v>4716</v>
      </c>
      <c r="D1756">
        <v>25</v>
      </c>
      <c r="E1756">
        <v>2</v>
      </c>
      <c r="F1756" s="16">
        <v>16921.09</v>
      </c>
      <c r="G1756" t="s">
        <v>4699</v>
      </c>
      <c r="H1756" t="s">
        <v>4700</v>
      </c>
      <c r="I1756" t="s">
        <v>4725</v>
      </c>
      <c r="J1756" s="17">
        <f t="shared" si="54"/>
        <v>28362</v>
      </c>
      <c r="K1756">
        <f t="shared" ca="1" si="55"/>
        <v>48</v>
      </c>
    </row>
    <row r="1757" spans="1:11" ht="15.75" customHeight="1">
      <c r="A1757" t="s">
        <v>1169</v>
      </c>
      <c r="B1757">
        <v>1980</v>
      </c>
      <c r="C1757" t="s">
        <v>4708</v>
      </c>
      <c r="D1757">
        <v>16</v>
      </c>
      <c r="E1757">
        <v>2</v>
      </c>
      <c r="F1757" s="16">
        <v>16990.55</v>
      </c>
      <c r="G1757" t="s">
        <v>4699</v>
      </c>
      <c r="H1757" t="s">
        <v>4700</v>
      </c>
      <c r="I1757" t="s">
        <v>4713</v>
      </c>
      <c r="J1757" s="17">
        <f t="shared" si="54"/>
        <v>29418</v>
      </c>
      <c r="K1757">
        <f t="shared" ca="1" si="55"/>
        <v>45</v>
      </c>
    </row>
    <row r="1758" spans="1:11" ht="15.75" customHeight="1">
      <c r="A1758" t="s">
        <v>1167</v>
      </c>
      <c r="B1758">
        <v>1971</v>
      </c>
      <c r="C1758" t="s">
        <v>4716</v>
      </c>
      <c r="D1758">
        <v>22</v>
      </c>
      <c r="E1758">
        <v>0</v>
      </c>
      <c r="F1758" s="16">
        <v>17016.009999999998</v>
      </c>
      <c r="G1758" t="s">
        <v>4699</v>
      </c>
      <c r="H1758" t="s">
        <v>4699</v>
      </c>
      <c r="I1758" t="s">
        <v>4725</v>
      </c>
      <c r="J1758" s="17">
        <f t="shared" si="54"/>
        <v>26167</v>
      </c>
      <c r="K1758">
        <f t="shared" ca="1" si="55"/>
        <v>54</v>
      </c>
    </row>
    <row r="1759" spans="1:11" ht="15.75" customHeight="1">
      <c r="A1759" t="s">
        <v>1165</v>
      </c>
      <c r="B1759">
        <v>1996</v>
      </c>
      <c r="C1759" t="s">
        <v>4711</v>
      </c>
      <c r="D1759">
        <v>10</v>
      </c>
      <c r="E1759">
        <v>0</v>
      </c>
      <c r="F1759" s="16">
        <v>17043.34</v>
      </c>
      <c r="G1759" t="s">
        <v>4699</v>
      </c>
      <c r="H1759" t="s">
        <v>4700</v>
      </c>
      <c r="I1759" t="s">
        <v>4709</v>
      </c>
      <c r="J1759" s="17">
        <f t="shared" si="54"/>
        <v>35226</v>
      </c>
      <c r="K1759">
        <f t="shared" ca="1" si="55"/>
        <v>29</v>
      </c>
    </row>
    <row r="1760" spans="1:11" ht="15.75" customHeight="1">
      <c r="A1760" t="s">
        <v>1163</v>
      </c>
      <c r="B1760">
        <v>2003</v>
      </c>
      <c r="C1760" t="s">
        <v>4714</v>
      </c>
      <c r="D1760">
        <v>26</v>
      </c>
      <c r="E1760">
        <v>0</v>
      </c>
      <c r="F1760" s="16">
        <v>17081.080000000002</v>
      </c>
      <c r="G1760" t="s">
        <v>4699</v>
      </c>
      <c r="H1760" t="s">
        <v>4699</v>
      </c>
      <c r="I1760" t="s">
        <v>4718</v>
      </c>
      <c r="J1760" s="17">
        <f t="shared" si="54"/>
        <v>37981</v>
      </c>
      <c r="K1760">
        <f t="shared" ca="1" si="55"/>
        <v>21</v>
      </c>
    </row>
    <row r="1761" spans="1:11" ht="15.75" customHeight="1">
      <c r="A1761" t="s">
        <v>1161</v>
      </c>
      <c r="B1761">
        <v>2002</v>
      </c>
      <c r="C1761" t="s">
        <v>4711</v>
      </c>
      <c r="D1761">
        <v>28</v>
      </c>
      <c r="E1761">
        <v>1</v>
      </c>
      <c r="F1761" s="16">
        <v>17085.27</v>
      </c>
      <c r="G1761" t="s">
        <v>4699</v>
      </c>
      <c r="H1761" t="s">
        <v>4700</v>
      </c>
      <c r="I1761" t="s">
        <v>4709</v>
      </c>
      <c r="J1761" s="17">
        <f t="shared" si="54"/>
        <v>37435</v>
      </c>
      <c r="K1761">
        <f t="shared" ca="1" si="55"/>
        <v>23</v>
      </c>
    </row>
    <row r="1762" spans="1:11" ht="15.75" customHeight="1">
      <c r="A1762" t="s">
        <v>1159</v>
      </c>
      <c r="B1762">
        <v>1998</v>
      </c>
      <c r="C1762" t="s">
        <v>4711</v>
      </c>
      <c r="D1762">
        <v>3</v>
      </c>
      <c r="E1762">
        <v>4</v>
      </c>
      <c r="F1762" s="16">
        <v>17128.43</v>
      </c>
      <c r="G1762" t="s">
        <v>4699</v>
      </c>
      <c r="H1762" t="s">
        <v>4700</v>
      </c>
      <c r="I1762" t="s">
        <v>4721</v>
      </c>
      <c r="J1762" s="17">
        <f t="shared" si="54"/>
        <v>35949</v>
      </c>
      <c r="K1762">
        <f t="shared" ca="1" si="55"/>
        <v>27</v>
      </c>
    </row>
    <row r="1763" spans="1:11" ht="15.75" customHeight="1">
      <c r="A1763" t="s">
        <v>1157</v>
      </c>
      <c r="B1763">
        <v>1965</v>
      </c>
      <c r="C1763" t="s">
        <v>4712</v>
      </c>
      <c r="D1763">
        <v>16</v>
      </c>
      <c r="E1763">
        <v>0</v>
      </c>
      <c r="F1763" s="16">
        <v>17172.27</v>
      </c>
      <c r="G1763" t="s">
        <v>4699</v>
      </c>
      <c r="H1763" t="s">
        <v>4699</v>
      </c>
      <c r="I1763" t="s">
        <v>4730</v>
      </c>
      <c r="J1763" s="17">
        <f t="shared" si="54"/>
        <v>24001</v>
      </c>
      <c r="K1763">
        <f t="shared" ca="1" si="55"/>
        <v>60</v>
      </c>
    </row>
    <row r="1764" spans="1:11" ht="15.75" customHeight="1">
      <c r="A1764" t="s">
        <v>1155</v>
      </c>
      <c r="B1764">
        <v>1964</v>
      </c>
      <c r="C1764" t="s">
        <v>4711</v>
      </c>
      <c r="D1764">
        <v>7</v>
      </c>
      <c r="E1764">
        <v>0</v>
      </c>
      <c r="F1764" s="16">
        <v>17174.52</v>
      </c>
      <c r="G1764" t="s">
        <v>4699</v>
      </c>
      <c r="H1764" t="s">
        <v>4699</v>
      </c>
      <c r="I1764" t="s">
        <v>4713</v>
      </c>
      <c r="J1764" s="17">
        <f t="shared" si="54"/>
        <v>23535</v>
      </c>
      <c r="K1764">
        <f t="shared" ca="1" si="55"/>
        <v>61</v>
      </c>
    </row>
    <row r="1765" spans="1:11" ht="15.75" customHeight="1">
      <c r="A1765" t="s">
        <v>1153</v>
      </c>
      <c r="B1765">
        <v>2004</v>
      </c>
      <c r="C1765" t="s">
        <v>4716</v>
      </c>
      <c r="D1765">
        <v>18</v>
      </c>
      <c r="E1765">
        <v>1</v>
      </c>
      <c r="F1765" s="16">
        <v>17178.68</v>
      </c>
      <c r="G1765" t="s">
        <v>4699</v>
      </c>
      <c r="H1765" t="s">
        <v>4699</v>
      </c>
      <c r="I1765" t="s">
        <v>4720</v>
      </c>
      <c r="J1765" s="17">
        <f t="shared" si="54"/>
        <v>38217</v>
      </c>
      <c r="K1765">
        <f t="shared" ca="1" si="55"/>
        <v>21</v>
      </c>
    </row>
    <row r="1766" spans="1:11" ht="15.75" customHeight="1">
      <c r="A1766" t="s">
        <v>1151</v>
      </c>
      <c r="B1766">
        <v>1982</v>
      </c>
      <c r="C1766" t="s">
        <v>4717</v>
      </c>
      <c r="D1766">
        <v>22</v>
      </c>
      <c r="E1766">
        <v>1</v>
      </c>
      <c r="F1766" s="16">
        <v>17179.52</v>
      </c>
      <c r="G1766" t="s">
        <v>4699</v>
      </c>
      <c r="H1766" t="s">
        <v>4698</v>
      </c>
      <c r="I1766" t="s">
        <v>4709</v>
      </c>
      <c r="J1766" s="17">
        <f t="shared" si="54"/>
        <v>30246</v>
      </c>
      <c r="K1766">
        <f t="shared" ca="1" si="55"/>
        <v>43</v>
      </c>
    </row>
    <row r="1767" spans="1:11" ht="15.75" customHeight="1">
      <c r="A1767" t="s">
        <v>1149</v>
      </c>
      <c r="B1767">
        <v>1975</v>
      </c>
      <c r="C1767" t="s">
        <v>4716</v>
      </c>
      <c r="D1767">
        <v>25</v>
      </c>
      <c r="E1767">
        <v>1</v>
      </c>
      <c r="F1767" s="16">
        <v>17253.43</v>
      </c>
      <c r="G1767" t="s">
        <v>4699</v>
      </c>
      <c r="H1767" t="s">
        <v>4700</v>
      </c>
      <c r="I1767" t="s">
        <v>4730</v>
      </c>
      <c r="J1767" s="17">
        <f t="shared" si="54"/>
        <v>27631</v>
      </c>
      <c r="K1767">
        <f t="shared" ca="1" si="55"/>
        <v>50</v>
      </c>
    </row>
    <row r="1768" spans="1:11" ht="15.75" customHeight="1">
      <c r="A1768" t="s">
        <v>1147</v>
      </c>
      <c r="B1768">
        <v>1963</v>
      </c>
      <c r="C1768" t="s">
        <v>4708</v>
      </c>
      <c r="D1768">
        <v>12</v>
      </c>
      <c r="E1768">
        <v>0</v>
      </c>
      <c r="F1768" s="16">
        <v>17337.580000000002</v>
      </c>
      <c r="G1768" t="s">
        <v>4699</v>
      </c>
      <c r="H1768" t="s">
        <v>4700</v>
      </c>
      <c r="I1768" t="s">
        <v>4725</v>
      </c>
      <c r="J1768" s="17">
        <f t="shared" si="54"/>
        <v>23204</v>
      </c>
      <c r="K1768">
        <f t="shared" ca="1" si="55"/>
        <v>62</v>
      </c>
    </row>
    <row r="1769" spans="1:11" ht="15.75" customHeight="1">
      <c r="A1769" t="s">
        <v>1145</v>
      </c>
      <c r="B1769">
        <v>2003</v>
      </c>
      <c r="C1769" t="s">
        <v>4710</v>
      </c>
      <c r="D1769">
        <v>1</v>
      </c>
      <c r="E1769">
        <v>0</v>
      </c>
      <c r="F1769" s="16">
        <v>17352.68</v>
      </c>
      <c r="G1769" t="s">
        <v>4699</v>
      </c>
      <c r="H1769" t="s">
        <v>4700</v>
      </c>
      <c r="I1769" t="s">
        <v>4713</v>
      </c>
      <c r="J1769" s="17">
        <f t="shared" si="54"/>
        <v>37926</v>
      </c>
      <c r="K1769">
        <f t="shared" ca="1" si="55"/>
        <v>22</v>
      </c>
    </row>
    <row r="1770" spans="1:11" ht="15.75" customHeight="1">
      <c r="A1770" t="s">
        <v>1143</v>
      </c>
      <c r="B1770">
        <v>1992</v>
      </c>
      <c r="C1770" t="s">
        <v>4717</v>
      </c>
      <c r="D1770">
        <v>18</v>
      </c>
      <c r="E1770">
        <v>2</v>
      </c>
      <c r="F1770" s="16">
        <v>17361.77</v>
      </c>
      <c r="G1770" t="s">
        <v>4699</v>
      </c>
      <c r="H1770" t="s">
        <v>4698</v>
      </c>
      <c r="I1770" t="s">
        <v>4713</v>
      </c>
      <c r="J1770" s="17">
        <f t="shared" si="54"/>
        <v>33895</v>
      </c>
      <c r="K1770">
        <f t="shared" ca="1" si="55"/>
        <v>33</v>
      </c>
    </row>
    <row r="1771" spans="1:11" ht="15.75" customHeight="1">
      <c r="A1771" t="s">
        <v>1141</v>
      </c>
      <c r="B1771">
        <v>2003</v>
      </c>
      <c r="C1771" t="s">
        <v>4710</v>
      </c>
      <c r="D1771">
        <v>2</v>
      </c>
      <c r="E1771">
        <v>0</v>
      </c>
      <c r="F1771" s="16">
        <v>17468.98</v>
      </c>
      <c r="G1771" t="s">
        <v>4699</v>
      </c>
      <c r="H1771" t="s">
        <v>4698</v>
      </c>
      <c r="I1771" t="s">
        <v>4713</v>
      </c>
      <c r="J1771" s="17">
        <f t="shared" si="54"/>
        <v>37927</v>
      </c>
      <c r="K1771">
        <f t="shared" ca="1" si="55"/>
        <v>22</v>
      </c>
    </row>
    <row r="1772" spans="1:11" ht="15.75" customHeight="1">
      <c r="A1772" t="s">
        <v>1139</v>
      </c>
      <c r="B1772">
        <v>1971</v>
      </c>
      <c r="C1772" t="s">
        <v>4711</v>
      </c>
      <c r="D1772">
        <v>8</v>
      </c>
      <c r="E1772">
        <v>0</v>
      </c>
      <c r="F1772" s="16">
        <v>17479.53</v>
      </c>
      <c r="G1772" t="s">
        <v>4698</v>
      </c>
      <c r="H1772" t="s">
        <v>4698</v>
      </c>
      <c r="I1772" t="s">
        <v>4713</v>
      </c>
      <c r="J1772" s="17">
        <f t="shared" si="54"/>
        <v>26092</v>
      </c>
      <c r="K1772">
        <f t="shared" ca="1" si="55"/>
        <v>54</v>
      </c>
    </row>
    <row r="1773" spans="1:11" ht="15.75" customHeight="1">
      <c r="A1773" t="s">
        <v>1137</v>
      </c>
      <c r="B1773">
        <v>1990</v>
      </c>
      <c r="C1773" t="s">
        <v>4714</v>
      </c>
      <c r="D1773">
        <v>29</v>
      </c>
      <c r="E1773">
        <v>0</v>
      </c>
      <c r="F1773" s="16">
        <v>17496.310000000001</v>
      </c>
      <c r="G1773" t="s">
        <v>4698</v>
      </c>
      <c r="H1773" t="s">
        <v>4699</v>
      </c>
      <c r="I1773" t="s">
        <v>4718</v>
      </c>
      <c r="J1773" s="17">
        <f t="shared" si="54"/>
        <v>33236</v>
      </c>
      <c r="K1773">
        <f t="shared" ca="1" si="55"/>
        <v>34</v>
      </c>
    </row>
    <row r="1774" spans="1:11" ht="15.75" customHeight="1">
      <c r="A1774" t="s">
        <v>1135</v>
      </c>
      <c r="B1774">
        <v>1965</v>
      </c>
      <c r="C1774" t="s">
        <v>4711</v>
      </c>
      <c r="D1774">
        <v>16</v>
      </c>
      <c r="E1774">
        <v>0</v>
      </c>
      <c r="F1774" s="16">
        <v>17505.650000000001</v>
      </c>
      <c r="G1774" t="s">
        <v>4698</v>
      </c>
      <c r="H1774" t="s">
        <v>4699</v>
      </c>
      <c r="I1774" t="s">
        <v>4725</v>
      </c>
      <c r="J1774" s="17">
        <f t="shared" si="54"/>
        <v>23909</v>
      </c>
      <c r="K1774">
        <f t="shared" ca="1" si="55"/>
        <v>60</v>
      </c>
    </row>
    <row r="1775" spans="1:11" ht="15.75" customHeight="1">
      <c r="A1775" t="s">
        <v>1133</v>
      </c>
      <c r="B1775">
        <v>1968</v>
      </c>
      <c r="C1775" t="s">
        <v>4708</v>
      </c>
      <c r="D1775">
        <v>12</v>
      </c>
      <c r="E1775">
        <v>0</v>
      </c>
      <c r="F1775" s="16">
        <v>17507.47</v>
      </c>
      <c r="G1775" t="s">
        <v>4698</v>
      </c>
      <c r="H1775" t="s">
        <v>4698</v>
      </c>
      <c r="I1775" t="s">
        <v>4730</v>
      </c>
      <c r="J1775" s="17">
        <f t="shared" si="54"/>
        <v>25031</v>
      </c>
      <c r="K1775">
        <f t="shared" ca="1" si="55"/>
        <v>57</v>
      </c>
    </row>
    <row r="1776" spans="1:11" ht="15.75" customHeight="1">
      <c r="A1776" t="s">
        <v>1131</v>
      </c>
      <c r="B1776">
        <v>1963</v>
      </c>
      <c r="C1776" t="s">
        <v>4710</v>
      </c>
      <c r="D1776">
        <v>16</v>
      </c>
      <c r="E1776">
        <v>0</v>
      </c>
      <c r="F1776" s="16">
        <v>17556.88</v>
      </c>
      <c r="G1776" t="s">
        <v>4698</v>
      </c>
      <c r="H1776" t="s">
        <v>4699</v>
      </c>
      <c r="I1776" t="s">
        <v>4713</v>
      </c>
      <c r="J1776" s="17">
        <f t="shared" si="54"/>
        <v>23331</v>
      </c>
      <c r="K1776">
        <f t="shared" ca="1" si="55"/>
        <v>62</v>
      </c>
    </row>
    <row r="1777" spans="1:11" ht="15.75" customHeight="1">
      <c r="A1777" t="s">
        <v>1129</v>
      </c>
      <c r="B1777">
        <v>2002</v>
      </c>
      <c r="C1777" t="s">
        <v>4716</v>
      </c>
      <c r="D1777">
        <v>25</v>
      </c>
      <c r="E1777">
        <v>1</v>
      </c>
      <c r="F1777" s="16">
        <v>17560.38</v>
      </c>
      <c r="G1777" t="s">
        <v>4698</v>
      </c>
      <c r="H1777" t="s">
        <v>4698</v>
      </c>
      <c r="I1777" t="s">
        <v>4713</v>
      </c>
      <c r="J1777" s="17">
        <f t="shared" si="54"/>
        <v>37493</v>
      </c>
      <c r="K1777">
        <f t="shared" ca="1" si="55"/>
        <v>23</v>
      </c>
    </row>
    <row r="1778" spans="1:11" ht="15.75" customHeight="1">
      <c r="A1778" t="s">
        <v>1127</v>
      </c>
      <c r="B1778">
        <v>1970</v>
      </c>
      <c r="C1778" t="s">
        <v>4708</v>
      </c>
      <c r="D1778">
        <v>26</v>
      </c>
      <c r="E1778">
        <v>0</v>
      </c>
      <c r="F1778" s="16">
        <v>17584.72</v>
      </c>
      <c r="G1778" t="s">
        <v>4698</v>
      </c>
      <c r="H1778" t="s">
        <v>4700</v>
      </c>
      <c r="I1778" t="s">
        <v>4713</v>
      </c>
      <c r="J1778" s="17">
        <f t="shared" si="54"/>
        <v>25775</v>
      </c>
      <c r="K1778">
        <f t="shared" ca="1" si="55"/>
        <v>55</v>
      </c>
    </row>
    <row r="1779" spans="1:11" ht="15.75" customHeight="1">
      <c r="A1779" t="s">
        <v>1125</v>
      </c>
      <c r="B1779">
        <v>1990</v>
      </c>
      <c r="C1779" t="s">
        <v>4717</v>
      </c>
      <c r="D1779">
        <v>25</v>
      </c>
      <c r="E1779">
        <v>1</v>
      </c>
      <c r="F1779" s="16">
        <v>17626.240000000002</v>
      </c>
      <c r="G1779" t="s">
        <v>4698</v>
      </c>
      <c r="H1779" t="s">
        <v>4700</v>
      </c>
      <c r="I1779" t="s">
        <v>4709</v>
      </c>
      <c r="J1779" s="17">
        <f t="shared" si="54"/>
        <v>33171</v>
      </c>
      <c r="K1779">
        <f t="shared" ca="1" si="55"/>
        <v>35</v>
      </c>
    </row>
    <row r="1780" spans="1:11" ht="15.75" customHeight="1">
      <c r="A1780" t="s">
        <v>1123</v>
      </c>
      <c r="B1780">
        <v>1994</v>
      </c>
      <c r="C1780" t="s">
        <v>4708</v>
      </c>
      <c r="D1780">
        <v>1</v>
      </c>
      <c r="E1780">
        <v>3</v>
      </c>
      <c r="F1780" s="16">
        <v>17663.14</v>
      </c>
      <c r="G1780" t="s">
        <v>4698</v>
      </c>
      <c r="H1780" t="s">
        <v>4700</v>
      </c>
      <c r="I1780" t="s">
        <v>4709</v>
      </c>
      <c r="J1780" s="17">
        <f t="shared" si="54"/>
        <v>34516</v>
      </c>
      <c r="K1780">
        <f t="shared" ca="1" si="55"/>
        <v>31</v>
      </c>
    </row>
    <row r="1781" spans="1:11" ht="15.75" customHeight="1">
      <c r="A1781" t="s">
        <v>1121</v>
      </c>
      <c r="B1781">
        <v>2003</v>
      </c>
      <c r="C1781" t="s">
        <v>4708</v>
      </c>
      <c r="D1781">
        <v>14</v>
      </c>
      <c r="E1781">
        <v>0</v>
      </c>
      <c r="F1781" s="16">
        <v>17748.509999999998</v>
      </c>
      <c r="G1781" t="s">
        <v>4698</v>
      </c>
      <c r="H1781" t="s">
        <v>4698</v>
      </c>
      <c r="I1781" t="s">
        <v>4713</v>
      </c>
      <c r="J1781" s="17">
        <f t="shared" si="54"/>
        <v>37816</v>
      </c>
      <c r="K1781">
        <f t="shared" ca="1" si="55"/>
        <v>22</v>
      </c>
    </row>
    <row r="1782" spans="1:11" ht="15.75" customHeight="1">
      <c r="A1782" t="s">
        <v>1119</v>
      </c>
      <c r="B1782">
        <v>1966</v>
      </c>
      <c r="C1782" t="s">
        <v>4711</v>
      </c>
      <c r="D1782">
        <v>21</v>
      </c>
      <c r="E1782">
        <v>0</v>
      </c>
      <c r="F1782" s="16">
        <v>17777.73</v>
      </c>
      <c r="G1782" t="s">
        <v>4698</v>
      </c>
      <c r="H1782" t="s">
        <v>4700</v>
      </c>
      <c r="I1782" t="s">
        <v>4713</v>
      </c>
      <c r="J1782" s="17">
        <f t="shared" si="54"/>
        <v>24279</v>
      </c>
      <c r="K1782">
        <f t="shared" ca="1" si="55"/>
        <v>59</v>
      </c>
    </row>
    <row r="1783" spans="1:11" ht="15.75" customHeight="1">
      <c r="A1783" t="s">
        <v>1117</v>
      </c>
      <c r="B1783">
        <v>1979</v>
      </c>
      <c r="C1783" t="s">
        <v>4717</v>
      </c>
      <c r="D1783">
        <v>10</v>
      </c>
      <c r="E1783">
        <v>2</v>
      </c>
      <c r="F1783" s="16">
        <v>17779.939999999999</v>
      </c>
      <c r="G1783" t="s">
        <v>4698</v>
      </c>
      <c r="H1783" t="s">
        <v>4699</v>
      </c>
      <c r="I1783" t="s">
        <v>4713</v>
      </c>
      <c r="J1783" s="17">
        <f t="shared" si="54"/>
        <v>29138</v>
      </c>
      <c r="K1783">
        <f t="shared" ca="1" si="55"/>
        <v>46</v>
      </c>
    </row>
    <row r="1784" spans="1:11" ht="15.75" customHeight="1">
      <c r="A1784" t="s">
        <v>1115</v>
      </c>
      <c r="B1784">
        <v>1963</v>
      </c>
      <c r="C1784" t="s">
        <v>4714</v>
      </c>
      <c r="D1784">
        <v>8</v>
      </c>
      <c r="E1784">
        <v>0</v>
      </c>
      <c r="F1784" s="16">
        <v>17832.599999999999</v>
      </c>
      <c r="G1784" t="s">
        <v>4698</v>
      </c>
      <c r="H1784" t="s">
        <v>4699</v>
      </c>
      <c r="I1784" t="s">
        <v>4713</v>
      </c>
      <c r="J1784" s="17">
        <f t="shared" si="54"/>
        <v>23353</v>
      </c>
      <c r="K1784">
        <f t="shared" ca="1" si="55"/>
        <v>61</v>
      </c>
    </row>
    <row r="1785" spans="1:11" ht="15.75" customHeight="1">
      <c r="A1785" t="s">
        <v>1113</v>
      </c>
      <c r="B1785">
        <v>1976</v>
      </c>
      <c r="C1785" t="s">
        <v>4714</v>
      </c>
      <c r="D1785">
        <v>12</v>
      </c>
      <c r="E1785">
        <v>2</v>
      </c>
      <c r="F1785" s="16">
        <v>17862.919999999998</v>
      </c>
      <c r="G1785" t="s">
        <v>4698</v>
      </c>
      <c r="H1785" t="s">
        <v>4699</v>
      </c>
      <c r="I1785" t="s">
        <v>4713</v>
      </c>
      <c r="J1785" s="17">
        <f t="shared" si="54"/>
        <v>28106</v>
      </c>
      <c r="K1785">
        <f t="shared" ca="1" si="55"/>
        <v>48</v>
      </c>
    </row>
    <row r="1786" spans="1:11" ht="15.75" customHeight="1">
      <c r="A1786" t="s">
        <v>1111</v>
      </c>
      <c r="B1786">
        <v>1997</v>
      </c>
      <c r="C1786" t="s">
        <v>4716</v>
      </c>
      <c r="D1786">
        <v>26</v>
      </c>
      <c r="E1786">
        <v>0</v>
      </c>
      <c r="F1786" s="16">
        <v>17878.900000000001</v>
      </c>
      <c r="G1786" t="s">
        <v>4698</v>
      </c>
      <c r="H1786" t="s">
        <v>4699</v>
      </c>
      <c r="I1786" t="s">
        <v>4724</v>
      </c>
      <c r="J1786" s="17">
        <f t="shared" si="54"/>
        <v>35668</v>
      </c>
      <c r="K1786">
        <f t="shared" ca="1" si="55"/>
        <v>28</v>
      </c>
    </row>
    <row r="1787" spans="1:11" ht="15.75" customHeight="1">
      <c r="A1787" t="s">
        <v>1109</v>
      </c>
      <c r="B1787">
        <v>1979</v>
      </c>
      <c r="C1787" t="s">
        <v>4710</v>
      </c>
      <c r="D1787">
        <v>12</v>
      </c>
      <c r="E1787">
        <v>2</v>
      </c>
      <c r="F1787" s="16">
        <v>17882.669999999998</v>
      </c>
      <c r="G1787" t="s">
        <v>4698</v>
      </c>
      <c r="H1787" t="s">
        <v>4700</v>
      </c>
      <c r="I1787" t="s">
        <v>4713</v>
      </c>
      <c r="J1787" s="17">
        <f t="shared" si="54"/>
        <v>29171</v>
      </c>
      <c r="K1787">
        <f t="shared" ca="1" si="55"/>
        <v>46</v>
      </c>
    </row>
    <row r="1788" spans="1:11" ht="15.75" customHeight="1">
      <c r="A1788" t="s">
        <v>1107</v>
      </c>
      <c r="B1788">
        <v>1989</v>
      </c>
      <c r="C1788" t="s">
        <v>4714</v>
      </c>
      <c r="D1788">
        <v>4</v>
      </c>
      <c r="E1788">
        <v>0</v>
      </c>
      <c r="F1788" s="16">
        <v>17904.53</v>
      </c>
      <c r="G1788" t="s">
        <v>4698</v>
      </c>
      <c r="H1788" t="s">
        <v>4699</v>
      </c>
      <c r="I1788" t="s">
        <v>4728</v>
      </c>
      <c r="J1788" s="17">
        <f t="shared" si="54"/>
        <v>32846</v>
      </c>
      <c r="K1788">
        <f t="shared" ca="1" si="55"/>
        <v>35</v>
      </c>
    </row>
    <row r="1789" spans="1:11" ht="15.75" customHeight="1">
      <c r="A1789" t="s">
        <v>1105</v>
      </c>
      <c r="B1789">
        <v>1977</v>
      </c>
      <c r="C1789" t="s">
        <v>4717</v>
      </c>
      <c r="D1789">
        <v>17</v>
      </c>
      <c r="E1789">
        <v>0</v>
      </c>
      <c r="F1789" s="16">
        <v>17929.3</v>
      </c>
      <c r="G1789" t="s">
        <v>4698</v>
      </c>
      <c r="H1789" t="s">
        <v>4699</v>
      </c>
      <c r="I1789" t="s">
        <v>4709</v>
      </c>
      <c r="J1789" s="17">
        <f t="shared" si="54"/>
        <v>28415</v>
      </c>
      <c r="K1789">
        <f t="shared" ca="1" si="55"/>
        <v>48</v>
      </c>
    </row>
    <row r="1790" spans="1:11" ht="15.75" customHeight="1">
      <c r="A1790" t="s">
        <v>1103</v>
      </c>
      <c r="B1790">
        <v>2001</v>
      </c>
      <c r="C1790" t="s">
        <v>4712</v>
      </c>
      <c r="D1790">
        <v>28</v>
      </c>
      <c r="E1790">
        <v>4</v>
      </c>
      <c r="F1790" s="16">
        <v>17942.11</v>
      </c>
      <c r="G1790" t="s">
        <v>4698</v>
      </c>
      <c r="H1790" t="s">
        <v>4699</v>
      </c>
      <c r="I1790" t="s">
        <v>4718</v>
      </c>
      <c r="J1790" s="17">
        <f t="shared" si="54"/>
        <v>37162</v>
      </c>
      <c r="K1790">
        <f t="shared" ca="1" si="55"/>
        <v>24</v>
      </c>
    </row>
    <row r="1791" spans="1:11" ht="15.75" customHeight="1">
      <c r="A1791" t="s">
        <v>1101</v>
      </c>
      <c r="B1791">
        <v>1975</v>
      </c>
      <c r="C1791" t="s">
        <v>4711</v>
      </c>
      <c r="D1791">
        <v>27</v>
      </c>
      <c r="E1791">
        <v>1</v>
      </c>
      <c r="F1791" s="16">
        <v>18031.16</v>
      </c>
      <c r="G1791" t="s">
        <v>4698</v>
      </c>
      <c r="H1791" t="s">
        <v>4700</v>
      </c>
      <c r="I1791" t="s">
        <v>4725</v>
      </c>
      <c r="J1791" s="17">
        <f t="shared" si="54"/>
        <v>27572</v>
      </c>
      <c r="K1791">
        <f t="shared" ca="1" si="55"/>
        <v>50</v>
      </c>
    </row>
    <row r="1792" spans="1:11" ht="15.75" customHeight="1">
      <c r="A1792" t="s">
        <v>1099</v>
      </c>
      <c r="B1792">
        <v>1965</v>
      </c>
      <c r="C1792" t="s">
        <v>4717</v>
      </c>
      <c r="D1792">
        <v>17</v>
      </c>
      <c r="E1792">
        <v>0</v>
      </c>
      <c r="F1792" s="16">
        <v>18031.189999999999</v>
      </c>
      <c r="G1792" t="s">
        <v>4698</v>
      </c>
      <c r="H1792" t="s">
        <v>4699</v>
      </c>
      <c r="I1792" t="s">
        <v>4713</v>
      </c>
      <c r="J1792" s="17">
        <f t="shared" si="54"/>
        <v>24032</v>
      </c>
      <c r="K1792">
        <f t="shared" ca="1" si="55"/>
        <v>60</v>
      </c>
    </row>
    <row r="1793" spans="1:11" ht="15.75" customHeight="1">
      <c r="A1793" t="s">
        <v>1097</v>
      </c>
      <c r="B1793">
        <v>1999</v>
      </c>
      <c r="C1793" t="s">
        <v>4717</v>
      </c>
      <c r="D1793">
        <v>24</v>
      </c>
      <c r="E1793">
        <v>0</v>
      </c>
      <c r="F1793" s="16">
        <v>18033.97</v>
      </c>
      <c r="G1793" t="s">
        <v>4698</v>
      </c>
      <c r="H1793" t="s">
        <v>4698</v>
      </c>
      <c r="I1793" t="s">
        <v>4713</v>
      </c>
      <c r="J1793" s="17">
        <f t="shared" si="54"/>
        <v>36457</v>
      </c>
      <c r="K1793">
        <f t="shared" ca="1" si="55"/>
        <v>26</v>
      </c>
    </row>
    <row r="1794" spans="1:11" ht="15.75" customHeight="1">
      <c r="A1794" t="s">
        <v>1095</v>
      </c>
      <c r="B1794">
        <v>1993</v>
      </c>
      <c r="C1794" t="s">
        <v>4708</v>
      </c>
      <c r="D1794">
        <v>12</v>
      </c>
      <c r="E1794">
        <v>2</v>
      </c>
      <c r="F1794" s="16">
        <v>18157.88</v>
      </c>
      <c r="G1794" t="s">
        <v>4698</v>
      </c>
      <c r="H1794" t="s">
        <v>4698</v>
      </c>
      <c r="I1794" t="s">
        <v>4713</v>
      </c>
      <c r="J1794" s="17">
        <f t="shared" si="54"/>
        <v>34162</v>
      </c>
      <c r="K1794">
        <f t="shared" ca="1" si="55"/>
        <v>32</v>
      </c>
    </row>
    <row r="1795" spans="1:11" ht="15.75" customHeight="1">
      <c r="A1795" t="s">
        <v>1093</v>
      </c>
      <c r="B1795">
        <v>1963</v>
      </c>
      <c r="C1795" t="s">
        <v>4708</v>
      </c>
      <c r="D1795">
        <v>4</v>
      </c>
      <c r="E1795">
        <v>0</v>
      </c>
      <c r="F1795" s="16">
        <v>18208.34</v>
      </c>
      <c r="G1795" t="s">
        <v>4698</v>
      </c>
      <c r="H1795" t="s">
        <v>4699</v>
      </c>
      <c r="I1795" t="s">
        <v>4730</v>
      </c>
      <c r="J1795" s="17">
        <f t="shared" ref="J1795:J1858" si="56">DATEVALUE(D1795&amp;"-"&amp;C1795&amp;" -"&amp;B1795)</f>
        <v>23196</v>
      </c>
      <c r="K1795">
        <f t="shared" ref="K1795:K1858" ca="1" si="57">DATEDIF(J1795,TODAY(),"Y")</f>
        <v>62</v>
      </c>
    </row>
    <row r="1796" spans="1:11" ht="15.75" customHeight="1">
      <c r="A1796" t="s">
        <v>1091</v>
      </c>
      <c r="B1796">
        <v>1997</v>
      </c>
      <c r="C1796" t="s">
        <v>4711</v>
      </c>
      <c r="D1796">
        <v>15</v>
      </c>
      <c r="E1796">
        <v>1</v>
      </c>
      <c r="F1796" s="16">
        <v>18218.16</v>
      </c>
      <c r="G1796" t="s">
        <v>4698</v>
      </c>
      <c r="H1796" t="s">
        <v>4698</v>
      </c>
      <c r="I1796" t="s">
        <v>4709</v>
      </c>
      <c r="J1796" s="17">
        <f t="shared" si="56"/>
        <v>35596</v>
      </c>
      <c r="K1796">
        <f t="shared" ca="1" si="57"/>
        <v>28</v>
      </c>
    </row>
    <row r="1797" spans="1:11" ht="15.75" customHeight="1">
      <c r="A1797" t="s">
        <v>1089</v>
      </c>
      <c r="B1797">
        <v>2004</v>
      </c>
      <c r="C1797" t="s">
        <v>4712</v>
      </c>
      <c r="D1797">
        <v>10</v>
      </c>
      <c r="E1797">
        <v>3</v>
      </c>
      <c r="F1797" s="16">
        <v>18223.45</v>
      </c>
      <c r="G1797" t="s">
        <v>4698</v>
      </c>
      <c r="H1797" t="s">
        <v>4700</v>
      </c>
      <c r="I1797" t="s">
        <v>4709</v>
      </c>
      <c r="J1797" s="17">
        <f t="shared" si="56"/>
        <v>38240</v>
      </c>
      <c r="K1797">
        <f t="shared" ca="1" si="57"/>
        <v>21</v>
      </c>
    </row>
    <row r="1798" spans="1:11" ht="15.75" customHeight="1">
      <c r="A1798" t="s">
        <v>1087</v>
      </c>
      <c r="B1798">
        <v>1995</v>
      </c>
      <c r="C1798" t="s">
        <v>4716</v>
      </c>
      <c r="D1798">
        <v>3</v>
      </c>
      <c r="E1798">
        <v>0</v>
      </c>
      <c r="F1798" s="16">
        <v>18246.5</v>
      </c>
      <c r="G1798" t="s">
        <v>4698</v>
      </c>
      <c r="H1798" t="s">
        <v>4698</v>
      </c>
      <c r="I1798" t="s">
        <v>4709</v>
      </c>
      <c r="J1798" s="17">
        <f t="shared" si="56"/>
        <v>34914</v>
      </c>
      <c r="K1798">
        <f t="shared" ca="1" si="57"/>
        <v>30</v>
      </c>
    </row>
    <row r="1799" spans="1:11" ht="15.75" customHeight="1">
      <c r="A1799" t="s">
        <v>1085</v>
      </c>
      <c r="B1799">
        <v>1992</v>
      </c>
      <c r="C1799" t="s">
        <v>4714</v>
      </c>
      <c r="D1799">
        <v>25</v>
      </c>
      <c r="E1799">
        <v>3</v>
      </c>
      <c r="F1799" s="16">
        <v>18259.22</v>
      </c>
      <c r="G1799" t="s">
        <v>4698</v>
      </c>
      <c r="H1799" t="s">
        <v>4700</v>
      </c>
      <c r="I1799" t="s">
        <v>4718</v>
      </c>
      <c r="J1799" s="17">
        <f t="shared" si="56"/>
        <v>33963</v>
      </c>
      <c r="K1799">
        <f t="shared" ca="1" si="57"/>
        <v>32</v>
      </c>
    </row>
    <row r="1800" spans="1:11" ht="15.75" customHeight="1">
      <c r="A1800" t="s">
        <v>1083</v>
      </c>
      <c r="B1800">
        <v>1995</v>
      </c>
      <c r="C1800" t="s">
        <v>4708</v>
      </c>
      <c r="D1800">
        <v>4</v>
      </c>
      <c r="E1800">
        <v>0</v>
      </c>
      <c r="F1800" s="16">
        <v>18310.740000000002</v>
      </c>
      <c r="G1800" t="s">
        <v>4698</v>
      </c>
      <c r="H1800" t="s">
        <v>4700</v>
      </c>
      <c r="I1800" t="s">
        <v>4713</v>
      </c>
      <c r="J1800" s="17">
        <f t="shared" si="56"/>
        <v>34884</v>
      </c>
      <c r="K1800">
        <f t="shared" ca="1" si="57"/>
        <v>30</v>
      </c>
    </row>
    <row r="1801" spans="1:11" ht="15.75" customHeight="1">
      <c r="A1801" t="s">
        <v>1081</v>
      </c>
      <c r="B1801">
        <v>1999</v>
      </c>
      <c r="C1801" t="s">
        <v>4714</v>
      </c>
      <c r="D1801">
        <v>15</v>
      </c>
      <c r="E1801">
        <v>1</v>
      </c>
      <c r="F1801" s="16">
        <v>18328.240000000002</v>
      </c>
      <c r="G1801" t="s">
        <v>4698</v>
      </c>
      <c r="H1801" t="s">
        <v>4699</v>
      </c>
      <c r="I1801" t="s">
        <v>4709</v>
      </c>
      <c r="J1801" s="17">
        <f t="shared" si="56"/>
        <v>36509</v>
      </c>
      <c r="K1801">
        <f t="shared" ca="1" si="57"/>
        <v>25</v>
      </c>
    </row>
    <row r="1802" spans="1:11" ht="15.75" customHeight="1">
      <c r="A1802" t="s">
        <v>1079</v>
      </c>
      <c r="B1802">
        <v>1964</v>
      </c>
      <c r="C1802" t="s">
        <v>4712</v>
      </c>
      <c r="D1802">
        <v>26</v>
      </c>
      <c r="E1802">
        <v>0</v>
      </c>
      <c r="F1802" s="16">
        <v>18443.11</v>
      </c>
      <c r="G1802" t="s">
        <v>4698</v>
      </c>
      <c r="H1802" t="s">
        <v>4699</v>
      </c>
      <c r="I1802" t="s">
        <v>4713</v>
      </c>
      <c r="J1802" s="17">
        <f t="shared" si="56"/>
        <v>23646</v>
      </c>
      <c r="K1802">
        <f t="shared" ca="1" si="57"/>
        <v>61</v>
      </c>
    </row>
    <row r="1803" spans="1:11" ht="15.75" customHeight="1">
      <c r="A1803" t="s">
        <v>1077</v>
      </c>
      <c r="B1803">
        <v>1986</v>
      </c>
      <c r="C1803" t="s">
        <v>4716</v>
      </c>
      <c r="D1803">
        <v>12</v>
      </c>
      <c r="E1803">
        <v>2</v>
      </c>
      <c r="F1803" s="16">
        <v>18608.259999999998</v>
      </c>
      <c r="G1803" t="s">
        <v>4698</v>
      </c>
      <c r="H1803" t="s">
        <v>4700</v>
      </c>
      <c r="I1803" t="s">
        <v>4718</v>
      </c>
      <c r="J1803" s="17">
        <f t="shared" si="56"/>
        <v>31636</v>
      </c>
      <c r="K1803">
        <f t="shared" ca="1" si="57"/>
        <v>39</v>
      </c>
    </row>
    <row r="1804" spans="1:11" ht="15.75" customHeight="1">
      <c r="A1804" t="s">
        <v>1075</v>
      </c>
      <c r="B1804">
        <v>1998</v>
      </c>
      <c r="C1804" t="s">
        <v>4712</v>
      </c>
      <c r="D1804">
        <v>23</v>
      </c>
      <c r="E1804">
        <v>0</v>
      </c>
      <c r="F1804" s="16">
        <v>18648.419999999998</v>
      </c>
      <c r="G1804" t="s">
        <v>4698</v>
      </c>
      <c r="H1804" t="s">
        <v>4698</v>
      </c>
      <c r="I1804" t="s">
        <v>4720</v>
      </c>
      <c r="J1804" s="17">
        <f t="shared" si="56"/>
        <v>36061</v>
      </c>
      <c r="K1804">
        <f t="shared" ca="1" si="57"/>
        <v>27</v>
      </c>
    </row>
    <row r="1805" spans="1:11" ht="15.75" customHeight="1">
      <c r="A1805" t="s">
        <v>1073</v>
      </c>
      <c r="B1805">
        <v>1970</v>
      </c>
      <c r="C1805" t="s">
        <v>4717</v>
      </c>
      <c r="D1805">
        <v>17</v>
      </c>
      <c r="E1805">
        <v>0</v>
      </c>
      <c r="F1805" s="16">
        <v>18682.740000000002</v>
      </c>
      <c r="G1805" t="s">
        <v>4698</v>
      </c>
      <c r="H1805" t="s">
        <v>4700</v>
      </c>
      <c r="I1805" t="s">
        <v>4713</v>
      </c>
      <c r="J1805" s="17">
        <f t="shared" si="56"/>
        <v>25858</v>
      </c>
      <c r="K1805">
        <f t="shared" ca="1" si="57"/>
        <v>55</v>
      </c>
    </row>
    <row r="1806" spans="1:11" ht="15.75" customHeight="1">
      <c r="A1806" t="s">
        <v>1071</v>
      </c>
      <c r="B1806">
        <v>1967</v>
      </c>
      <c r="C1806" t="s">
        <v>4716</v>
      </c>
      <c r="D1806">
        <v>30</v>
      </c>
      <c r="E1806">
        <v>0</v>
      </c>
      <c r="F1806" s="16">
        <v>18694.689999999999</v>
      </c>
      <c r="G1806" t="s">
        <v>4698</v>
      </c>
      <c r="H1806" t="s">
        <v>4698</v>
      </c>
      <c r="I1806" t="s">
        <v>4725</v>
      </c>
      <c r="J1806" s="17">
        <f t="shared" si="56"/>
        <v>24714</v>
      </c>
      <c r="K1806">
        <f t="shared" ca="1" si="57"/>
        <v>58</v>
      </c>
    </row>
    <row r="1807" spans="1:11" ht="15.75" customHeight="1">
      <c r="A1807" t="s">
        <v>1069</v>
      </c>
      <c r="B1807">
        <v>1992</v>
      </c>
      <c r="C1807" t="s">
        <v>4714</v>
      </c>
      <c r="D1807">
        <v>27</v>
      </c>
      <c r="E1807">
        <v>3</v>
      </c>
      <c r="F1807" s="16">
        <v>18765.88</v>
      </c>
      <c r="G1807" t="s">
        <v>4698</v>
      </c>
      <c r="H1807" t="s">
        <v>4699</v>
      </c>
      <c r="I1807" t="s">
        <v>4713</v>
      </c>
      <c r="J1807" s="17">
        <f t="shared" si="56"/>
        <v>33965</v>
      </c>
      <c r="K1807">
        <f t="shared" ca="1" si="57"/>
        <v>32</v>
      </c>
    </row>
    <row r="1808" spans="1:11" ht="15.75" customHeight="1">
      <c r="A1808" t="s">
        <v>1067</v>
      </c>
      <c r="B1808">
        <v>1979</v>
      </c>
      <c r="C1808" t="s">
        <v>4710</v>
      </c>
      <c r="D1808">
        <v>19</v>
      </c>
      <c r="E1808">
        <v>2</v>
      </c>
      <c r="F1808" s="16">
        <v>18767.740000000002</v>
      </c>
      <c r="G1808" t="s">
        <v>4698</v>
      </c>
      <c r="H1808" t="s">
        <v>4698</v>
      </c>
      <c r="I1808" t="s">
        <v>4709</v>
      </c>
      <c r="J1808" s="17">
        <f t="shared" si="56"/>
        <v>29178</v>
      </c>
      <c r="K1808">
        <f t="shared" ca="1" si="57"/>
        <v>46</v>
      </c>
    </row>
    <row r="1809" spans="1:11" ht="15.75" customHeight="1">
      <c r="A1809" t="s">
        <v>1065</v>
      </c>
      <c r="B1809">
        <v>1995</v>
      </c>
      <c r="C1809" t="s">
        <v>4710</v>
      </c>
      <c r="D1809">
        <v>28</v>
      </c>
      <c r="E1809">
        <v>3</v>
      </c>
      <c r="F1809" s="16">
        <v>18804.75</v>
      </c>
      <c r="G1809" t="s">
        <v>4698</v>
      </c>
      <c r="H1809" t="s">
        <v>4698</v>
      </c>
      <c r="I1809" t="s">
        <v>4713</v>
      </c>
      <c r="J1809" s="17">
        <f t="shared" si="56"/>
        <v>35031</v>
      </c>
      <c r="K1809">
        <f t="shared" ca="1" si="57"/>
        <v>29</v>
      </c>
    </row>
    <row r="1810" spans="1:11" ht="15.75" customHeight="1">
      <c r="A1810" t="s">
        <v>1063</v>
      </c>
      <c r="B1810">
        <v>1979</v>
      </c>
      <c r="C1810" t="s">
        <v>4717</v>
      </c>
      <c r="D1810">
        <v>15</v>
      </c>
      <c r="E1810">
        <v>2</v>
      </c>
      <c r="F1810" s="16">
        <v>18806.150000000001</v>
      </c>
      <c r="G1810" t="s">
        <v>4698</v>
      </c>
      <c r="H1810" t="s">
        <v>4699</v>
      </c>
      <c r="I1810" t="s">
        <v>4709</v>
      </c>
      <c r="J1810" s="17">
        <f t="shared" si="56"/>
        <v>29143</v>
      </c>
      <c r="K1810">
        <f t="shared" ca="1" si="57"/>
        <v>46</v>
      </c>
    </row>
    <row r="1811" spans="1:11" ht="15.75" customHeight="1">
      <c r="A1811" t="s">
        <v>1061</v>
      </c>
      <c r="B1811">
        <v>1962</v>
      </c>
      <c r="C1811" t="s">
        <v>4714</v>
      </c>
      <c r="D1811">
        <v>18</v>
      </c>
      <c r="E1811">
        <v>0</v>
      </c>
      <c r="F1811" s="16">
        <v>18815.53</v>
      </c>
      <c r="G1811" t="s">
        <v>4698</v>
      </c>
      <c r="H1811" t="s">
        <v>4698</v>
      </c>
      <c r="I1811" t="s">
        <v>4725</v>
      </c>
      <c r="J1811" s="17">
        <f t="shared" si="56"/>
        <v>22998</v>
      </c>
      <c r="K1811">
        <f t="shared" ca="1" si="57"/>
        <v>62</v>
      </c>
    </row>
    <row r="1812" spans="1:11" ht="15.75" customHeight="1">
      <c r="A1812" t="s">
        <v>1059</v>
      </c>
      <c r="B1812">
        <v>2003</v>
      </c>
      <c r="C1812" t="s">
        <v>4708</v>
      </c>
      <c r="D1812">
        <v>24</v>
      </c>
      <c r="E1812">
        <v>3</v>
      </c>
      <c r="F1812" s="16">
        <v>18838.7</v>
      </c>
      <c r="G1812" t="s">
        <v>4698</v>
      </c>
      <c r="H1812" t="s">
        <v>4700</v>
      </c>
      <c r="I1812" t="s">
        <v>4713</v>
      </c>
      <c r="J1812" s="17">
        <f t="shared" si="56"/>
        <v>37826</v>
      </c>
      <c r="K1812">
        <f t="shared" ca="1" si="57"/>
        <v>22</v>
      </c>
    </row>
    <row r="1813" spans="1:11" ht="15.75" customHeight="1">
      <c r="A1813" t="s">
        <v>1057</v>
      </c>
      <c r="B1813">
        <v>1963</v>
      </c>
      <c r="C1813" t="s">
        <v>4714</v>
      </c>
      <c r="D1813">
        <v>6</v>
      </c>
      <c r="E1813">
        <v>0</v>
      </c>
      <c r="F1813" s="16">
        <v>18883.330000000002</v>
      </c>
      <c r="G1813" t="s">
        <v>4698</v>
      </c>
      <c r="H1813" t="s">
        <v>4698</v>
      </c>
      <c r="I1813" t="s">
        <v>4730</v>
      </c>
      <c r="J1813" s="17">
        <f t="shared" si="56"/>
        <v>23351</v>
      </c>
      <c r="K1813">
        <f t="shared" ca="1" si="57"/>
        <v>61</v>
      </c>
    </row>
    <row r="1814" spans="1:11" ht="15.75" customHeight="1">
      <c r="A1814" t="s">
        <v>1055</v>
      </c>
      <c r="B1814">
        <v>1995</v>
      </c>
      <c r="C1814" t="s">
        <v>4712</v>
      </c>
      <c r="D1814">
        <v>27</v>
      </c>
      <c r="E1814">
        <v>1</v>
      </c>
      <c r="F1814" s="16">
        <v>18903.490000000002</v>
      </c>
      <c r="G1814" t="s">
        <v>4698</v>
      </c>
      <c r="H1814" t="s">
        <v>4699</v>
      </c>
      <c r="I1814" t="s">
        <v>4724</v>
      </c>
      <c r="J1814" s="17">
        <f t="shared" si="56"/>
        <v>34969</v>
      </c>
      <c r="K1814">
        <f t="shared" ca="1" si="57"/>
        <v>30</v>
      </c>
    </row>
    <row r="1815" spans="1:11" ht="15.75" customHeight="1">
      <c r="A1815" t="s">
        <v>1053</v>
      </c>
      <c r="B1815">
        <v>1969</v>
      </c>
      <c r="C1815" t="s">
        <v>4716</v>
      </c>
      <c r="D1815">
        <v>3</v>
      </c>
      <c r="E1815">
        <v>0</v>
      </c>
      <c r="F1815" s="16">
        <v>18932.810000000001</v>
      </c>
      <c r="G1815" t="s">
        <v>4698</v>
      </c>
      <c r="H1815" t="s">
        <v>4700</v>
      </c>
      <c r="I1815" t="s">
        <v>4713</v>
      </c>
      <c r="J1815" s="17">
        <f t="shared" si="56"/>
        <v>25418</v>
      </c>
      <c r="K1815">
        <f t="shared" ca="1" si="57"/>
        <v>56</v>
      </c>
    </row>
    <row r="1816" spans="1:11" ht="15.75" customHeight="1">
      <c r="A1816" t="s">
        <v>1051</v>
      </c>
      <c r="B1816">
        <v>1963</v>
      </c>
      <c r="C1816" t="s">
        <v>4717</v>
      </c>
      <c r="D1816">
        <v>20</v>
      </c>
      <c r="E1816">
        <v>0</v>
      </c>
      <c r="F1816" s="16">
        <v>18954.560000000001</v>
      </c>
      <c r="G1816" t="s">
        <v>4698</v>
      </c>
      <c r="H1816" t="s">
        <v>4698</v>
      </c>
      <c r="I1816" t="s">
        <v>4730</v>
      </c>
      <c r="J1816" s="17">
        <f t="shared" si="56"/>
        <v>23304</v>
      </c>
      <c r="K1816">
        <f t="shared" ca="1" si="57"/>
        <v>62</v>
      </c>
    </row>
    <row r="1817" spans="1:11" ht="15.75" customHeight="1">
      <c r="A1817" t="s">
        <v>1049</v>
      </c>
      <c r="B1817">
        <v>1998</v>
      </c>
      <c r="C1817" t="s">
        <v>4716</v>
      </c>
      <c r="D1817">
        <v>6</v>
      </c>
      <c r="E1817">
        <v>0</v>
      </c>
      <c r="F1817" s="16">
        <v>18955.22</v>
      </c>
      <c r="G1817" t="s">
        <v>4698</v>
      </c>
      <c r="H1817" t="s">
        <v>4700</v>
      </c>
      <c r="I1817" t="s">
        <v>4718</v>
      </c>
      <c r="J1817" s="17">
        <f t="shared" si="56"/>
        <v>36013</v>
      </c>
      <c r="K1817">
        <f t="shared" ca="1" si="57"/>
        <v>27</v>
      </c>
    </row>
    <row r="1818" spans="1:11" ht="15.75" customHeight="1">
      <c r="A1818" t="s">
        <v>1047</v>
      </c>
      <c r="B1818">
        <v>1992</v>
      </c>
      <c r="C1818" t="s">
        <v>4710</v>
      </c>
      <c r="D1818">
        <v>30</v>
      </c>
      <c r="E1818">
        <v>1</v>
      </c>
      <c r="F1818" s="16">
        <v>18963.169999999998</v>
      </c>
      <c r="G1818" t="s">
        <v>4698</v>
      </c>
      <c r="H1818" t="s">
        <v>4698</v>
      </c>
      <c r="I1818" t="s">
        <v>4709</v>
      </c>
      <c r="J1818" s="17">
        <f t="shared" si="56"/>
        <v>33938</v>
      </c>
      <c r="K1818">
        <f t="shared" ca="1" si="57"/>
        <v>32</v>
      </c>
    </row>
    <row r="1819" spans="1:11" ht="15.75" customHeight="1">
      <c r="A1819" t="s">
        <v>1045</v>
      </c>
      <c r="B1819">
        <v>1988</v>
      </c>
      <c r="C1819" t="s">
        <v>4717</v>
      </c>
      <c r="D1819">
        <v>24</v>
      </c>
      <c r="E1819">
        <v>2</v>
      </c>
      <c r="F1819" s="16">
        <v>18972.5</v>
      </c>
      <c r="G1819" t="s">
        <v>4698</v>
      </c>
      <c r="H1819" t="s">
        <v>4700</v>
      </c>
      <c r="I1819" t="s">
        <v>4709</v>
      </c>
      <c r="J1819" s="17">
        <f t="shared" si="56"/>
        <v>32440</v>
      </c>
      <c r="K1819">
        <f t="shared" ca="1" si="57"/>
        <v>37</v>
      </c>
    </row>
    <row r="1820" spans="1:11" ht="15.75" customHeight="1">
      <c r="A1820" t="s">
        <v>1043</v>
      </c>
      <c r="B1820">
        <v>1983</v>
      </c>
      <c r="C1820" t="s">
        <v>4714</v>
      </c>
      <c r="D1820">
        <v>19</v>
      </c>
      <c r="E1820">
        <v>5</v>
      </c>
      <c r="F1820" s="16">
        <v>19023.259999999998</v>
      </c>
      <c r="G1820" t="s">
        <v>4698</v>
      </c>
      <c r="H1820" t="s">
        <v>4700</v>
      </c>
      <c r="I1820" t="s">
        <v>4718</v>
      </c>
      <c r="J1820" s="17">
        <f t="shared" si="56"/>
        <v>30669</v>
      </c>
      <c r="K1820">
        <f t="shared" ca="1" si="57"/>
        <v>41</v>
      </c>
    </row>
    <row r="1821" spans="1:11" ht="15.75" customHeight="1">
      <c r="A1821" t="s">
        <v>1041</v>
      </c>
      <c r="B1821">
        <v>1989</v>
      </c>
      <c r="C1821" t="s">
        <v>4711</v>
      </c>
      <c r="D1821">
        <v>5</v>
      </c>
      <c r="E1821">
        <v>1</v>
      </c>
      <c r="F1821" s="16">
        <v>19040.88</v>
      </c>
      <c r="G1821" t="s">
        <v>4698</v>
      </c>
      <c r="H1821" t="s">
        <v>4700</v>
      </c>
      <c r="I1821" t="s">
        <v>4718</v>
      </c>
      <c r="J1821" s="17">
        <f t="shared" si="56"/>
        <v>32664</v>
      </c>
      <c r="K1821">
        <f t="shared" ca="1" si="57"/>
        <v>36</v>
      </c>
    </row>
    <row r="1822" spans="1:11" ht="15.75" customHeight="1">
      <c r="A1822" t="s">
        <v>1039</v>
      </c>
      <c r="B1822">
        <v>1993</v>
      </c>
      <c r="C1822" t="s">
        <v>4712</v>
      </c>
      <c r="D1822">
        <v>28</v>
      </c>
      <c r="E1822">
        <v>1</v>
      </c>
      <c r="F1822" s="16">
        <v>19107.78</v>
      </c>
      <c r="G1822" t="s">
        <v>4698</v>
      </c>
      <c r="H1822" t="s">
        <v>4699</v>
      </c>
      <c r="I1822" t="s">
        <v>4709</v>
      </c>
      <c r="J1822" s="17">
        <f t="shared" si="56"/>
        <v>34240</v>
      </c>
      <c r="K1822">
        <f t="shared" ca="1" si="57"/>
        <v>32</v>
      </c>
    </row>
    <row r="1823" spans="1:11" ht="15.75" customHeight="1">
      <c r="A1823" t="s">
        <v>1037</v>
      </c>
      <c r="B1823">
        <v>1979</v>
      </c>
      <c r="C1823" t="s">
        <v>4708</v>
      </c>
      <c r="D1823">
        <v>2</v>
      </c>
      <c r="E1823">
        <v>2</v>
      </c>
      <c r="F1823" s="16">
        <v>19144.580000000002</v>
      </c>
      <c r="G1823" t="s">
        <v>4698</v>
      </c>
      <c r="H1823" t="s">
        <v>4698</v>
      </c>
      <c r="I1823" t="s">
        <v>4724</v>
      </c>
      <c r="J1823" s="17">
        <f t="shared" si="56"/>
        <v>29038</v>
      </c>
      <c r="K1823">
        <f t="shared" ca="1" si="57"/>
        <v>46</v>
      </c>
    </row>
    <row r="1824" spans="1:11" ht="15.75" customHeight="1">
      <c r="A1824" t="s">
        <v>1035</v>
      </c>
      <c r="B1824">
        <v>1991</v>
      </c>
      <c r="C1824" t="s">
        <v>4712</v>
      </c>
      <c r="D1824">
        <v>16</v>
      </c>
      <c r="E1824">
        <v>3</v>
      </c>
      <c r="F1824" s="16">
        <v>19199.939999999999</v>
      </c>
      <c r="G1824" t="s">
        <v>4698</v>
      </c>
      <c r="H1824" t="s">
        <v>4700</v>
      </c>
      <c r="I1824" t="s">
        <v>4718</v>
      </c>
      <c r="J1824" s="17">
        <f t="shared" si="56"/>
        <v>33497</v>
      </c>
      <c r="K1824">
        <f t="shared" ca="1" si="57"/>
        <v>34</v>
      </c>
    </row>
    <row r="1825" spans="1:11" ht="15.75" customHeight="1">
      <c r="A1825" t="s">
        <v>1033</v>
      </c>
      <c r="B1825">
        <v>1985</v>
      </c>
      <c r="C1825" t="s">
        <v>4714</v>
      </c>
      <c r="D1825">
        <v>28</v>
      </c>
      <c r="E1825">
        <v>0</v>
      </c>
      <c r="F1825" s="16">
        <v>19214.71</v>
      </c>
      <c r="G1825" t="s">
        <v>4698</v>
      </c>
      <c r="H1825" t="s">
        <v>4700</v>
      </c>
      <c r="I1825" t="s">
        <v>4709</v>
      </c>
      <c r="J1825" s="17">
        <f t="shared" si="56"/>
        <v>31409</v>
      </c>
      <c r="K1825">
        <f t="shared" ca="1" si="57"/>
        <v>39</v>
      </c>
    </row>
    <row r="1826" spans="1:11" ht="15.75" customHeight="1">
      <c r="A1826" t="s">
        <v>1031</v>
      </c>
      <c r="B1826">
        <v>1967</v>
      </c>
      <c r="C1826" t="s">
        <v>4708</v>
      </c>
      <c r="D1826">
        <v>29</v>
      </c>
      <c r="E1826">
        <v>0</v>
      </c>
      <c r="F1826" s="16">
        <v>19259.96</v>
      </c>
      <c r="G1826" t="s">
        <v>4698</v>
      </c>
      <c r="H1826" t="s">
        <v>4698</v>
      </c>
      <c r="I1826" t="s">
        <v>4713</v>
      </c>
      <c r="J1826" s="17">
        <f t="shared" si="56"/>
        <v>24682</v>
      </c>
      <c r="K1826">
        <f t="shared" ca="1" si="57"/>
        <v>58</v>
      </c>
    </row>
    <row r="1827" spans="1:11" ht="15.75" customHeight="1">
      <c r="A1827" t="s">
        <v>1029</v>
      </c>
      <c r="B1827">
        <v>1966</v>
      </c>
      <c r="C1827" t="s">
        <v>4710</v>
      </c>
      <c r="D1827">
        <v>15</v>
      </c>
      <c r="E1827">
        <v>0</v>
      </c>
      <c r="F1827" s="16">
        <v>19321.060000000001</v>
      </c>
      <c r="G1827" t="s">
        <v>4698</v>
      </c>
      <c r="H1827" t="s">
        <v>4698</v>
      </c>
      <c r="I1827" t="s">
        <v>4713</v>
      </c>
      <c r="J1827" s="17">
        <f t="shared" si="56"/>
        <v>24426</v>
      </c>
      <c r="K1827">
        <f t="shared" ca="1" si="57"/>
        <v>59</v>
      </c>
    </row>
    <row r="1828" spans="1:11" ht="15.75" customHeight="1">
      <c r="A1828" t="s">
        <v>1027</v>
      </c>
      <c r="B1828">
        <v>1991</v>
      </c>
      <c r="C1828" t="s">
        <v>4716</v>
      </c>
      <c r="D1828">
        <v>24</v>
      </c>
      <c r="E1828">
        <v>0</v>
      </c>
      <c r="F1828" s="16">
        <v>19350.37</v>
      </c>
      <c r="G1828" t="s">
        <v>4698</v>
      </c>
      <c r="H1828" t="s">
        <v>4700</v>
      </c>
      <c r="I1828" t="s">
        <v>4709</v>
      </c>
      <c r="J1828" s="17">
        <f t="shared" si="56"/>
        <v>33474</v>
      </c>
      <c r="K1828">
        <f t="shared" ca="1" si="57"/>
        <v>34</v>
      </c>
    </row>
    <row r="1829" spans="1:11" ht="15.75" customHeight="1">
      <c r="A1829" t="s">
        <v>1025</v>
      </c>
      <c r="B1829">
        <v>1987</v>
      </c>
      <c r="C1829" t="s">
        <v>4711</v>
      </c>
      <c r="D1829">
        <v>30</v>
      </c>
      <c r="E1829">
        <v>3</v>
      </c>
      <c r="F1829" s="16">
        <v>19362</v>
      </c>
      <c r="G1829" t="s">
        <v>4698</v>
      </c>
      <c r="H1829" t="s">
        <v>4700</v>
      </c>
      <c r="I1829" t="s">
        <v>4709</v>
      </c>
      <c r="J1829" s="17">
        <f t="shared" si="56"/>
        <v>31958</v>
      </c>
      <c r="K1829">
        <f t="shared" ca="1" si="57"/>
        <v>38</v>
      </c>
    </row>
    <row r="1830" spans="1:11" ht="15.75" customHeight="1">
      <c r="A1830" t="s">
        <v>1023</v>
      </c>
      <c r="B1830">
        <v>1993</v>
      </c>
      <c r="C1830" t="s">
        <v>4712</v>
      </c>
      <c r="D1830">
        <v>6</v>
      </c>
      <c r="E1830">
        <v>2</v>
      </c>
      <c r="F1830" s="16">
        <v>19442.349999999999</v>
      </c>
      <c r="G1830" t="s">
        <v>4698</v>
      </c>
      <c r="H1830" t="s">
        <v>4700</v>
      </c>
      <c r="I1830" t="s">
        <v>4713</v>
      </c>
      <c r="J1830" s="17">
        <f t="shared" si="56"/>
        <v>34218</v>
      </c>
      <c r="K1830">
        <f t="shared" ca="1" si="57"/>
        <v>32</v>
      </c>
    </row>
    <row r="1831" spans="1:11" ht="15.75" customHeight="1">
      <c r="A1831" t="s">
        <v>1021</v>
      </c>
      <c r="B1831">
        <v>1982</v>
      </c>
      <c r="C1831" t="s">
        <v>4714</v>
      </c>
      <c r="D1831">
        <v>15</v>
      </c>
      <c r="E1831">
        <v>2</v>
      </c>
      <c r="F1831" s="16">
        <v>19444.27</v>
      </c>
      <c r="G1831" t="s">
        <v>4698</v>
      </c>
      <c r="H1831" t="s">
        <v>4698</v>
      </c>
      <c r="I1831" t="s">
        <v>4709</v>
      </c>
      <c r="J1831" s="17">
        <f t="shared" si="56"/>
        <v>30300</v>
      </c>
      <c r="K1831">
        <f t="shared" ca="1" si="57"/>
        <v>42</v>
      </c>
    </row>
    <row r="1832" spans="1:11" ht="15.75" customHeight="1">
      <c r="A1832" t="s">
        <v>1019</v>
      </c>
      <c r="B1832">
        <v>1987</v>
      </c>
      <c r="C1832" t="s">
        <v>4710</v>
      </c>
      <c r="D1832">
        <v>30</v>
      </c>
      <c r="E1832">
        <v>4</v>
      </c>
      <c r="F1832" s="16">
        <v>19496.72</v>
      </c>
      <c r="G1832" t="s">
        <v>4698</v>
      </c>
      <c r="H1832" t="s">
        <v>4700</v>
      </c>
      <c r="I1832" t="s">
        <v>4720</v>
      </c>
      <c r="J1832" s="17">
        <f t="shared" si="56"/>
        <v>32111</v>
      </c>
      <c r="K1832">
        <f t="shared" ca="1" si="57"/>
        <v>37</v>
      </c>
    </row>
    <row r="1833" spans="1:11" ht="15.75" customHeight="1">
      <c r="A1833" t="s">
        <v>1017</v>
      </c>
      <c r="B1833">
        <v>1980</v>
      </c>
      <c r="C1833" t="s">
        <v>4710</v>
      </c>
      <c r="D1833">
        <v>8</v>
      </c>
      <c r="E1833">
        <v>0</v>
      </c>
      <c r="F1833" s="16">
        <v>19515.54</v>
      </c>
      <c r="G1833" t="s">
        <v>4698</v>
      </c>
      <c r="H1833" t="s">
        <v>4698</v>
      </c>
      <c r="I1833" t="s">
        <v>4709</v>
      </c>
      <c r="J1833" s="17">
        <f t="shared" si="56"/>
        <v>29533</v>
      </c>
      <c r="K1833">
        <f t="shared" ca="1" si="57"/>
        <v>45</v>
      </c>
    </row>
    <row r="1834" spans="1:11" ht="15.75" customHeight="1">
      <c r="A1834" t="s">
        <v>1015</v>
      </c>
      <c r="B1834">
        <v>1992</v>
      </c>
      <c r="C1834" t="s">
        <v>4716</v>
      </c>
      <c r="D1834">
        <v>19</v>
      </c>
      <c r="E1834">
        <v>1</v>
      </c>
      <c r="F1834" s="16">
        <v>19521.97</v>
      </c>
      <c r="G1834" t="s">
        <v>4698</v>
      </c>
      <c r="H1834" t="s">
        <v>4699</v>
      </c>
      <c r="I1834" t="s">
        <v>4709</v>
      </c>
      <c r="J1834" s="17">
        <f t="shared" si="56"/>
        <v>33835</v>
      </c>
      <c r="K1834">
        <f t="shared" ca="1" si="57"/>
        <v>33</v>
      </c>
    </row>
    <row r="1835" spans="1:11" ht="15.75" customHeight="1">
      <c r="A1835" t="s">
        <v>1013</v>
      </c>
      <c r="B1835">
        <v>1985</v>
      </c>
      <c r="C1835" t="s">
        <v>4712</v>
      </c>
      <c r="D1835">
        <v>17</v>
      </c>
      <c r="E1835">
        <v>0</v>
      </c>
      <c r="F1835" s="16">
        <v>19539.240000000002</v>
      </c>
      <c r="G1835" t="s">
        <v>4698</v>
      </c>
      <c r="H1835" t="s">
        <v>4698</v>
      </c>
      <c r="I1835" t="s">
        <v>4709</v>
      </c>
      <c r="J1835" s="17">
        <f t="shared" si="56"/>
        <v>31307</v>
      </c>
      <c r="K1835">
        <f t="shared" ca="1" si="57"/>
        <v>40</v>
      </c>
    </row>
    <row r="1836" spans="1:11" ht="15.75" customHeight="1">
      <c r="A1836" t="s">
        <v>1011</v>
      </c>
      <c r="B1836">
        <v>1963</v>
      </c>
      <c r="C1836" t="s">
        <v>4708</v>
      </c>
      <c r="D1836">
        <v>14</v>
      </c>
      <c r="E1836">
        <v>0</v>
      </c>
      <c r="F1836" s="16">
        <v>19551.34</v>
      </c>
      <c r="G1836" t="s">
        <v>4698</v>
      </c>
      <c r="H1836" t="s">
        <v>4700</v>
      </c>
      <c r="I1836" t="s">
        <v>4713</v>
      </c>
      <c r="J1836" s="17">
        <f t="shared" si="56"/>
        <v>23206</v>
      </c>
      <c r="K1836">
        <f t="shared" ca="1" si="57"/>
        <v>62</v>
      </c>
    </row>
    <row r="1837" spans="1:11" ht="15.75" customHeight="1">
      <c r="A1837" t="s">
        <v>1009</v>
      </c>
      <c r="B1837">
        <v>1978</v>
      </c>
      <c r="C1837" t="s">
        <v>4712</v>
      </c>
      <c r="D1837">
        <v>24</v>
      </c>
      <c r="E1837">
        <v>1</v>
      </c>
      <c r="F1837" s="16">
        <v>19594.810000000001</v>
      </c>
      <c r="G1837" t="s">
        <v>4698</v>
      </c>
      <c r="H1837" t="s">
        <v>4698</v>
      </c>
      <c r="I1837" t="s">
        <v>4724</v>
      </c>
      <c r="J1837" s="17">
        <f t="shared" si="56"/>
        <v>28757</v>
      </c>
      <c r="K1837">
        <f t="shared" ca="1" si="57"/>
        <v>47</v>
      </c>
    </row>
    <row r="1838" spans="1:11" ht="15.75" customHeight="1">
      <c r="A1838" t="s">
        <v>1007</v>
      </c>
      <c r="B1838">
        <v>1994</v>
      </c>
      <c r="C1838" t="s">
        <v>4716</v>
      </c>
      <c r="D1838">
        <v>27</v>
      </c>
      <c r="E1838">
        <v>0</v>
      </c>
      <c r="F1838" s="16">
        <v>19673.34</v>
      </c>
      <c r="G1838" t="s">
        <v>4698</v>
      </c>
      <c r="H1838" t="s">
        <v>4699</v>
      </c>
      <c r="I1838" t="s">
        <v>4713</v>
      </c>
      <c r="J1838" s="17">
        <f t="shared" si="56"/>
        <v>34573</v>
      </c>
      <c r="K1838">
        <f t="shared" ca="1" si="57"/>
        <v>31</v>
      </c>
    </row>
    <row r="1839" spans="1:11" ht="15.75" customHeight="1">
      <c r="A1839" t="s">
        <v>1005</v>
      </c>
      <c r="B1839">
        <v>1990</v>
      </c>
      <c r="C1839" t="s">
        <v>4716</v>
      </c>
      <c r="D1839">
        <v>8</v>
      </c>
      <c r="E1839">
        <v>1</v>
      </c>
      <c r="F1839" s="16">
        <v>19719.689999999999</v>
      </c>
      <c r="G1839" t="s">
        <v>4698</v>
      </c>
      <c r="H1839" t="s">
        <v>4699</v>
      </c>
      <c r="I1839" t="s">
        <v>4709</v>
      </c>
      <c r="J1839" s="17">
        <f t="shared" si="56"/>
        <v>33093</v>
      </c>
      <c r="K1839">
        <f t="shared" ca="1" si="57"/>
        <v>35</v>
      </c>
    </row>
    <row r="1840" spans="1:11" ht="15.75" customHeight="1">
      <c r="A1840" t="s">
        <v>1003</v>
      </c>
      <c r="B1840">
        <v>1972</v>
      </c>
      <c r="C1840" t="s">
        <v>4711</v>
      </c>
      <c r="D1840">
        <v>14</v>
      </c>
      <c r="E1840">
        <v>3</v>
      </c>
      <c r="F1840" s="16">
        <v>19749.38</v>
      </c>
      <c r="G1840" t="s">
        <v>4698</v>
      </c>
      <c r="H1840" t="s">
        <v>4700</v>
      </c>
      <c r="I1840" t="s">
        <v>4709</v>
      </c>
      <c r="J1840" s="17">
        <f t="shared" si="56"/>
        <v>26464</v>
      </c>
      <c r="K1840">
        <f t="shared" ca="1" si="57"/>
        <v>53</v>
      </c>
    </row>
    <row r="1841" spans="1:11" ht="15.75" customHeight="1">
      <c r="A1841" t="s">
        <v>1001</v>
      </c>
      <c r="B1841">
        <v>1979</v>
      </c>
      <c r="C1841" t="s">
        <v>4717</v>
      </c>
      <c r="D1841">
        <v>30</v>
      </c>
      <c r="E1841">
        <v>2</v>
      </c>
      <c r="F1841" s="16">
        <v>19798.05</v>
      </c>
      <c r="G1841" t="s">
        <v>4698</v>
      </c>
      <c r="H1841" t="s">
        <v>4698</v>
      </c>
      <c r="I1841" t="s">
        <v>4724</v>
      </c>
      <c r="J1841" s="17">
        <f t="shared" si="56"/>
        <v>29158</v>
      </c>
      <c r="K1841">
        <f t="shared" ca="1" si="57"/>
        <v>46</v>
      </c>
    </row>
    <row r="1842" spans="1:11" ht="15.75" customHeight="1">
      <c r="A1842" t="s">
        <v>999</v>
      </c>
      <c r="B1842">
        <v>1997</v>
      </c>
      <c r="C1842" t="s">
        <v>4717</v>
      </c>
      <c r="D1842">
        <v>18</v>
      </c>
      <c r="E1842">
        <v>3</v>
      </c>
      <c r="F1842" s="16">
        <v>19933.46</v>
      </c>
      <c r="G1842" t="s">
        <v>4698</v>
      </c>
      <c r="H1842" t="s">
        <v>4700</v>
      </c>
      <c r="I1842" t="s">
        <v>4718</v>
      </c>
      <c r="J1842" s="17">
        <f t="shared" si="56"/>
        <v>35721</v>
      </c>
      <c r="K1842">
        <f t="shared" ca="1" si="57"/>
        <v>28</v>
      </c>
    </row>
    <row r="1843" spans="1:11" ht="15.75" customHeight="1">
      <c r="A1843" t="s">
        <v>997</v>
      </c>
      <c r="B1843">
        <v>1980</v>
      </c>
      <c r="C1843" t="s">
        <v>4717</v>
      </c>
      <c r="D1843">
        <v>9</v>
      </c>
      <c r="E1843">
        <v>0</v>
      </c>
      <c r="F1843" s="16">
        <v>19964.75</v>
      </c>
      <c r="G1843" t="s">
        <v>4698</v>
      </c>
      <c r="H1843" t="s">
        <v>4699</v>
      </c>
      <c r="I1843" t="s">
        <v>4724</v>
      </c>
      <c r="J1843" s="17">
        <f t="shared" si="56"/>
        <v>29503</v>
      </c>
      <c r="K1843">
        <f t="shared" ca="1" si="57"/>
        <v>45</v>
      </c>
    </row>
    <row r="1844" spans="1:11" ht="15.75" customHeight="1">
      <c r="A1844" t="s">
        <v>995</v>
      </c>
      <c r="B1844">
        <v>1966</v>
      </c>
      <c r="C1844" t="s">
        <v>4716</v>
      </c>
      <c r="D1844">
        <v>10</v>
      </c>
      <c r="E1844">
        <v>0</v>
      </c>
      <c r="F1844" s="16">
        <v>19995.29</v>
      </c>
      <c r="G1844" t="s">
        <v>4698</v>
      </c>
      <c r="H1844" t="s">
        <v>4700</v>
      </c>
      <c r="I1844" t="s">
        <v>4730</v>
      </c>
      <c r="J1844" s="17">
        <f t="shared" si="56"/>
        <v>24329</v>
      </c>
      <c r="K1844">
        <f t="shared" ca="1" si="57"/>
        <v>59</v>
      </c>
    </row>
    <row r="1845" spans="1:11" ht="15.75" customHeight="1">
      <c r="A1845" t="s">
        <v>993</v>
      </c>
      <c r="B1845">
        <v>1988</v>
      </c>
      <c r="C1845" t="s">
        <v>4708</v>
      </c>
      <c r="D1845">
        <v>25</v>
      </c>
      <c r="E1845">
        <v>1</v>
      </c>
      <c r="F1845" s="16">
        <v>20009.63</v>
      </c>
      <c r="G1845" t="s">
        <v>4699</v>
      </c>
      <c r="H1845" t="s">
        <v>4698</v>
      </c>
      <c r="I1845" t="s">
        <v>4713</v>
      </c>
      <c r="J1845" s="17">
        <f t="shared" si="56"/>
        <v>32349</v>
      </c>
      <c r="K1845">
        <f t="shared" ca="1" si="57"/>
        <v>37</v>
      </c>
    </row>
    <row r="1846" spans="1:11" ht="15.75" customHeight="1">
      <c r="A1846" t="s">
        <v>991</v>
      </c>
      <c r="B1846">
        <v>1983</v>
      </c>
      <c r="C1846" t="s">
        <v>4717</v>
      </c>
      <c r="D1846">
        <v>6</v>
      </c>
      <c r="E1846">
        <v>0</v>
      </c>
      <c r="F1846" s="16">
        <v>20149.32</v>
      </c>
      <c r="G1846" t="s">
        <v>4699</v>
      </c>
      <c r="H1846" t="s">
        <v>4698</v>
      </c>
      <c r="I1846" t="s">
        <v>4721</v>
      </c>
      <c r="J1846" s="17">
        <f t="shared" si="56"/>
        <v>30595</v>
      </c>
      <c r="K1846">
        <f t="shared" ca="1" si="57"/>
        <v>42</v>
      </c>
    </row>
    <row r="1847" spans="1:11" ht="15.75" customHeight="1">
      <c r="A1847" t="s">
        <v>989</v>
      </c>
      <c r="B1847">
        <v>2002</v>
      </c>
      <c r="C1847" t="s">
        <v>4708</v>
      </c>
      <c r="D1847">
        <v>9</v>
      </c>
      <c r="E1847">
        <v>0</v>
      </c>
      <c r="F1847" s="16">
        <v>20167.34</v>
      </c>
      <c r="G1847" t="s">
        <v>4700</v>
      </c>
      <c r="H1847" t="s">
        <v>4700</v>
      </c>
      <c r="I1847" t="s">
        <v>4718</v>
      </c>
      <c r="J1847" s="17">
        <f t="shared" si="56"/>
        <v>37446</v>
      </c>
      <c r="K1847">
        <f t="shared" ca="1" si="57"/>
        <v>23</v>
      </c>
    </row>
    <row r="1848" spans="1:11" ht="15.75" customHeight="1">
      <c r="A1848" t="s">
        <v>987</v>
      </c>
      <c r="B1848">
        <v>1994</v>
      </c>
      <c r="C1848" t="s">
        <v>4711</v>
      </c>
      <c r="D1848">
        <v>8</v>
      </c>
      <c r="E1848">
        <v>2</v>
      </c>
      <c r="F1848" s="16">
        <v>20177.669999999998</v>
      </c>
      <c r="G1848" t="s">
        <v>4699</v>
      </c>
      <c r="H1848" t="s">
        <v>4698</v>
      </c>
      <c r="I1848" t="s">
        <v>4718</v>
      </c>
      <c r="J1848" s="17">
        <f t="shared" si="56"/>
        <v>34493</v>
      </c>
      <c r="K1848">
        <f t="shared" ca="1" si="57"/>
        <v>31</v>
      </c>
    </row>
    <row r="1849" spans="1:11" ht="15.75" customHeight="1">
      <c r="A1849" t="s">
        <v>985</v>
      </c>
      <c r="B1849">
        <v>1987</v>
      </c>
      <c r="C1849" t="s">
        <v>4717</v>
      </c>
      <c r="D1849">
        <v>17</v>
      </c>
      <c r="E1849">
        <v>0</v>
      </c>
      <c r="F1849" s="16">
        <v>20234.849999999999</v>
      </c>
      <c r="G1849" t="s">
        <v>4699</v>
      </c>
      <c r="H1849" t="s">
        <v>4700</v>
      </c>
      <c r="I1849" t="s">
        <v>4713</v>
      </c>
      <c r="J1849" s="17">
        <f t="shared" si="56"/>
        <v>32067</v>
      </c>
      <c r="K1849">
        <f t="shared" ca="1" si="57"/>
        <v>38</v>
      </c>
    </row>
    <row r="1850" spans="1:11" ht="15.75" customHeight="1">
      <c r="A1850" t="s">
        <v>983</v>
      </c>
      <c r="B1850">
        <v>1966</v>
      </c>
      <c r="C1850" t="s">
        <v>4716</v>
      </c>
      <c r="D1850">
        <v>22</v>
      </c>
      <c r="E1850">
        <v>0</v>
      </c>
      <c r="F1850" s="16">
        <v>20253.84</v>
      </c>
      <c r="G1850" t="s">
        <v>4699</v>
      </c>
      <c r="H1850" t="s">
        <v>4700</v>
      </c>
      <c r="I1850" t="s">
        <v>4713</v>
      </c>
      <c r="J1850" s="17">
        <f t="shared" si="56"/>
        <v>24341</v>
      </c>
      <c r="K1850">
        <f t="shared" ca="1" si="57"/>
        <v>59</v>
      </c>
    </row>
    <row r="1851" spans="1:11" ht="15.75" customHeight="1">
      <c r="A1851" t="s">
        <v>981</v>
      </c>
      <c r="B1851">
        <v>1993</v>
      </c>
      <c r="C1851" t="s">
        <v>4712</v>
      </c>
      <c r="D1851">
        <v>7</v>
      </c>
      <c r="E1851">
        <v>1</v>
      </c>
      <c r="F1851" s="16">
        <v>20277.810000000001</v>
      </c>
      <c r="G1851" t="s">
        <v>4700</v>
      </c>
      <c r="H1851" t="s">
        <v>4700</v>
      </c>
      <c r="I1851" t="s">
        <v>4721</v>
      </c>
      <c r="J1851" s="17">
        <f t="shared" si="56"/>
        <v>34219</v>
      </c>
      <c r="K1851">
        <f t="shared" ca="1" si="57"/>
        <v>32</v>
      </c>
    </row>
    <row r="1852" spans="1:11" ht="15.75" customHeight="1">
      <c r="A1852" t="s">
        <v>979</v>
      </c>
      <c r="B1852">
        <v>1985</v>
      </c>
      <c r="C1852" t="s">
        <v>4712</v>
      </c>
      <c r="D1852">
        <v>17</v>
      </c>
      <c r="E1852">
        <v>1</v>
      </c>
      <c r="F1852" s="16">
        <v>20296.86</v>
      </c>
      <c r="G1852" t="s">
        <v>4700</v>
      </c>
      <c r="H1852" t="s">
        <v>4698</v>
      </c>
      <c r="I1852" t="s">
        <v>4724</v>
      </c>
      <c r="J1852" s="17">
        <f t="shared" si="56"/>
        <v>31307</v>
      </c>
      <c r="K1852">
        <f t="shared" ca="1" si="57"/>
        <v>40</v>
      </c>
    </row>
    <row r="1853" spans="1:11" ht="15.75" customHeight="1">
      <c r="A1853" t="s">
        <v>977</v>
      </c>
      <c r="B1853">
        <v>1962</v>
      </c>
      <c r="C1853" t="s">
        <v>4708</v>
      </c>
      <c r="D1853">
        <v>2</v>
      </c>
      <c r="E1853">
        <v>0</v>
      </c>
      <c r="F1853" s="16">
        <v>20354.5</v>
      </c>
      <c r="G1853" t="s">
        <v>4700</v>
      </c>
      <c r="H1853" t="s">
        <v>4699</v>
      </c>
      <c r="I1853" t="s">
        <v>4730</v>
      </c>
      <c r="J1853" s="17">
        <f t="shared" si="56"/>
        <v>22829</v>
      </c>
      <c r="K1853">
        <f t="shared" ca="1" si="57"/>
        <v>63</v>
      </c>
    </row>
    <row r="1854" spans="1:11" ht="15.75" customHeight="1">
      <c r="A1854" t="s">
        <v>975</v>
      </c>
      <c r="B1854">
        <v>1985</v>
      </c>
      <c r="C1854" t="s">
        <v>4708</v>
      </c>
      <c r="D1854">
        <v>12</v>
      </c>
      <c r="E1854">
        <v>0</v>
      </c>
      <c r="F1854" s="16">
        <v>20420.599999999999</v>
      </c>
      <c r="G1854" t="s">
        <v>4700</v>
      </c>
      <c r="H1854" t="s">
        <v>4699</v>
      </c>
      <c r="I1854" t="s">
        <v>4718</v>
      </c>
      <c r="J1854" s="17">
        <f t="shared" si="56"/>
        <v>31240</v>
      </c>
      <c r="K1854">
        <f t="shared" ca="1" si="57"/>
        <v>40</v>
      </c>
    </row>
    <row r="1855" spans="1:11" ht="15.75" customHeight="1">
      <c r="A1855" t="s">
        <v>973</v>
      </c>
      <c r="B1855">
        <v>1962</v>
      </c>
      <c r="C1855" t="s">
        <v>4717</v>
      </c>
      <c r="D1855">
        <v>18</v>
      </c>
      <c r="E1855">
        <v>0</v>
      </c>
      <c r="F1855" s="16">
        <v>20446.849999999999</v>
      </c>
      <c r="G1855" t="s">
        <v>4699</v>
      </c>
      <c r="H1855" t="s">
        <v>4698</v>
      </c>
      <c r="I1855" t="s">
        <v>4713</v>
      </c>
      <c r="J1855" s="17">
        <f t="shared" si="56"/>
        <v>22937</v>
      </c>
      <c r="K1855">
        <f t="shared" ca="1" si="57"/>
        <v>63</v>
      </c>
    </row>
    <row r="1856" spans="1:11" ht="15.75" customHeight="1">
      <c r="A1856" t="s">
        <v>971</v>
      </c>
      <c r="B1856">
        <v>1969</v>
      </c>
      <c r="C1856" t="s">
        <v>4717</v>
      </c>
      <c r="D1856">
        <v>13</v>
      </c>
      <c r="E1856">
        <v>3</v>
      </c>
      <c r="F1856" s="16">
        <v>20463</v>
      </c>
      <c r="G1856" t="s">
        <v>4699</v>
      </c>
      <c r="H1856" t="s">
        <v>4699</v>
      </c>
      <c r="I1856" t="s">
        <v>4709</v>
      </c>
      <c r="J1856" s="17">
        <f t="shared" si="56"/>
        <v>25489</v>
      </c>
      <c r="K1856">
        <f t="shared" ca="1" si="57"/>
        <v>56</v>
      </c>
    </row>
    <row r="1857" spans="1:11" ht="15.75" customHeight="1">
      <c r="A1857" t="s">
        <v>969</v>
      </c>
      <c r="B1857">
        <v>1966</v>
      </c>
      <c r="C1857" t="s">
        <v>4708</v>
      </c>
      <c r="D1857">
        <v>9</v>
      </c>
      <c r="E1857">
        <v>0</v>
      </c>
      <c r="F1857" s="16">
        <v>20568.32</v>
      </c>
      <c r="G1857" t="s">
        <v>4700</v>
      </c>
      <c r="H1857" t="s">
        <v>4699</v>
      </c>
      <c r="I1857" t="s">
        <v>4713</v>
      </c>
      <c r="J1857" s="17">
        <f t="shared" si="56"/>
        <v>24297</v>
      </c>
      <c r="K1857">
        <f t="shared" ca="1" si="57"/>
        <v>59</v>
      </c>
    </row>
    <row r="1858" spans="1:11" ht="15.75" customHeight="1">
      <c r="A1858" t="s">
        <v>967</v>
      </c>
      <c r="B1858">
        <v>1967</v>
      </c>
      <c r="C1858" t="s">
        <v>4714</v>
      </c>
      <c r="D1858">
        <v>17</v>
      </c>
      <c r="E1858">
        <v>0</v>
      </c>
      <c r="F1858" s="16">
        <v>20630.28</v>
      </c>
      <c r="G1858" t="s">
        <v>4699</v>
      </c>
      <c r="H1858" t="s">
        <v>4700</v>
      </c>
      <c r="I1858" t="s">
        <v>4718</v>
      </c>
      <c r="J1858" s="17">
        <f t="shared" si="56"/>
        <v>24823</v>
      </c>
      <c r="K1858">
        <f t="shared" ca="1" si="57"/>
        <v>57</v>
      </c>
    </row>
    <row r="1859" spans="1:11" ht="15.75" customHeight="1">
      <c r="A1859" t="s">
        <v>965</v>
      </c>
      <c r="B1859">
        <v>1965</v>
      </c>
      <c r="C1859" t="s">
        <v>4716</v>
      </c>
      <c r="D1859">
        <v>1</v>
      </c>
      <c r="E1859">
        <v>0</v>
      </c>
      <c r="F1859" s="16">
        <v>20709.02</v>
      </c>
      <c r="G1859" t="s">
        <v>4700</v>
      </c>
      <c r="H1859" t="s">
        <v>4699</v>
      </c>
      <c r="I1859" t="s">
        <v>4720</v>
      </c>
      <c r="J1859" s="17">
        <f t="shared" ref="J1859:J1922" si="58">DATEVALUE(D1859&amp;"-"&amp;C1859&amp;" -"&amp;B1859)</f>
        <v>23955</v>
      </c>
      <c r="K1859">
        <f t="shared" ref="K1859:K1922" ca="1" si="59">DATEDIF(J1859,TODAY(),"Y")</f>
        <v>60</v>
      </c>
    </row>
    <row r="1860" spans="1:11" ht="15.75" customHeight="1">
      <c r="A1860" t="s">
        <v>963</v>
      </c>
      <c r="B1860">
        <v>1992</v>
      </c>
      <c r="C1860" t="s">
        <v>4712</v>
      </c>
      <c r="D1860">
        <v>14</v>
      </c>
      <c r="E1860">
        <v>3</v>
      </c>
      <c r="F1860" s="16">
        <v>20745.990000000002</v>
      </c>
      <c r="G1860" t="s">
        <v>4700</v>
      </c>
      <c r="H1860" t="s">
        <v>4698</v>
      </c>
      <c r="I1860" t="s">
        <v>4713</v>
      </c>
      <c r="J1860" s="17">
        <f t="shared" si="58"/>
        <v>33861</v>
      </c>
      <c r="K1860">
        <f t="shared" ca="1" si="59"/>
        <v>33</v>
      </c>
    </row>
    <row r="1861" spans="1:11" ht="15.75" customHeight="1">
      <c r="A1861" t="s">
        <v>961</v>
      </c>
      <c r="B1861">
        <v>1986</v>
      </c>
      <c r="C1861" t="s">
        <v>4716</v>
      </c>
      <c r="D1861">
        <v>4</v>
      </c>
      <c r="E1861">
        <v>1</v>
      </c>
      <c r="F1861" s="16">
        <v>20773.63</v>
      </c>
      <c r="G1861" t="s">
        <v>4699</v>
      </c>
      <c r="H1861" t="s">
        <v>4700</v>
      </c>
      <c r="I1861" t="s">
        <v>4728</v>
      </c>
      <c r="J1861" s="17">
        <f t="shared" si="58"/>
        <v>31628</v>
      </c>
      <c r="K1861">
        <f t="shared" ca="1" si="59"/>
        <v>39</v>
      </c>
    </row>
    <row r="1862" spans="1:11" ht="15.75" customHeight="1">
      <c r="A1862" t="s">
        <v>959</v>
      </c>
      <c r="B1862">
        <v>1967</v>
      </c>
      <c r="C1862" t="s">
        <v>4712</v>
      </c>
      <c r="D1862">
        <v>8</v>
      </c>
      <c r="E1862">
        <v>0</v>
      </c>
      <c r="F1862" s="16">
        <v>20781.490000000002</v>
      </c>
      <c r="G1862" t="s">
        <v>4699</v>
      </c>
      <c r="H1862" t="s">
        <v>4700</v>
      </c>
      <c r="I1862" t="s">
        <v>4709</v>
      </c>
      <c r="J1862" s="17">
        <f t="shared" si="58"/>
        <v>24723</v>
      </c>
      <c r="K1862">
        <f t="shared" ca="1" si="59"/>
        <v>58</v>
      </c>
    </row>
    <row r="1863" spans="1:11" ht="15.75" customHeight="1">
      <c r="A1863" t="s">
        <v>957</v>
      </c>
      <c r="B1863">
        <v>1975</v>
      </c>
      <c r="C1863" t="s">
        <v>4714</v>
      </c>
      <c r="D1863">
        <v>8</v>
      </c>
      <c r="E1863">
        <v>0</v>
      </c>
      <c r="F1863" s="16">
        <v>20878.78</v>
      </c>
      <c r="G1863" t="s">
        <v>4699</v>
      </c>
      <c r="H1863" t="s">
        <v>4698</v>
      </c>
      <c r="I1863" t="s">
        <v>4724</v>
      </c>
      <c r="J1863" s="17">
        <f t="shared" si="58"/>
        <v>27736</v>
      </c>
      <c r="K1863">
        <f t="shared" ca="1" si="59"/>
        <v>49</v>
      </c>
    </row>
    <row r="1864" spans="1:11" ht="15.75" customHeight="1">
      <c r="A1864" t="s">
        <v>955</v>
      </c>
      <c r="B1864">
        <v>1964</v>
      </c>
      <c r="C1864" t="s">
        <v>4710</v>
      </c>
      <c r="D1864">
        <v>19</v>
      </c>
      <c r="E1864">
        <v>0</v>
      </c>
      <c r="F1864" s="16">
        <v>20893.060000000001</v>
      </c>
      <c r="G1864" t="s">
        <v>4699</v>
      </c>
      <c r="H1864" t="s">
        <v>4700</v>
      </c>
      <c r="I1864" t="s">
        <v>4713</v>
      </c>
      <c r="J1864" s="17">
        <f t="shared" si="58"/>
        <v>23700</v>
      </c>
      <c r="K1864">
        <f t="shared" ca="1" si="59"/>
        <v>61</v>
      </c>
    </row>
    <row r="1865" spans="1:11" ht="15.75" customHeight="1">
      <c r="A1865" t="s">
        <v>4689</v>
      </c>
      <c r="B1865">
        <v>1987</v>
      </c>
      <c r="C1865" t="s">
        <v>4710</v>
      </c>
      <c r="D1865">
        <v>27</v>
      </c>
      <c r="E1865">
        <v>2</v>
      </c>
      <c r="F1865" s="16">
        <v>20984.09</v>
      </c>
      <c r="G1865" t="s">
        <v>4699</v>
      </c>
      <c r="H1865" t="s">
        <v>4699</v>
      </c>
      <c r="I1865" t="s">
        <v>4719</v>
      </c>
      <c r="J1865" s="17">
        <f t="shared" si="58"/>
        <v>32108</v>
      </c>
      <c r="K1865">
        <f t="shared" ca="1" si="59"/>
        <v>38</v>
      </c>
    </row>
    <row r="1866" spans="1:11" ht="15.75" customHeight="1">
      <c r="A1866" t="s">
        <v>953</v>
      </c>
      <c r="B1866">
        <v>1983</v>
      </c>
      <c r="C1866" t="s">
        <v>4708</v>
      </c>
      <c r="D1866">
        <v>2</v>
      </c>
      <c r="E1866">
        <v>1</v>
      </c>
      <c r="F1866" s="16">
        <v>21082.16</v>
      </c>
      <c r="G1866" t="s">
        <v>4700</v>
      </c>
      <c r="H1866" t="s">
        <v>4699</v>
      </c>
      <c r="I1866" t="s">
        <v>4718</v>
      </c>
      <c r="J1866" s="17">
        <f t="shared" si="58"/>
        <v>30499</v>
      </c>
      <c r="K1866">
        <f t="shared" ca="1" si="59"/>
        <v>42</v>
      </c>
    </row>
    <row r="1867" spans="1:11" ht="15.75" customHeight="1">
      <c r="A1867" t="s">
        <v>951</v>
      </c>
      <c r="B1867">
        <v>1977</v>
      </c>
      <c r="C1867" t="s">
        <v>4710</v>
      </c>
      <c r="D1867">
        <v>23</v>
      </c>
      <c r="E1867">
        <v>2</v>
      </c>
      <c r="F1867" s="16">
        <v>21098.55</v>
      </c>
      <c r="G1867" t="s">
        <v>4700</v>
      </c>
      <c r="H1867" t="s">
        <v>4700</v>
      </c>
      <c r="I1867" t="s">
        <v>4713</v>
      </c>
      <c r="J1867" s="17">
        <f t="shared" si="58"/>
        <v>28452</v>
      </c>
      <c r="K1867">
        <f t="shared" ca="1" si="59"/>
        <v>48</v>
      </c>
    </row>
    <row r="1868" spans="1:11" ht="15.75" customHeight="1">
      <c r="A1868" t="s">
        <v>949</v>
      </c>
      <c r="B1868">
        <v>1969</v>
      </c>
      <c r="C1868" t="s">
        <v>4716</v>
      </c>
      <c r="D1868">
        <v>26</v>
      </c>
      <c r="E1868">
        <v>0</v>
      </c>
      <c r="F1868" s="16">
        <v>21195.82</v>
      </c>
      <c r="G1868" t="s">
        <v>4700</v>
      </c>
      <c r="H1868" t="s">
        <v>4698</v>
      </c>
      <c r="I1868" t="s">
        <v>4709</v>
      </c>
      <c r="J1868" s="17">
        <f t="shared" si="58"/>
        <v>25441</v>
      </c>
      <c r="K1868">
        <f t="shared" ca="1" si="59"/>
        <v>56</v>
      </c>
    </row>
    <row r="1869" spans="1:11" ht="15.75" customHeight="1">
      <c r="A1869" t="s">
        <v>947</v>
      </c>
      <c r="B1869">
        <v>1974</v>
      </c>
      <c r="C1869" t="s">
        <v>4717</v>
      </c>
      <c r="D1869">
        <v>14</v>
      </c>
      <c r="E1869">
        <v>0</v>
      </c>
      <c r="F1869" s="16">
        <v>21223.68</v>
      </c>
      <c r="G1869" t="s">
        <v>4700</v>
      </c>
      <c r="H1869" t="s">
        <v>4699</v>
      </c>
      <c r="I1869" t="s">
        <v>4709</v>
      </c>
      <c r="J1869" s="17">
        <f t="shared" si="58"/>
        <v>27316</v>
      </c>
      <c r="K1869">
        <f t="shared" ca="1" si="59"/>
        <v>51</v>
      </c>
    </row>
    <row r="1870" spans="1:11" ht="15.75" customHeight="1">
      <c r="A1870" t="s">
        <v>945</v>
      </c>
      <c r="B1870">
        <v>1974</v>
      </c>
      <c r="C1870" t="s">
        <v>4712</v>
      </c>
      <c r="D1870">
        <v>3</v>
      </c>
      <c r="E1870">
        <v>0</v>
      </c>
      <c r="F1870" s="16">
        <v>21232.18</v>
      </c>
      <c r="G1870" t="s">
        <v>4700</v>
      </c>
      <c r="H1870" t="s">
        <v>4699</v>
      </c>
      <c r="I1870" t="s">
        <v>4718</v>
      </c>
      <c r="J1870" s="17">
        <f t="shared" si="58"/>
        <v>27275</v>
      </c>
      <c r="K1870">
        <f t="shared" ca="1" si="59"/>
        <v>51</v>
      </c>
    </row>
    <row r="1871" spans="1:11" ht="15.75" customHeight="1">
      <c r="A1871" t="s">
        <v>943</v>
      </c>
      <c r="B1871">
        <v>1980</v>
      </c>
      <c r="C1871" t="s">
        <v>4714</v>
      </c>
      <c r="D1871">
        <v>10</v>
      </c>
      <c r="E1871">
        <v>2</v>
      </c>
      <c r="F1871" s="16">
        <v>21259.38</v>
      </c>
      <c r="G1871" t="s">
        <v>4700</v>
      </c>
      <c r="H1871" t="s">
        <v>4700</v>
      </c>
      <c r="I1871" t="s">
        <v>4720</v>
      </c>
      <c r="J1871" s="17">
        <f t="shared" si="58"/>
        <v>29565</v>
      </c>
      <c r="K1871">
        <f t="shared" ca="1" si="59"/>
        <v>44</v>
      </c>
    </row>
    <row r="1872" spans="1:11" ht="15.75" customHeight="1">
      <c r="A1872" t="s">
        <v>941</v>
      </c>
      <c r="B1872">
        <v>2004</v>
      </c>
      <c r="C1872" t="s">
        <v>4716</v>
      </c>
      <c r="D1872">
        <v>4</v>
      </c>
      <c r="E1872">
        <v>0</v>
      </c>
      <c r="F1872" s="16">
        <v>21344.85</v>
      </c>
      <c r="G1872" t="s">
        <v>4700</v>
      </c>
      <c r="H1872" t="s">
        <v>4698</v>
      </c>
      <c r="I1872" t="s">
        <v>4724</v>
      </c>
      <c r="J1872" s="17">
        <f t="shared" si="58"/>
        <v>38203</v>
      </c>
      <c r="K1872">
        <f t="shared" ca="1" si="59"/>
        <v>21</v>
      </c>
    </row>
    <row r="1873" spans="1:11" ht="15.75" customHeight="1">
      <c r="A1873" t="s">
        <v>939</v>
      </c>
      <c r="B1873">
        <v>1980</v>
      </c>
      <c r="C1873" t="s">
        <v>4712</v>
      </c>
      <c r="D1873">
        <v>4</v>
      </c>
      <c r="E1873">
        <v>0</v>
      </c>
      <c r="F1873" s="16">
        <v>21348.71</v>
      </c>
      <c r="G1873" t="s">
        <v>4699</v>
      </c>
      <c r="H1873" t="s">
        <v>4698</v>
      </c>
      <c r="I1873" t="s">
        <v>4713</v>
      </c>
      <c r="J1873" s="17">
        <f t="shared" si="58"/>
        <v>29468</v>
      </c>
      <c r="K1873">
        <f t="shared" ca="1" si="59"/>
        <v>45</v>
      </c>
    </row>
    <row r="1874" spans="1:11" ht="15.75" customHeight="1">
      <c r="A1874" t="s">
        <v>937</v>
      </c>
      <c r="B1874">
        <v>1990</v>
      </c>
      <c r="C1874" t="s">
        <v>4710</v>
      </c>
      <c r="D1874">
        <v>21</v>
      </c>
      <c r="E1874">
        <v>4</v>
      </c>
      <c r="F1874" s="16">
        <v>21472.48</v>
      </c>
      <c r="G1874" t="s">
        <v>4699</v>
      </c>
      <c r="H1874" t="s">
        <v>4699</v>
      </c>
      <c r="I1874" t="s">
        <v>4713</v>
      </c>
      <c r="J1874" s="17">
        <f t="shared" si="58"/>
        <v>33198</v>
      </c>
      <c r="K1874">
        <f t="shared" ca="1" si="59"/>
        <v>35</v>
      </c>
    </row>
    <row r="1875" spans="1:11" ht="15.75" customHeight="1">
      <c r="A1875" t="s">
        <v>935</v>
      </c>
      <c r="B1875">
        <v>1999</v>
      </c>
      <c r="C1875" t="s">
        <v>4711</v>
      </c>
      <c r="D1875">
        <v>12</v>
      </c>
      <c r="E1875">
        <v>0</v>
      </c>
      <c r="F1875" s="16">
        <v>21595.38</v>
      </c>
      <c r="G1875" t="s">
        <v>4699</v>
      </c>
      <c r="H1875" t="s">
        <v>4700</v>
      </c>
      <c r="I1875" t="s">
        <v>4713</v>
      </c>
      <c r="J1875" s="17">
        <f t="shared" si="58"/>
        <v>36323</v>
      </c>
      <c r="K1875">
        <f t="shared" ca="1" si="59"/>
        <v>26</v>
      </c>
    </row>
    <row r="1876" spans="1:11" ht="15.75" customHeight="1">
      <c r="A1876" t="s">
        <v>933</v>
      </c>
      <c r="B1876">
        <v>1983</v>
      </c>
      <c r="C1876" t="s">
        <v>4714</v>
      </c>
      <c r="D1876">
        <v>25</v>
      </c>
      <c r="E1876">
        <v>3</v>
      </c>
      <c r="F1876" s="16">
        <v>21659.93</v>
      </c>
      <c r="G1876" t="s">
        <v>4700</v>
      </c>
      <c r="H1876" t="s">
        <v>4700</v>
      </c>
      <c r="I1876" t="s">
        <v>4724</v>
      </c>
      <c r="J1876" s="17">
        <f t="shared" si="58"/>
        <v>30675</v>
      </c>
      <c r="K1876">
        <f t="shared" ca="1" si="59"/>
        <v>41</v>
      </c>
    </row>
    <row r="1877" spans="1:11" ht="15.75" customHeight="1">
      <c r="A1877" t="s">
        <v>931</v>
      </c>
      <c r="B1877">
        <v>1962</v>
      </c>
      <c r="C1877" t="s">
        <v>4710</v>
      </c>
      <c r="D1877">
        <v>16</v>
      </c>
      <c r="E1877">
        <v>0</v>
      </c>
      <c r="F1877" s="16">
        <v>21661.16</v>
      </c>
      <c r="G1877" t="s">
        <v>4699</v>
      </c>
      <c r="H1877" t="s">
        <v>4699</v>
      </c>
      <c r="I1877" t="s">
        <v>4713</v>
      </c>
      <c r="J1877" s="17">
        <f t="shared" si="58"/>
        <v>22966</v>
      </c>
      <c r="K1877">
        <f t="shared" ca="1" si="59"/>
        <v>63</v>
      </c>
    </row>
    <row r="1878" spans="1:11" ht="15.75" customHeight="1">
      <c r="A1878" t="s">
        <v>929</v>
      </c>
      <c r="B1878">
        <v>1976</v>
      </c>
      <c r="C1878" t="s">
        <v>4708</v>
      </c>
      <c r="D1878">
        <v>18</v>
      </c>
      <c r="E1878">
        <v>1</v>
      </c>
      <c r="F1878" s="16">
        <v>21677.279999999999</v>
      </c>
      <c r="G1878" t="s">
        <v>4700</v>
      </c>
      <c r="H1878" t="s">
        <v>4698</v>
      </c>
      <c r="I1878" t="s">
        <v>4713</v>
      </c>
      <c r="J1878" s="17">
        <f t="shared" si="58"/>
        <v>27959</v>
      </c>
      <c r="K1878">
        <f t="shared" ca="1" si="59"/>
        <v>49</v>
      </c>
    </row>
    <row r="1879" spans="1:11" ht="15.75" customHeight="1">
      <c r="A1879" t="s">
        <v>927</v>
      </c>
      <c r="B1879">
        <v>1979</v>
      </c>
      <c r="C1879" t="s">
        <v>4712</v>
      </c>
      <c r="D1879">
        <v>20</v>
      </c>
      <c r="E1879">
        <v>1</v>
      </c>
      <c r="F1879" s="16">
        <v>21771.34</v>
      </c>
      <c r="G1879" t="s">
        <v>4700</v>
      </c>
      <c r="H1879" t="s">
        <v>4698</v>
      </c>
      <c r="I1879" t="s">
        <v>4724</v>
      </c>
      <c r="J1879" s="17">
        <f t="shared" si="58"/>
        <v>29118</v>
      </c>
      <c r="K1879">
        <f t="shared" ca="1" si="59"/>
        <v>46</v>
      </c>
    </row>
    <row r="1880" spans="1:11" ht="15.75" customHeight="1">
      <c r="A1880" t="s">
        <v>925</v>
      </c>
      <c r="B1880">
        <v>1979</v>
      </c>
      <c r="C1880" t="s">
        <v>4712</v>
      </c>
      <c r="D1880">
        <v>28</v>
      </c>
      <c r="E1880">
        <v>0</v>
      </c>
      <c r="F1880" s="16">
        <v>21774.32</v>
      </c>
      <c r="G1880" t="s">
        <v>4700</v>
      </c>
      <c r="H1880" t="s">
        <v>4699</v>
      </c>
      <c r="I1880" t="s">
        <v>4713</v>
      </c>
      <c r="J1880" s="17">
        <f t="shared" si="58"/>
        <v>29126</v>
      </c>
      <c r="K1880">
        <f t="shared" ca="1" si="59"/>
        <v>46</v>
      </c>
    </row>
    <row r="1881" spans="1:11" ht="15.75" customHeight="1">
      <c r="A1881" t="s">
        <v>923</v>
      </c>
      <c r="B1881">
        <v>1963</v>
      </c>
      <c r="C1881" t="s">
        <v>4716</v>
      </c>
      <c r="D1881">
        <v>27</v>
      </c>
      <c r="E1881">
        <v>0</v>
      </c>
      <c r="F1881" s="16">
        <v>21797</v>
      </c>
      <c r="G1881" t="s">
        <v>4700</v>
      </c>
      <c r="H1881" t="s">
        <v>4698</v>
      </c>
      <c r="I1881" t="s">
        <v>4718</v>
      </c>
      <c r="J1881" s="17">
        <f t="shared" si="58"/>
        <v>23250</v>
      </c>
      <c r="K1881">
        <f t="shared" ca="1" si="59"/>
        <v>62</v>
      </c>
    </row>
    <row r="1882" spans="1:11" ht="15.75" customHeight="1">
      <c r="A1882" t="s">
        <v>921</v>
      </c>
      <c r="B1882">
        <v>1979</v>
      </c>
      <c r="C1882" t="s">
        <v>4716</v>
      </c>
      <c r="D1882">
        <v>17</v>
      </c>
      <c r="E1882">
        <v>2</v>
      </c>
      <c r="F1882" s="16">
        <v>21880.82</v>
      </c>
      <c r="G1882" t="s">
        <v>4700</v>
      </c>
      <c r="H1882" t="s">
        <v>4698</v>
      </c>
      <c r="I1882" t="s">
        <v>4713</v>
      </c>
      <c r="J1882" s="17">
        <f t="shared" si="58"/>
        <v>29084</v>
      </c>
      <c r="K1882">
        <f t="shared" ca="1" si="59"/>
        <v>46</v>
      </c>
    </row>
    <row r="1883" spans="1:11" ht="15.75" customHeight="1">
      <c r="A1883" t="s">
        <v>919</v>
      </c>
      <c r="B1883">
        <v>2003</v>
      </c>
      <c r="C1883" t="s">
        <v>4712</v>
      </c>
      <c r="D1883">
        <v>28</v>
      </c>
      <c r="E1883">
        <v>0</v>
      </c>
      <c r="F1883" s="16">
        <v>21882.400000000001</v>
      </c>
      <c r="G1883" t="s">
        <v>4699</v>
      </c>
      <c r="H1883" t="s">
        <v>4698</v>
      </c>
      <c r="I1883" t="s">
        <v>4718</v>
      </c>
      <c r="J1883" s="17">
        <f t="shared" si="58"/>
        <v>37892</v>
      </c>
      <c r="K1883">
        <f t="shared" ca="1" si="59"/>
        <v>22</v>
      </c>
    </row>
    <row r="1884" spans="1:11" ht="15.75" customHeight="1">
      <c r="A1884" t="s">
        <v>917</v>
      </c>
      <c r="B1884">
        <v>1975</v>
      </c>
      <c r="C1884" t="s">
        <v>4714</v>
      </c>
      <c r="D1884">
        <v>19</v>
      </c>
      <c r="E1884">
        <v>1</v>
      </c>
      <c r="F1884" s="16">
        <v>21978.68</v>
      </c>
      <c r="G1884" t="s">
        <v>4700</v>
      </c>
      <c r="H1884" t="s">
        <v>4700</v>
      </c>
      <c r="I1884" t="s">
        <v>4709</v>
      </c>
      <c r="J1884" s="17">
        <f t="shared" si="58"/>
        <v>27747</v>
      </c>
      <c r="K1884">
        <f t="shared" ca="1" si="59"/>
        <v>49</v>
      </c>
    </row>
    <row r="1885" spans="1:11" ht="15.75" customHeight="1">
      <c r="A1885" t="s">
        <v>915</v>
      </c>
      <c r="B1885">
        <v>1989</v>
      </c>
      <c r="C1885" t="s">
        <v>4717</v>
      </c>
      <c r="D1885">
        <v>14</v>
      </c>
      <c r="E1885">
        <v>0</v>
      </c>
      <c r="F1885" s="16">
        <v>21984.47</v>
      </c>
      <c r="G1885" t="s">
        <v>4700</v>
      </c>
      <c r="H1885" t="s">
        <v>4698</v>
      </c>
      <c r="I1885" t="s">
        <v>4713</v>
      </c>
      <c r="J1885" s="17">
        <f t="shared" si="58"/>
        <v>32795</v>
      </c>
      <c r="K1885">
        <f t="shared" ca="1" si="59"/>
        <v>36</v>
      </c>
    </row>
    <row r="1886" spans="1:11" ht="15.75" customHeight="1">
      <c r="A1886" t="s">
        <v>913</v>
      </c>
      <c r="B1886">
        <v>2001</v>
      </c>
      <c r="C1886" t="s">
        <v>4716</v>
      </c>
      <c r="D1886">
        <v>28</v>
      </c>
      <c r="E1886">
        <v>0</v>
      </c>
      <c r="F1886" s="16">
        <v>22097.62</v>
      </c>
      <c r="G1886" t="s">
        <v>4700</v>
      </c>
      <c r="H1886" t="s">
        <v>4698</v>
      </c>
      <c r="I1886" t="s">
        <v>4718</v>
      </c>
      <c r="J1886" s="17">
        <f t="shared" si="58"/>
        <v>37131</v>
      </c>
      <c r="K1886">
        <f t="shared" ca="1" si="59"/>
        <v>24</v>
      </c>
    </row>
    <row r="1887" spans="1:11" ht="15.75" customHeight="1">
      <c r="A1887" t="s">
        <v>911</v>
      </c>
      <c r="B1887">
        <v>1980</v>
      </c>
      <c r="C1887" t="s">
        <v>4712</v>
      </c>
      <c r="D1887">
        <v>12</v>
      </c>
      <c r="E1887">
        <v>0</v>
      </c>
      <c r="F1887" s="16">
        <v>22144.03</v>
      </c>
      <c r="G1887" t="s">
        <v>4699</v>
      </c>
      <c r="H1887" t="s">
        <v>4699</v>
      </c>
      <c r="I1887" t="s">
        <v>4718</v>
      </c>
      <c r="J1887" s="17">
        <f t="shared" si="58"/>
        <v>29476</v>
      </c>
      <c r="K1887">
        <f t="shared" ca="1" si="59"/>
        <v>45</v>
      </c>
    </row>
    <row r="1888" spans="1:11" ht="15.75" customHeight="1">
      <c r="A1888" t="s">
        <v>909</v>
      </c>
      <c r="B1888">
        <v>1965</v>
      </c>
      <c r="C1888" t="s">
        <v>4716</v>
      </c>
      <c r="D1888">
        <v>24</v>
      </c>
      <c r="E1888">
        <v>1</v>
      </c>
      <c r="F1888" s="16">
        <v>22192.44</v>
      </c>
      <c r="G1888" t="s">
        <v>4700</v>
      </c>
      <c r="H1888" t="s">
        <v>4698</v>
      </c>
      <c r="I1888" t="s">
        <v>4709</v>
      </c>
      <c r="J1888" s="17">
        <f t="shared" si="58"/>
        <v>23978</v>
      </c>
      <c r="K1888">
        <f t="shared" ca="1" si="59"/>
        <v>60</v>
      </c>
    </row>
    <row r="1889" spans="1:11" ht="15.75" customHeight="1">
      <c r="A1889" t="s">
        <v>907</v>
      </c>
      <c r="B1889">
        <v>1971</v>
      </c>
      <c r="C1889" t="s">
        <v>4711</v>
      </c>
      <c r="D1889">
        <v>16</v>
      </c>
      <c r="E1889">
        <v>1</v>
      </c>
      <c r="F1889" s="16">
        <v>22218.11</v>
      </c>
      <c r="G1889" t="s">
        <v>4699</v>
      </c>
      <c r="H1889" t="s">
        <v>4700</v>
      </c>
      <c r="I1889" t="s">
        <v>4709</v>
      </c>
      <c r="J1889" s="17">
        <f t="shared" si="58"/>
        <v>26100</v>
      </c>
      <c r="K1889">
        <f t="shared" ca="1" si="59"/>
        <v>54</v>
      </c>
    </row>
    <row r="1890" spans="1:11" ht="15.75" customHeight="1">
      <c r="A1890" t="s">
        <v>905</v>
      </c>
      <c r="B1890">
        <v>1982</v>
      </c>
      <c r="C1890" t="s">
        <v>4714</v>
      </c>
      <c r="D1890">
        <v>27</v>
      </c>
      <c r="E1890">
        <v>1</v>
      </c>
      <c r="F1890" s="16">
        <v>22331.57</v>
      </c>
      <c r="G1890" t="s">
        <v>4699</v>
      </c>
      <c r="H1890" t="s">
        <v>4700</v>
      </c>
      <c r="I1890" t="s">
        <v>4724</v>
      </c>
      <c r="J1890" s="17">
        <f t="shared" si="58"/>
        <v>30312</v>
      </c>
      <c r="K1890">
        <f t="shared" ca="1" si="59"/>
        <v>42</v>
      </c>
    </row>
    <row r="1891" spans="1:11" ht="15.75" customHeight="1">
      <c r="A1891" t="s">
        <v>903</v>
      </c>
      <c r="B1891">
        <v>1999</v>
      </c>
      <c r="C1891" t="s">
        <v>4716</v>
      </c>
      <c r="D1891">
        <v>26</v>
      </c>
      <c r="E1891">
        <v>2</v>
      </c>
      <c r="F1891" s="16">
        <v>22395.74</v>
      </c>
      <c r="G1891" t="s">
        <v>4700</v>
      </c>
      <c r="H1891" t="s">
        <v>4699</v>
      </c>
      <c r="I1891" t="s">
        <v>4724</v>
      </c>
      <c r="J1891" s="17">
        <f t="shared" si="58"/>
        <v>36398</v>
      </c>
      <c r="K1891">
        <f t="shared" ca="1" si="59"/>
        <v>26</v>
      </c>
    </row>
    <row r="1892" spans="1:11" ht="15.75" customHeight="1">
      <c r="A1892" t="s">
        <v>901</v>
      </c>
      <c r="B1892">
        <v>1966</v>
      </c>
      <c r="C1892" t="s">
        <v>4716</v>
      </c>
      <c r="D1892">
        <v>18</v>
      </c>
      <c r="E1892">
        <v>0</v>
      </c>
      <c r="F1892" s="16">
        <v>22412.65</v>
      </c>
      <c r="G1892" t="s">
        <v>4700</v>
      </c>
      <c r="H1892" t="s">
        <v>4700</v>
      </c>
      <c r="I1892" t="s">
        <v>4726</v>
      </c>
      <c r="J1892" s="17">
        <f t="shared" si="58"/>
        <v>24337</v>
      </c>
      <c r="K1892">
        <f t="shared" ca="1" si="59"/>
        <v>59</v>
      </c>
    </row>
    <row r="1893" spans="1:11" ht="15.75" customHeight="1">
      <c r="A1893" t="s">
        <v>899</v>
      </c>
      <c r="B1893">
        <v>1983</v>
      </c>
      <c r="C1893" t="s">
        <v>4714</v>
      </c>
      <c r="D1893">
        <v>21</v>
      </c>
      <c r="E1893">
        <v>1</v>
      </c>
      <c r="F1893" s="16">
        <v>22462.04</v>
      </c>
      <c r="G1893" t="s">
        <v>4700</v>
      </c>
      <c r="H1893" t="s">
        <v>4698</v>
      </c>
      <c r="I1893" t="s">
        <v>4720</v>
      </c>
      <c r="J1893" s="17">
        <f t="shared" si="58"/>
        <v>30671</v>
      </c>
      <c r="K1893">
        <f t="shared" ca="1" si="59"/>
        <v>41</v>
      </c>
    </row>
    <row r="1894" spans="1:11" ht="15.75" customHeight="1">
      <c r="A1894" t="s">
        <v>897</v>
      </c>
      <c r="B1894">
        <v>1979</v>
      </c>
      <c r="C1894" t="s">
        <v>4710</v>
      </c>
      <c r="D1894">
        <v>14</v>
      </c>
      <c r="E1894">
        <v>2</v>
      </c>
      <c r="F1894" s="16">
        <v>22478.6</v>
      </c>
      <c r="G1894" t="s">
        <v>4700</v>
      </c>
      <c r="H1894" t="s">
        <v>4699</v>
      </c>
      <c r="I1894" t="s">
        <v>4718</v>
      </c>
      <c r="J1894" s="17">
        <f t="shared" si="58"/>
        <v>29173</v>
      </c>
      <c r="K1894">
        <f t="shared" ca="1" si="59"/>
        <v>46</v>
      </c>
    </row>
    <row r="1895" spans="1:11" ht="15.75" customHeight="1">
      <c r="A1895" t="s">
        <v>895</v>
      </c>
      <c r="B1895">
        <v>2003</v>
      </c>
      <c r="C1895" t="s">
        <v>4708</v>
      </c>
      <c r="D1895">
        <v>25</v>
      </c>
      <c r="E1895">
        <v>2</v>
      </c>
      <c r="F1895" s="16">
        <v>22493.66</v>
      </c>
      <c r="G1895" t="s">
        <v>4699</v>
      </c>
      <c r="H1895" t="s">
        <v>4698</v>
      </c>
      <c r="I1895" t="s">
        <v>4713</v>
      </c>
      <c r="J1895" s="17">
        <f t="shared" si="58"/>
        <v>37827</v>
      </c>
      <c r="K1895">
        <f t="shared" ca="1" si="59"/>
        <v>22</v>
      </c>
    </row>
    <row r="1896" spans="1:11" ht="15.75" customHeight="1">
      <c r="A1896" t="s">
        <v>893</v>
      </c>
      <c r="B1896">
        <v>1970</v>
      </c>
      <c r="C1896" t="s">
        <v>4710</v>
      </c>
      <c r="D1896">
        <v>9</v>
      </c>
      <c r="E1896">
        <v>0</v>
      </c>
      <c r="F1896" s="16">
        <v>23045.57</v>
      </c>
      <c r="G1896" t="s">
        <v>4699</v>
      </c>
      <c r="H1896" t="s">
        <v>4699</v>
      </c>
      <c r="I1896" t="s">
        <v>4724</v>
      </c>
      <c r="J1896" s="17">
        <f t="shared" si="58"/>
        <v>25881</v>
      </c>
      <c r="K1896">
        <f t="shared" ca="1" si="59"/>
        <v>55</v>
      </c>
    </row>
    <row r="1897" spans="1:11" ht="15.75" customHeight="1">
      <c r="A1897" t="s">
        <v>891</v>
      </c>
      <c r="B1897">
        <v>1975</v>
      </c>
      <c r="C1897" t="s">
        <v>4712</v>
      </c>
      <c r="D1897">
        <v>9</v>
      </c>
      <c r="E1897">
        <v>0</v>
      </c>
      <c r="F1897" s="16">
        <v>23065.42</v>
      </c>
      <c r="G1897" t="s">
        <v>4699</v>
      </c>
      <c r="H1897" t="s">
        <v>4699</v>
      </c>
      <c r="I1897" t="s">
        <v>4709</v>
      </c>
      <c r="J1897" s="17">
        <f t="shared" si="58"/>
        <v>27646</v>
      </c>
      <c r="K1897">
        <f t="shared" ca="1" si="59"/>
        <v>50</v>
      </c>
    </row>
    <row r="1898" spans="1:11" ht="15.75" customHeight="1">
      <c r="A1898" t="s">
        <v>889</v>
      </c>
      <c r="B1898">
        <v>2003</v>
      </c>
      <c r="C1898" t="s">
        <v>4714</v>
      </c>
      <c r="D1898">
        <v>14</v>
      </c>
      <c r="E1898">
        <v>0</v>
      </c>
      <c r="F1898" s="16">
        <v>23082.959999999999</v>
      </c>
      <c r="G1898" t="s">
        <v>4699</v>
      </c>
      <c r="H1898" t="s">
        <v>4699</v>
      </c>
      <c r="I1898" t="s">
        <v>4718</v>
      </c>
      <c r="J1898" s="17">
        <f t="shared" si="58"/>
        <v>37969</v>
      </c>
      <c r="K1898">
        <f t="shared" ca="1" si="59"/>
        <v>21</v>
      </c>
    </row>
    <row r="1899" spans="1:11" ht="15.75" customHeight="1">
      <c r="A1899" t="s">
        <v>887</v>
      </c>
      <c r="B1899">
        <v>1997</v>
      </c>
      <c r="C1899" t="s">
        <v>4716</v>
      </c>
      <c r="D1899">
        <v>7</v>
      </c>
      <c r="E1899">
        <v>2</v>
      </c>
      <c r="F1899" s="16">
        <v>23241.47</v>
      </c>
      <c r="G1899" t="s">
        <v>4699</v>
      </c>
      <c r="H1899" t="s">
        <v>4700</v>
      </c>
      <c r="I1899" t="s">
        <v>4722</v>
      </c>
      <c r="J1899" s="17">
        <f t="shared" si="58"/>
        <v>35649</v>
      </c>
      <c r="K1899">
        <f t="shared" ca="1" si="59"/>
        <v>28</v>
      </c>
    </row>
    <row r="1900" spans="1:11" ht="15.75" customHeight="1">
      <c r="A1900" t="s">
        <v>885</v>
      </c>
      <c r="B1900">
        <v>1969</v>
      </c>
      <c r="C1900" t="s">
        <v>4710</v>
      </c>
      <c r="D1900">
        <v>14</v>
      </c>
      <c r="E1900">
        <v>1</v>
      </c>
      <c r="F1900" s="16">
        <v>23244.79</v>
      </c>
      <c r="G1900" t="s">
        <v>4699</v>
      </c>
      <c r="H1900" t="s">
        <v>4700</v>
      </c>
      <c r="I1900" t="s">
        <v>4709</v>
      </c>
      <c r="J1900" s="17">
        <f t="shared" si="58"/>
        <v>25521</v>
      </c>
      <c r="K1900">
        <f t="shared" ca="1" si="59"/>
        <v>56</v>
      </c>
    </row>
    <row r="1901" spans="1:11" ht="15.75" customHeight="1">
      <c r="A1901" t="s">
        <v>883</v>
      </c>
      <c r="B1901">
        <v>1994</v>
      </c>
      <c r="C1901" t="s">
        <v>4717</v>
      </c>
      <c r="D1901">
        <v>3</v>
      </c>
      <c r="E1901">
        <v>1</v>
      </c>
      <c r="F1901" s="16">
        <v>23288.93</v>
      </c>
      <c r="G1901" t="s">
        <v>4699</v>
      </c>
      <c r="H1901" t="s">
        <v>4700</v>
      </c>
      <c r="I1901" t="s">
        <v>4724</v>
      </c>
      <c r="J1901" s="17">
        <f t="shared" si="58"/>
        <v>34610</v>
      </c>
      <c r="K1901">
        <f t="shared" ca="1" si="59"/>
        <v>31</v>
      </c>
    </row>
    <row r="1902" spans="1:11" ht="15.75" customHeight="1">
      <c r="A1902" t="s">
        <v>881</v>
      </c>
      <c r="B1902">
        <v>1973</v>
      </c>
      <c r="C1902" t="s">
        <v>4717</v>
      </c>
      <c r="D1902">
        <v>22</v>
      </c>
      <c r="E1902">
        <v>2</v>
      </c>
      <c r="F1902" s="16">
        <v>23306.55</v>
      </c>
      <c r="G1902" t="s">
        <v>4699</v>
      </c>
      <c r="H1902" t="s">
        <v>4699</v>
      </c>
      <c r="I1902" t="s">
        <v>4718</v>
      </c>
      <c r="J1902" s="17">
        <f t="shared" si="58"/>
        <v>26959</v>
      </c>
      <c r="K1902">
        <f t="shared" ca="1" si="59"/>
        <v>52</v>
      </c>
    </row>
    <row r="1903" spans="1:11" ht="15.75" customHeight="1">
      <c r="A1903" t="s">
        <v>879</v>
      </c>
      <c r="B1903">
        <v>1975</v>
      </c>
      <c r="C1903" t="s">
        <v>4710</v>
      </c>
      <c r="D1903">
        <v>13</v>
      </c>
      <c r="E1903">
        <v>1</v>
      </c>
      <c r="F1903" s="16">
        <v>23401.31</v>
      </c>
      <c r="G1903" t="s">
        <v>4699</v>
      </c>
      <c r="H1903" t="s">
        <v>4700</v>
      </c>
      <c r="I1903" t="s">
        <v>4724</v>
      </c>
      <c r="J1903" s="17">
        <f t="shared" si="58"/>
        <v>27711</v>
      </c>
      <c r="K1903">
        <f t="shared" ca="1" si="59"/>
        <v>50</v>
      </c>
    </row>
    <row r="1904" spans="1:11" ht="15.75" customHeight="1">
      <c r="A1904" t="s">
        <v>877</v>
      </c>
      <c r="B1904">
        <v>1983</v>
      </c>
      <c r="C1904" t="s">
        <v>4716</v>
      </c>
      <c r="D1904">
        <v>26</v>
      </c>
      <c r="E1904">
        <v>2</v>
      </c>
      <c r="F1904" s="16">
        <v>23563.02</v>
      </c>
      <c r="G1904" t="s">
        <v>4699</v>
      </c>
      <c r="H1904" t="s">
        <v>4699</v>
      </c>
      <c r="I1904" t="s">
        <v>4709</v>
      </c>
      <c r="J1904" s="17">
        <f t="shared" si="58"/>
        <v>30554</v>
      </c>
      <c r="K1904">
        <f t="shared" ca="1" si="59"/>
        <v>42</v>
      </c>
    </row>
    <row r="1905" spans="1:11" ht="15.75" customHeight="1">
      <c r="A1905" t="s">
        <v>875</v>
      </c>
      <c r="B1905">
        <v>1974</v>
      </c>
      <c r="C1905" t="s">
        <v>4711</v>
      </c>
      <c r="D1905">
        <v>2</v>
      </c>
      <c r="E1905">
        <v>1</v>
      </c>
      <c r="F1905" s="16">
        <v>23568.27</v>
      </c>
      <c r="G1905" t="s">
        <v>4699</v>
      </c>
      <c r="H1905" t="s">
        <v>4699</v>
      </c>
      <c r="I1905" t="s">
        <v>4718</v>
      </c>
      <c r="J1905" s="17">
        <f t="shared" si="58"/>
        <v>27182</v>
      </c>
      <c r="K1905">
        <f t="shared" ca="1" si="59"/>
        <v>51</v>
      </c>
    </row>
    <row r="1906" spans="1:11" ht="15.75" customHeight="1">
      <c r="A1906" t="s">
        <v>873</v>
      </c>
      <c r="B1906">
        <v>1973</v>
      </c>
      <c r="C1906" t="s">
        <v>4711</v>
      </c>
      <c r="D1906">
        <v>27</v>
      </c>
      <c r="E1906">
        <v>2</v>
      </c>
      <c r="F1906" s="16">
        <v>23807.24</v>
      </c>
      <c r="G1906" t="s">
        <v>4699</v>
      </c>
      <c r="H1906" t="s">
        <v>4700</v>
      </c>
      <c r="I1906" t="s">
        <v>4713</v>
      </c>
      <c r="J1906" s="17">
        <f t="shared" si="58"/>
        <v>26842</v>
      </c>
      <c r="K1906">
        <f t="shared" ca="1" si="59"/>
        <v>52</v>
      </c>
    </row>
    <row r="1907" spans="1:11" ht="15.75" customHeight="1">
      <c r="A1907" t="s">
        <v>871</v>
      </c>
      <c r="B1907">
        <v>1970</v>
      </c>
      <c r="C1907" t="s">
        <v>4716</v>
      </c>
      <c r="D1907">
        <v>8</v>
      </c>
      <c r="E1907">
        <v>1</v>
      </c>
      <c r="F1907" s="16">
        <v>23887.66</v>
      </c>
      <c r="G1907" t="s">
        <v>4699</v>
      </c>
      <c r="H1907" t="s">
        <v>4700</v>
      </c>
      <c r="I1907" t="s">
        <v>4713</v>
      </c>
      <c r="J1907" s="17">
        <f t="shared" si="58"/>
        <v>25788</v>
      </c>
      <c r="K1907">
        <f t="shared" ca="1" si="59"/>
        <v>55</v>
      </c>
    </row>
    <row r="1908" spans="1:11" ht="15.75" customHeight="1">
      <c r="A1908" t="s">
        <v>869</v>
      </c>
      <c r="B1908">
        <v>1971</v>
      </c>
      <c r="C1908" t="s">
        <v>4708</v>
      </c>
      <c r="D1908">
        <v>10</v>
      </c>
      <c r="E1908">
        <v>2</v>
      </c>
      <c r="F1908" s="16">
        <v>23967.38</v>
      </c>
      <c r="G1908" t="s">
        <v>4699</v>
      </c>
      <c r="H1908" t="s">
        <v>4699</v>
      </c>
      <c r="I1908" t="s">
        <v>4713</v>
      </c>
      <c r="J1908" s="17">
        <f t="shared" si="58"/>
        <v>26124</v>
      </c>
      <c r="K1908">
        <f t="shared" ca="1" si="59"/>
        <v>54</v>
      </c>
    </row>
    <row r="1909" spans="1:11" ht="15.75" customHeight="1">
      <c r="A1909" t="s">
        <v>867</v>
      </c>
      <c r="B1909">
        <v>2003</v>
      </c>
      <c r="C1909" t="s">
        <v>4714</v>
      </c>
      <c r="D1909">
        <v>30</v>
      </c>
      <c r="E1909">
        <v>2</v>
      </c>
      <c r="F1909" s="16">
        <v>24059.68</v>
      </c>
      <c r="G1909" t="s">
        <v>4699</v>
      </c>
      <c r="H1909" t="s">
        <v>4699</v>
      </c>
      <c r="I1909" t="s">
        <v>4713</v>
      </c>
      <c r="J1909" s="17">
        <f t="shared" si="58"/>
        <v>37985</v>
      </c>
      <c r="K1909">
        <f t="shared" ca="1" si="59"/>
        <v>21</v>
      </c>
    </row>
    <row r="1910" spans="1:11" ht="15.75" customHeight="1">
      <c r="A1910" t="s">
        <v>865</v>
      </c>
      <c r="B1910">
        <v>1973</v>
      </c>
      <c r="C1910" t="s">
        <v>4711</v>
      </c>
      <c r="D1910">
        <v>13</v>
      </c>
      <c r="E1910">
        <v>3</v>
      </c>
      <c r="F1910" s="16">
        <v>24106.91</v>
      </c>
      <c r="G1910" t="s">
        <v>4699</v>
      </c>
      <c r="H1910" t="s">
        <v>4699</v>
      </c>
      <c r="I1910" t="s">
        <v>4724</v>
      </c>
      <c r="J1910" s="17">
        <f t="shared" si="58"/>
        <v>26828</v>
      </c>
      <c r="K1910">
        <f t="shared" ca="1" si="59"/>
        <v>52</v>
      </c>
    </row>
    <row r="1911" spans="1:11" ht="15.75" customHeight="1">
      <c r="A1911" t="s">
        <v>863</v>
      </c>
      <c r="B1911">
        <v>1974</v>
      </c>
      <c r="C1911" t="s">
        <v>4712</v>
      </c>
      <c r="D1911">
        <v>10</v>
      </c>
      <c r="E1911">
        <v>3</v>
      </c>
      <c r="F1911" s="16">
        <v>24180.93</v>
      </c>
      <c r="G1911" t="s">
        <v>4699</v>
      </c>
      <c r="H1911" t="s">
        <v>4698</v>
      </c>
      <c r="I1911" t="s">
        <v>4709</v>
      </c>
      <c r="J1911" s="17">
        <f t="shared" si="58"/>
        <v>27282</v>
      </c>
      <c r="K1911">
        <f t="shared" ca="1" si="59"/>
        <v>51</v>
      </c>
    </row>
    <row r="1912" spans="1:11" ht="15.75" customHeight="1">
      <c r="A1912" t="s">
        <v>861</v>
      </c>
      <c r="B1912">
        <v>1964</v>
      </c>
      <c r="C1912" t="s">
        <v>4714</v>
      </c>
      <c r="D1912">
        <v>16</v>
      </c>
      <c r="E1912">
        <v>0</v>
      </c>
      <c r="F1912" s="16">
        <v>24227.34</v>
      </c>
      <c r="G1912" t="s">
        <v>4699</v>
      </c>
      <c r="H1912" t="s">
        <v>4698</v>
      </c>
      <c r="I1912" t="s">
        <v>4709</v>
      </c>
      <c r="J1912" s="17">
        <f t="shared" si="58"/>
        <v>23727</v>
      </c>
      <c r="K1912">
        <f t="shared" ca="1" si="59"/>
        <v>60</v>
      </c>
    </row>
    <row r="1913" spans="1:11" ht="15.75" customHeight="1">
      <c r="A1913" t="s">
        <v>859</v>
      </c>
      <c r="B1913">
        <v>2004</v>
      </c>
      <c r="C1913" t="s">
        <v>4716</v>
      </c>
      <c r="D1913">
        <v>3</v>
      </c>
      <c r="E1913">
        <v>0</v>
      </c>
      <c r="F1913" s="16">
        <v>24294.02</v>
      </c>
      <c r="G1913" t="s">
        <v>4699</v>
      </c>
      <c r="H1913" t="s">
        <v>4698</v>
      </c>
      <c r="I1913" t="s">
        <v>4718</v>
      </c>
      <c r="J1913" s="17">
        <f t="shared" si="58"/>
        <v>38202</v>
      </c>
      <c r="K1913">
        <f t="shared" ca="1" si="59"/>
        <v>21</v>
      </c>
    </row>
    <row r="1914" spans="1:11" ht="15.75" customHeight="1">
      <c r="A1914" t="s">
        <v>857</v>
      </c>
      <c r="B1914">
        <v>1999</v>
      </c>
      <c r="C1914" t="s">
        <v>4717</v>
      </c>
      <c r="D1914">
        <v>7</v>
      </c>
      <c r="E1914">
        <v>0</v>
      </c>
      <c r="F1914" s="16">
        <v>24387.74</v>
      </c>
      <c r="G1914" t="s">
        <v>4699</v>
      </c>
      <c r="H1914" t="s">
        <v>4698</v>
      </c>
      <c r="I1914" t="s">
        <v>4718</v>
      </c>
      <c r="J1914" s="17">
        <f t="shared" si="58"/>
        <v>36440</v>
      </c>
      <c r="K1914">
        <f t="shared" ca="1" si="59"/>
        <v>26</v>
      </c>
    </row>
    <row r="1915" spans="1:11" ht="15.75" customHeight="1">
      <c r="A1915" t="s">
        <v>855</v>
      </c>
      <c r="B1915">
        <v>1970</v>
      </c>
      <c r="C1915" t="s">
        <v>4710</v>
      </c>
      <c r="D1915">
        <v>30</v>
      </c>
      <c r="E1915">
        <v>0</v>
      </c>
      <c r="F1915" s="16">
        <v>24393.62</v>
      </c>
      <c r="G1915" t="s">
        <v>4699</v>
      </c>
      <c r="H1915" t="s">
        <v>4700</v>
      </c>
      <c r="I1915" t="s">
        <v>4713</v>
      </c>
      <c r="J1915" s="17">
        <f t="shared" si="58"/>
        <v>25902</v>
      </c>
      <c r="K1915">
        <f t="shared" ca="1" si="59"/>
        <v>54</v>
      </c>
    </row>
    <row r="1916" spans="1:11" ht="15.75" customHeight="1">
      <c r="A1916" t="s">
        <v>853</v>
      </c>
      <c r="B1916">
        <v>1968</v>
      </c>
      <c r="C1916" t="s">
        <v>4708</v>
      </c>
      <c r="D1916">
        <v>6</v>
      </c>
      <c r="E1916">
        <v>0</v>
      </c>
      <c r="F1916" s="16">
        <v>24476.48</v>
      </c>
      <c r="G1916" t="s">
        <v>4699</v>
      </c>
      <c r="H1916" t="s">
        <v>4699</v>
      </c>
      <c r="I1916" t="s">
        <v>4713</v>
      </c>
      <c r="J1916" s="17">
        <f t="shared" si="58"/>
        <v>25025</v>
      </c>
      <c r="K1916">
        <f t="shared" ca="1" si="59"/>
        <v>57</v>
      </c>
    </row>
    <row r="1917" spans="1:11" ht="15.75" customHeight="1">
      <c r="A1917" t="s">
        <v>851</v>
      </c>
      <c r="B1917">
        <v>1961</v>
      </c>
      <c r="C1917" t="s">
        <v>4717</v>
      </c>
      <c r="D1917">
        <v>21</v>
      </c>
      <c r="E1917">
        <v>0</v>
      </c>
      <c r="F1917" s="16">
        <v>24513.09</v>
      </c>
      <c r="G1917" t="s">
        <v>4699</v>
      </c>
      <c r="H1917" t="s">
        <v>4699</v>
      </c>
      <c r="I1917" t="s">
        <v>4709</v>
      </c>
      <c r="J1917" s="17">
        <f t="shared" si="58"/>
        <v>22575</v>
      </c>
      <c r="K1917">
        <f t="shared" ca="1" si="59"/>
        <v>64</v>
      </c>
    </row>
    <row r="1918" spans="1:11" ht="15.75" customHeight="1">
      <c r="A1918" t="s">
        <v>849</v>
      </c>
      <c r="B1918">
        <v>1972</v>
      </c>
      <c r="C1918" t="s">
        <v>4712</v>
      </c>
      <c r="D1918">
        <v>14</v>
      </c>
      <c r="E1918">
        <v>1</v>
      </c>
      <c r="F1918" s="16">
        <v>24520.26</v>
      </c>
      <c r="G1918" t="s">
        <v>4699</v>
      </c>
      <c r="H1918" t="s">
        <v>4700</v>
      </c>
      <c r="I1918" t="s">
        <v>4718</v>
      </c>
      <c r="J1918" s="17">
        <f t="shared" si="58"/>
        <v>26556</v>
      </c>
      <c r="K1918">
        <f t="shared" ca="1" si="59"/>
        <v>53</v>
      </c>
    </row>
    <row r="1919" spans="1:11" ht="15.75" customHeight="1">
      <c r="A1919" t="s">
        <v>847</v>
      </c>
      <c r="B1919">
        <v>1975</v>
      </c>
      <c r="C1919" t="s">
        <v>4711</v>
      </c>
      <c r="D1919">
        <v>13</v>
      </c>
      <c r="E1919">
        <v>2</v>
      </c>
      <c r="F1919" s="16">
        <v>24535.7</v>
      </c>
      <c r="G1919" t="s">
        <v>4699</v>
      </c>
      <c r="H1919" t="s">
        <v>4699</v>
      </c>
      <c r="I1919" t="s">
        <v>4713</v>
      </c>
      <c r="J1919" s="17">
        <f t="shared" si="58"/>
        <v>27558</v>
      </c>
      <c r="K1919">
        <f t="shared" ca="1" si="59"/>
        <v>50</v>
      </c>
    </row>
    <row r="1920" spans="1:11" ht="15.75" customHeight="1">
      <c r="A1920" t="s">
        <v>845</v>
      </c>
      <c r="B1920">
        <v>1976</v>
      </c>
      <c r="C1920" t="s">
        <v>4717</v>
      </c>
      <c r="D1920">
        <v>12</v>
      </c>
      <c r="E1920">
        <v>0</v>
      </c>
      <c r="F1920" s="16">
        <v>24603.05</v>
      </c>
      <c r="G1920" t="s">
        <v>4699</v>
      </c>
      <c r="H1920" t="s">
        <v>4699</v>
      </c>
      <c r="I1920" t="s">
        <v>4718</v>
      </c>
      <c r="J1920" s="17">
        <f t="shared" si="58"/>
        <v>28045</v>
      </c>
      <c r="K1920">
        <f t="shared" ca="1" si="59"/>
        <v>49</v>
      </c>
    </row>
    <row r="1921" spans="1:11" ht="15.75" customHeight="1">
      <c r="A1921" t="s">
        <v>843</v>
      </c>
      <c r="B1921">
        <v>1970</v>
      </c>
      <c r="C1921" t="s">
        <v>4711</v>
      </c>
      <c r="D1921">
        <v>12</v>
      </c>
      <c r="E1921">
        <v>2</v>
      </c>
      <c r="F1921" s="16">
        <v>24667.42</v>
      </c>
      <c r="G1921" t="s">
        <v>4699</v>
      </c>
      <c r="H1921" t="s">
        <v>4700</v>
      </c>
      <c r="I1921" t="s">
        <v>4709</v>
      </c>
      <c r="J1921" s="17">
        <f t="shared" si="58"/>
        <v>25731</v>
      </c>
      <c r="K1921">
        <f t="shared" ca="1" si="59"/>
        <v>55</v>
      </c>
    </row>
    <row r="1922" spans="1:11" ht="15.75" customHeight="1">
      <c r="A1922" t="s">
        <v>841</v>
      </c>
      <c r="B1922">
        <v>1996</v>
      </c>
      <c r="C1922" t="s">
        <v>4716</v>
      </c>
      <c r="D1922">
        <v>28</v>
      </c>
      <c r="E1922">
        <v>4</v>
      </c>
      <c r="F1922" s="16">
        <v>24671.66</v>
      </c>
      <c r="G1922" t="s">
        <v>4699</v>
      </c>
      <c r="H1922" t="s">
        <v>4698</v>
      </c>
      <c r="I1922" t="s">
        <v>4724</v>
      </c>
      <c r="J1922" s="17">
        <f t="shared" si="58"/>
        <v>35305</v>
      </c>
      <c r="K1922">
        <f t="shared" ca="1" si="59"/>
        <v>29</v>
      </c>
    </row>
    <row r="1923" spans="1:11" ht="15.75" customHeight="1">
      <c r="A1923" t="s">
        <v>839</v>
      </c>
      <c r="B1923">
        <v>1992</v>
      </c>
      <c r="C1923" t="s">
        <v>4717</v>
      </c>
      <c r="D1923">
        <v>11</v>
      </c>
      <c r="E1923">
        <v>0</v>
      </c>
      <c r="F1923" s="16">
        <v>24795.040000000001</v>
      </c>
      <c r="G1923" t="s">
        <v>4699</v>
      </c>
      <c r="H1923" t="s">
        <v>4700</v>
      </c>
      <c r="I1923" t="s">
        <v>4718</v>
      </c>
      <c r="J1923" s="17">
        <f t="shared" ref="J1923:J1986" si="60">DATEVALUE(D1923&amp;"-"&amp;C1923&amp;" -"&amp;B1923)</f>
        <v>33888</v>
      </c>
      <c r="K1923">
        <f t="shared" ref="K1923:K1986" ca="1" si="61">DATEDIF(J1923,TODAY(),"Y")</f>
        <v>33</v>
      </c>
    </row>
    <row r="1924" spans="1:11" ht="15.75" customHeight="1">
      <c r="A1924" t="s">
        <v>837</v>
      </c>
      <c r="B1924">
        <v>1994</v>
      </c>
      <c r="C1924" t="s">
        <v>4712</v>
      </c>
      <c r="D1924">
        <v>9</v>
      </c>
      <c r="E1924">
        <v>0</v>
      </c>
      <c r="F1924" s="16">
        <v>24817.25</v>
      </c>
      <c r="G1924" t="s">
        <v>4699</v>
      </c>
      <c r="H1924" t="s">
        <v>4699</v>
      </c>
      <c r="I1924" t="s">
        <v>4718</v>
      </c>
      <c r="J1924" s="17">
        <f t="shared" si="60"/>
        <v>34586</v>
      </c>
      <c r="K1924">
        <f t="shared" ca="1" si="61"/>
        <v>31</v>
      </c>
    </row>
    <row r="1925" spans="1:11" ht="15.75" customHeight="1">
      <c r="A1925" t="s">
        <v>835</v>
      </c>
      <c r="B1925">
        <v>1995</v>
      </c>
      <c r="C1925" t="s">
        <v>4711</v>
      </c>
      <c r="D1925">
        <v>10</v>
      </c>
      <c r="E1925">
        <v>0</v>
      </c>
      <c r="F1925" s="16">
        <v>24863.25</v>
      </c>
      <c r="G1925" t="s">
        <v>4699</v>
      </c>
      <c r="H1925" t="s">
        <v>4700</v>
      </c>
      <c r="I1925" t="s">
        <v>4718</v>
      </c>
      <c r="J1925" s="17">
        <f t="shared" si="60"/>
        <v>34860</v>
      </c>
      <c r="K1925">
        <f t="shared" ca="1" si="61"/>
        <v>30</v>
      </c>
    </row>
    <row r="1926" spans="1:11" ht="15.75" customHeight="1">
      <c r="A1926" t="s">
        <v>833</v>
      </c>
      <c r="B1926">
        <v>1970</v>
      </c>
      <c r="C1926" t="s">
        <v>4710</v>
      </c>
      <c r="D1926">
        <v>26</v>
      </c>
      <c r="E1926">
        <v>3</v>
      </c>
      <c r="F1926" s="16">
        <v>24869.84</v>
      </c>
      <c r="G1926" t="s">
        <v>4699</v>
      </c>
      <c r="H1926" t="s">
        <v>4699</v>
      </c>
      <c r="I1926" t="s">
        <v>4721</v>
      </c>
      <c r="J1926" s="17">
        <f t="shared" si="60"/>
        <v>25898</v>
      </c>
      <c r="K1926">
        <f t="shared" ca="1" si="61"/>
        <v>55</v>
      </c>
    </row>
    <row r="1927" spans="1:11" ht="15.75" customHeight="1">
      <c r="A1927" t="s">
        <v>831</v>
      </c>
      <c r="B1927">
        <v>1969</v>
      </c>
      <c r="C1927" t="s">
        <v>4708</v>
      </c>
      <c r="D1927">
        <v>23</v>
      </c>
      <c r="E1927">
        <v>3</v>
      </c>
      <c r="F1927" s="16">
        <v>24873.38</v>
      </c>
      <c r="G1927" t="s">
        <v>4699</v>
      </c>
      <c r="H1927" t="s">
        <v>4698</v>
      </c>
      <c r="I1927" t="s">
        <v>4724</v>
      </c>
      <c r="J1927" s="17">
        <f t="shared" si="60"/>
        <v>25407</v>
      </c>
      <c r="K1927">
        <f t="shared" ca="1" si="61"/>
        <v>56</v>
      </c>
    </row>
    <row r="1928" spans="1:11" ht="15.75" customHeight="1">
      <c r="A1928" t="s">
        <v>829</v>
      </c>
      <c r="B1928">
        <v>1987</v>
      </c>
      <c r="C1928" t="s">
        <v>4711</v>
      </c>
      <c r="D1928">
        <v>14</v>
      </c>
      <c r="E1928">
        <v>2</v>
      </c>
      <c r="F1928" s="16">
        <v>24915.05</v>
      </c>
      <c r="G1928" t="s">
        <v>4699</v>
      </c>
      <c r="H1928" t="s">
        <v>4698</v>
      </c>
      <c r="I1928" t="s">
        <v>4724</v>
      </c>
      <c r="J1928" s="17">
        <f t="shared" si="60"/>
        <v>31942</v>
      </c>
      <c r="K1928">
        <f t="shared" ca="1" si="61"/>
        <v>38</v>
      </c>
    </row>
    <row r="1929" spans="1:11" ht="15.75" customHeight="1">
      <c r="A1929" t="s">
        <v>827</v>
      </c>
      <c r="B1929">
        <v>1975</v>
      </c>
      <c r="C1929" t="s">
        <v>4710</v>
      </c>
      <c r="D1929">
        <v>14</v>
      </c>
      <c r="E1929">
        <v>3</v>
      </c>
      <c r="F1929" s="16">
        <v>24915.22</v>
      </c>
      <c r="G1929" t="s">
        <v>4699</v>
      </c>
      <c r="H1929" t="s">
        <v>4700</v>
      </c>
      <c r="I1929" t="s">
        <v>4713</v>
      </c>
      <c r="J1929" s="17">
        <f t="shared" si="60"/>
        <v>27712</v>
      </c>
      <c r="K1929">
        <f t="shared" ca="1" si="61"/>
        <v>50</v>
      </c>
    </row>
    <row r="1930" spans="1:11" ht="15.75" customHeight="1">
      <c r="A1930" t="s">
        <v>825</v>
      </c>
      <c r="B1930">
        <v>1995</v>
      </c>
      <c r="C1930" t="s">
        <v>4714</v>
      </c>
      <c r="D1930">
        <v>4</v>
      </c>
      <c r="E1930">
        <v>0</v>
      </c>
      <c r="F1930" s="16">
        <v>25075.97</v>
      </c>
      <c r="G1930" t="s">
        <v>4699</v>
      </c>
      <c r="H1930" t="s">
        <v>4699</v>
      </c>
      <c r="I1930" t="s">
        <v>4718</v>
      </c>
      <c r="J1930" s="17">
        <f t="shared" si="60"/>
        <v>35037</v>
      </c>
      <c r="K1930">
        <f t="shared" ca="1" si="61"/>
        <v>29</v>
      </c>
    </row>
    <row r="1931" spans="1:11" ht="15.75" customHeight="1">
      <c r="A1931" t="s">
        <v>823</v>
      </c>
      <c r="B1931">
        <v>1998</v>
      </c>
      <c r="C1931" t="s">
        <v>4711</v>
      </c>
      <c r="D1931">
        <v>14</v>
      </c>
      <c r="E1931">
        <v>0</v>
      </c>
      <c r="F1931" s="16">
        <v>25081.77</v>
      </c>
      <c r="G1931" t="s">
        <v>4699</v>
      </c>
      <c r="H1931" t="s">
        <v>4699</v>
      </c>
      <c r="I1931" t="s">
        <v>4709</v>
      </c>
      <c r="J1931" s="17">
        <f t="shared" si="60"/>
        <v>35960</v>
      </c>
      <c r="K1931">
        <f t="shared" ca="1" si="61"/>
        <v>27</v>
      </c>
    </row>
    <row r="1932" spans="1:11" ht="15.75" customHeight="1">
      <c r="A1932" t="s">
        <v>821</v>
      </c>
      <c r="B1932">
        <v>1998</v>
      </c>
      <c r="C1932" t="s">
        <v>4710</v>
      </c>
      <c r="D1932">
        <v>24</v>
      </c>
      <c r="E1932">
        <v>0</v>
      </c>
      <c r="F1932" s="16">
        <v>25127.22</v>
      </c>
      <c r="G1932" t="s">
        <v>4699</v>
      </c>
      <c r="H1932" t="s">
        <v>4700</v>
      </c>
      <c r="I1932" t="s">
        <v>4718</v>
      </c>
      <c r="J1932" s="17">
        <f t="shared" si="60"/>
        <v>36123</v>
      </c>
      <c r="K1932">
        <f t="shared" ca="1" si="61"/>
        <v>27</v>
      </c>
    </row>
    <row r="1933" spans="1:11" ht="15.75" customHeight="1">
      <c r="A1933" t="s">
        <v>819</v>
      </c>
      <c r="B1933">
        <v>1975</v>
      </c>
      <c r="C1933" t="s">
        <v>4714</v>
      </c>
      <c r="D1933">
        <v>14</v>
      </c>
      <c r="E1933">
        <v>3</v>
      </c>
      <c r="F1933" s="16">
        <v>25309.49</v>
      </c>
      <c r="G1933" t="s">
        <v>4699</v>
      </c>
      <c r="H1933" t="s">
        <v>4698</v>
      </c>
      <c r="I1933" t="s">
        <v>4718</v>
      </c>
      <c r="J1933" s="17">
        <f t="shared" si="60"/>
        <v>27742</v>
      </c>
      <c r="K1933">
        <f t="shared" ca="1" si="61"/>
        <v>49</v>
      </c>
    </row>
    <row r="1934" spans="1:11" ht="15.75" customHeight="1">
      <c r="A1934" t="s">
        <v>817</v>
      </c>
      <c r="B1934">
        <v>1972</v>
      </c>
      <c r="C1934" t="s">
        <v>4712</v>
      </c>
      <c r="D1934">
        <v>26</v>
      </c>
      <c r="E1934">
        <v>2</v>
      </c>
      <c r="F1934" s="16">
        <v>25333.33</v>
      </c>
      <c r="G1934" t="s">
        <v>4699</v>
      </c>
      <c r="H1934" t="s">
        <v>4699</v>
      </c>
      <c r="I1934" t="s">
        <v>4728</v>
      </c>
      <c r="J1934" s="17">
        <f t="shared" si="60"/>
        <v>26568</v>
      </c>
      <c r="K1934">
        <f t="shared" ca="1" si="61"/>
        <v>53</v>
      </c>
    </row>
    <row r="1935" spans="1:11" ht="15.75" customHeight="1">
      <c r="A1935" t="s">
        <v>815</v>
      </c>
      <c r="B1935">
        <v>1968</v>
      </c>
      <c r="C1935" t="s">
        <v>4716</v>
      </c>
      <c r="D1935">
        <v>22</v>
      </c>
      <c r="E1935">
        <v>3</v>
      </c>
      <c r="F1935" s="16">
        <v>25382.3</v>
      </c>
      <c r="G1935" t="s">
        <v>4699</v>
      </c>
      <c r="H1935" t="s">
        <v>4699</v>
      </c>
      <c r="I1935" t="s">
        <v>4718</v>
      </c>
      <c r="J1935" s="17">
        <f t="shared" si="60"/>
        <v>25072</v>
      </c>
      <c r="K1935">
        <f t="shared" ca="1" si="61"/>
        <v>57</v>
      </c>
    </row>
    <row r="1936" spans="1:11" ht="15.75" customHeight="1">
      <c r="A1936" t="s">
        <v>813</v>
      </c>
      <c r="B1936">
        <v>1968</v>
      </c>
      <c r="C1936" t="s">
        <v>4714</v>
      </c>
      <c r="D1936">
        <v>11</v>
      </c>
      <c r="E1936">
        <v>1</v>
      </c>
      <c r="F1936" s="16">
        <v>25517.11</v>
      </c>
      <c r="G1936" t="s">
        <v>4699</v>
      </c>
      <c r="H1936" t="s">
        <v>4700</v>
      </c>
      <c r="I1936" t="s">
        <v>4728</v>
      </c>
      <c r="J1936" s="17">
        <f t="shared" si="60"/>
        <v>25183</v>
      </c>
      <c r="K1936">
        <f t="shared" ca="1" si="61"/>
        <v>56</v>
      </c>
    </row>
    <row r="1937" spans="1:11" ht="15.75" customHeight="1">
      <c r="A1937" t="s">
        <v>811</v>
      </c>
      <c r="B1937">
        <v>2001</v>
      </c>
      <c r="C1937" t="s">
        <v>4716</v>
      </c>
      <c r="D1937">
        <v>2</v>
      </c>
      <c r="E1937">
        <v>0</v>
      </c>
      <c r="F1937" s="16">
        <v>25648.98</v>
      </c>
      <c r="G1937" t="s">
        <v>4699</v>
      </c>
      <c r="H1937" t="s">
        <v>4698</v>
      </c>
      <c r="I1937" t="s">
        <v>4718</v>
      </c>
      <c r="J1937" s="17">
        <f t="shared" si="60"/>
        <v>37105</v>
      </c>
      <c r="K1937">
        <f t="shared" ca="1" si="61"/>
        <v>24</v>
      </c>
    </row>
    <row r="1938" spans="1:11" ht="15.75" customHeight="1">
      <c r="A1938" t="s">
        <v>809</v>
      </c>
      <c r="B1938">
        <v>1972</v>
      </c>
      <c r="C1938" t="s">
        <v>4708</v>
      </c>
      <c r="D1938">
        <v>17</v>
      </c>
      <c r="E1938">
        <v>0</v>
      </c>
      <c r="F1938" s="16">
        <v>25656.58</v>
      </c>
      <c r="G1938" t="s">
        <v>4699</v>
      </c>
      <c r="H1938" t="s">
        <v>4700</v>
      </c>
      <c r="I1938" t="s">
        <v>4724</v>
      </c>
      <c r="J1938" s="17">
        <f t="shared" si="60"/>
        <v>26497</v>
      </c>
      <c r="K1938">
        <f t="shared" ca="1" si="61"/>
        <v>53</v>
      </c>
    </row>
    <row r="1939" spans="1:11" ht="15.75" customHeight="1">
      <c r="A1939" t="s">
        <v>807</v>
      </c>
      <c r="B1939">
        <v>1963</v>
      </c>
      <c r="C1939" t="s">
        <v>4716</v>
      </c>
      <c r="D1939">
        <v>21</v>
      </c>
      <c r="E1939">
        <v>0</v>
      </c>
      <c r="F1939" s="16">
        <v>25678.78</v>
      </c>
      <c r="G1939" t="s">
        <v>4699</v>
      </c>
      <c r="H1939" t="s">
        <v>4700</v>
      </c>
      <c r="I1939" t="s">
        <v>4713</v>
      </c>
      <c r="J1939" s="17">
        <f t="shared" si="60"/>
        <v>23244</v>
      </c>
      <c r="K1939">
        <f t="shared" ca="1" si="61"/>
        <v>62</v>
      </c>
    </row>
    <row r="1940" spans="1:11" ht="15.75" customHeight="1">
      <c r="A1940" t="s">
        <v>805</v>
      </c>
      <c r="B1940">
        <v>1970</v>
      </c>
      <c r="C1940" t="s">
        <v>4714</v>
      </c>
      <c r="D1940">
        <v>3</v>
      </c>
      <c r="E1940">
        <v>3</v>
      </c>
      <c r="F1940" s="16">
        <v>25992.82</v>
      </c>
      <c r="G1940" t="s">
        <v>4699</v>
      </c>
      <c r="H1940" t="s">
        <v>4699</v>
      </c>
      <c r="I1940" t="s">
        <v>4709</v>
      </c>
      <c r="J1940" s="17">
        <f t="shared" si="60"/>
        <v>25905</v>
      </c>
      <c r="K1940">
        <f t="shared" ca="1" si="61"/>
        <v>54</v>
      </c>
    </row>
    <row r="1941" spans="1:11" ht="15.75" customHeight="1">
      <c r="A1941" t="s">
        <v>803</v>
      </c>
      <c r="B1941">
        <v>2001</v>
      </c>
      <c r="C1941" t="s">
        <v>4711</v>
      </c>
      <c r="D1941">
        <v>5</v>
      </c>
      <c r="E1941">
        <v>2</v>
      </c>
      <c r="F1941" s="16">
        <v>26018.95</v>
      </c>
      <c r="G1941" t="s">
        <v>4699</v>
      </c>
      <c r="H1941" t="s">
        <v>4699</v>
      </c>
      <c r="I1941" t="s">
        <v>4713</v>
      </c>
      <c r="J1941" s="17">
        <f t="shared" si="60"/>
        <v>37047</v>
      </c>
      <c r="K1941">
        <f t="shared" ca="1" si="61"/>
        <v>24</v>
      </c>
    </row>
    <row r="1942" spans="1:11" ht="15.75" customHeight="1">
      <c r="A1942" t="s">
        <v>801</v>
      </c>
      <c r="B1942">
        <v>2000</v>
      </c>
      <c r="C1942" t="s">
        <v>4714</v>
      </c>
      <c r="D1942">
        <v>26</v>
      </c>
      <c r="E1942">
        <v>0</v>
      </c>
      <c r="F1942" s="16">
        <v>26026.97</v>
      </c>
      <c r="G1942" t="s">
        <v>4699</v>
      </c>
      <c r="H1942" t="s">
        <v>4700</v>
      </c>
      <c r="I1942" t="s">
        <v>4718</v>
      </c>
      <c r="J1942" s="17">
        <f t="shared" si="60"/>
        <v>36886</v>
      </c>
      <c r="K1942">
        <f t="shared" ca="1" si="61"/>
        <v>24</v>
      </c>
    </row>
    <row r="1943" spans="1:11" ht="15.75" customHeight="1">
      <c r="A1943" t="s">
        <v>799</v>
      </c>
      <c r="B1943">
        <v>1966</v>
      </c>
      <c r="C1943" t="s">
        <v>4708</v>
      </c>
      <c r="D1943">
        <v>9</v>
      </c>
      <c r="E1943">
        <v>1</v>
      </c>
      <c r="F1943" s="16">
        <v>26109.33</v>
      </c>
      <c r="G1943" t="s">
        <v>4699</v>
      </c>
      <c r="H1943" t="s">
        <v>4700</v>
      </c>
      <c r="I1943" t="s">
        <v>4713</v>
      </c>
      <c r="J1943" s="17">
        <f t="shared" si="60"/>
        <v>24297</v>
      </c>
      <c r="K1943">
        <f t="shared" ca="1" si="61"/>
        <v>59</v>
      </c>
    </row>
    <row r="1944" spans="1:11" ht="15.75" customHeight="1">
      <c r="A1944" t="s">
        <v>797</v>
      </c>
      <c r="B1944">
        <v>2002</v>
      </c>
      <c r="C1944" t="s">
        <v>4717</v>
      </c>
      <c r="D1944">
        <v>11</v>
      </c>
      <c r="E1944">
        <v>0</v>
      </c>
      <c r="F1944" s="16">
        <v>26125.67</v>
      </c>
      <c r="G1944" t="s">
        <v>4699</v>
      </c>
      <c r="H1944" t="s">
        <v>4698</v>
      </c>
      <c r="I1944" t="s">
        <v>4709</v>
      </c>
      <c r="J1944" s="17">
        <f t="shared" si="60"/>
        <v>37540</v>
      </c>
      <c r="K1944">
        <f t="shared" ca="1" si="61"/>
        <v>23</v>
      </c>
    </row>
    <row r="1945" spans="1:11" ht="15.75" customHeight="1">
      <c r="A1945" t="s">
        <v>795</v>
      </c>
      <c r="B1945">
        <v>1973</v>
      </c>
      <c r="C1945" t="s">
        <v>4708</v>
      </c>
      <c r="D1945">
        <v>7</v>
      </c>
      <c r="E1945">
        <v>1</v>
      </c>
      <c r="F1945" s="16">
        <v>26140.36</v>
      </c>
      <c r="G1945" t="s">
        <v>4699</v>
      </c>
      <c r="H1945" t="s">
        <v>4700</v>
      </c>
      <c r="I1945" t="s">
        <v>4718</v>
      </c>
      <c r="J1945" s="17">
        <f t="shared" si="60"/>
        <v>26852</v>
      </c>
      <c r="K1945">
        <f t="shared" ca="1" si="61"/>
        <v>52</v>
      </c>
    </row>
    <row r="1946" spans="1:11" ht="15.75" customHeight="1">
      <c r="A1946" t="s">
        <v>793</v>
      </c>
      <c r="B1946">
        <v>1975</v>
      </c>
      <c r="C1946" t="s">
        <v>4711</v>
      </c>
      <c r="D1946">
        <v>4</v>
      </c>
      <c r="E1946">
        <v>1</v>
      </c>
      <c r="F1946" s="16">
        <v>26236.58</v>
      </c>
      <c r="G1946" t="s">
        <v>4699</v>
      </c>
      <c r="H1946" t="s">
        <v>4698</v>
      </c>
      <c r="I1946" t="s">
        <v>4718</v>
      </c>
      <c r="J1946" s="17">
        <f t="shared" si="60"/>
        <v>27549</v>
      </c>
      <c r="K1946">
        <f t="shared" ca="1" si="61"/>
        <v>50</v>
      </c>
    </row>
    <row r="1947" spans="1:11" ht="15.75" customHeight="1">
      <c r="A1947" t="s">
        <v>791</v>
      </c>
      <c r="B1947">
        <v>2004</v>
      </c>
      <c r="C1947" t="s">
        <v>4714</v>
      </c>
      <c r="D1947">
        <v>5</v>
      </c>
      <c r="E1947">
        <v>0</v>
      </c>
      <c r="F1947" s="16">
        <v>26316.59</v>
      </c>
      <c r="G1947" t="s">
        <v>4699</v>
      </c>
      <c r="H1947" t="s">
        <v>4700</v>
      </c>
      <c r="I1947" t="s">
        <v>4718</v>
      </c>
      <c r="J1947" s="17">
        <f t="shared" si="60"/>
        <v>38326</v>
      </c>
      <c r="K1947">
        <f t="shared" ca="1" si="61"/>
        <v>20</v>
      </c>
    </row>
    <row r="1948" spans="1:11" ht="15.75" customHeight="1">
      <c r="A1948" t="s">
        <v>789</v>
      </c>
      <c r="B1948">
        <v>1974</v>
      </c>
      <c r="C1948" t="s">
        <v>4712</v>
      </c>
      <c r="D1948">
        <v>21</v>
      </c>
      <c r="E1948">
        <v>1</v>
      </c>
      <c r="F1948" s="16">
        <v>26392.26</v>
      </c>
      <c r="G1948" t="s">
        <v>4699</v>
      </c>
      <c r="H1948" t="s">
        <v>4699</v>
      </c>
      <c r="I1948" t="s">
        <v>4724</v>
      </c>
      <c r="J1948" s="17">
        <f t="shared" si="60"/>
        <v>27293</v>
      </c>
      <c r="K1948">
        <f t="shared" ca="1" si="61"/>
        <v>51</v>
      </c>
    </row>
    <row r="1949" spans="1:11" ht="15.75" customHeight="1">
      <c r="A1949" t="s">
        <v>787</v>
      </c>
      <c r="B1949">
        <v>1970</v>
      </c>
      <c r="C1949" t="s">
        <v>4716</v>
      </c>
      <c r="D1949">
        <v>27</v>
      </c>
      <c r="E1949">
        <v>2</v>
      </c>
      <c r="F1949" s="16">
        <v>26467.1</v>
      </c>
      <c r="G1949" t="s">
        <v>4699</v>
      </c>
      <c r="H1949" t="s">
        <v>4700</v>
      </c>
      <c r="I1949" t="s">
        <v>4713</v>
      </c>
      <c r="J1949" s="17">
        <f t="shared" si="60"/>
        <v>25807</v>
      </c>
      <c r="K1949">
        <f t="shared" ca="1" si="61"/>
        <v>55</v>
      </c>
    </row>
    <row r="1950" spans="1:11" ht="15.75" customHeight="1">
      <c r="A1950" t="s">
        <v>785</v>
      </c>
      <c r="B1950">
        <v>2004</v>
      </c>
      <c r="C1950" t="s">
        <v>4712</v>
      </c>
      <c r="D1950">
        <v>5</v>
      </c>
      <c r="E1950">
        <v>0</v>
      </c>
      <c r="F1950" s="16">
        <v>26479.4</v>
      </c>
      <c r="G1950" t="s">
        <v>4699</v>
      </c>
      <c r="H1950" t="s">
        <v>4699</v>
      </c>
      <c r="I1950" t="s">
        <v>4718</v>
      </c>
      <c r="J1950" s="17">
        <f t="shared" si="60"/>
        <v>38235</v>
      </c>
      <c r="K1950">
        <f t="shared" ca="1" si="61"/>
        <v>21</v>
      </c>
    </row>
    <row r="1951" spans="1:11" ht="15.75" customHeight="1">
      <c r="A1951" t="s">
        <v>783</v>
      </c>
      <c r="B1951">
        <v>1988</v>
      </c>
      <c r="C1951" t="s">
        <v>4708</v>
      </c>
      <c r="D1951">
        <v>22</v>
      </c>
      <c r="E1951">
        <v>3</v>
      </c>
      <c r="F1951" s="16">
        <v>26607.89</v>
      </c>
      <c r="G1951" t="s">
        <v>4699</v>
      </c>
      <c r="H1951" t="s">
        <v>4698</v>
      </c>
      <c r="I1951" t="s">
        <v>4718</v>
      </c>
      <c r="J1951" s="17">
        <f t="shared" si="60"/>
        <v>32346</v>
      </c>
      <c r="K1951">
        <f t="shared" ca="1" si="61"/>
        <v>37</v>
      </c>
    </row>
    <row r="1952" spans="1:11" ht="15.75" customHeight="1">
      <c r="A1952" t="s">
        <v>781</v>
      </c>
      <c r="B1952">
        <v>1991</v>
      </c>
      <c r="C1952" t="s">
        <v>4716</v>
      </c>
      <c r="D1952">
        <v>22</v>
      </c>
      <c r="E1952">
        <v>3</v>
      </c>
      <c r="F1952" s="16">
        <v>26912.560000000001</v>
      </c>
      <c r="G1952" t="s">
        <v>4699</v>
      </c>
      <c r="H1952" t="s">
        <v>4699</v>
      </c>
      <c r="I1952" t="s">
        <v>4718</v>
      </c>
      <c r="J1952" s="17">
        <f t="shared" si="60"/>
        <v>33472</v>
      </c>
      <c r="K1952">
        <f t="shared" ca="1" si="61"/>
        <v>34</v>
      </c>
    </row>
    <row r="1953" spans="1:11" ht="15.75" customHeight="1">
      <c r="A1953" t="s">
        <v>779</v>
      </c>
      <c r="B1953">
        <v>1958</v>
      </c>
      <c r="C1953" t="s">
        <v>4714</v>
      </c>
      <c r="D1953">
        <v>25</v>
      </c>
      <c r="E1953">
        <v>0</v>
      </c>
      <c r="F1953" s="16">
        <v>26926.51</v>
      </c>
      <c r="G1953" t="s">
        <v>4699</v>
      </c>
      <c r="H1953" t="s">
        <v>4698</v>
      </c>
      <c r="I1953" t="s">
        <v>4709</v>
      </c>
      <c r="J1953" s="17">
        <f t="shared" si="60"/>
        <v>21544</v>
      </c>
      <c r="K1953">
        <f t="shared" ca="1" si="61"/>
        <v>66</v>
      </c>
    </row>
    <row r="1954" spans="1:11" ht="15.75" customHeight="1">
      <c r="A1954" t="s">
        <v>777</v>
      </c>
      <c r="B1954">
        <v>2002</v>
      </c>
      <c r="C1954" t="s">
        <v>4711</v>
      </c>
      <c r="D1954">
        <v>17</v>
      </c>
      <c r="E1954">
        <v>0</v>
      </c>
      <c r="F1954" s="16">
        <v>26927.69</v>
      </c>
      <c r="G1954" t="s">
        <v>4699</v>
      </c>
      <c r="H1954" t="s">
        <v>4699</v>
      </c>
      <c r="I1954" t="s">
        <v>4718</v>
      </c>
      <c r="J1954" s="17">
        <f t="shared" si="60"/>
        <v>37424</v>
      </c>
      <c r="K1954">
        <f t="shared" ca="1" si="61"/>
        <v>23</v>
      </c>
    </row>
    <row r="1955" spans="1:11" ht="15.75" customHeight="1">
      <c r="A1955" t="s">
        <v>775</v>
      </c>
      <c r="B1955">
        <v>2000</v>
      </c>
      <c r="C1955" t="s">
        <v>4710</v>
      </c>
      <c r="D1955">
        <v>9</v>
      </c>
      <c r="E1955">
        <v>0</v>
      </c>
      <c r="F1955" s="16">
        <v>26936.98</v>
      </c>
      <c r="G1955" t="s">
        <v>4699</v>
      </c>
      <c r="H1955" t="s">
        <v>4700</v>
      </c>
      <c r="I1955" t="s">
        <v>4718</v>
      </c>
      <c r="J1955" s="17">
        <f t="shared" si="60"/>
        <v>36839</v>
      </c>
      <c r="K1955">
        <f t="shared" ca="1" si="61"/>
        <v>25</v>
      </c>
    </row>
    <row r="1956" spans="1:11" ht="15.75" customHeight="1">
      <c r="A1956" t="s">
        <v>773</v>
      </c>
      <c r="B1956">
        <v>1960</v>
      </c>
      <c r="C1956" t="s">
        <v>4708</v>
      </c>
      <c r="D1956">
        <v>9</v>
      </c>
      <c r="E1956">
        <v>1</v>
      </c>
      <c r="F1956" s="16">
        <v>27000.98</v>
      </c>
      <c r="G1956" t="s">
        <v>4699</v>
      </c>
      <c r="H1956" t="s">
        <v>4699</v>
      </c>
      <c r="I1956" t="s">
        <v>4709</v>
      </c>
      <c r="J1956" s="17">
        <f t="shared" si="60"/>
        <v>22106</v>
      </c>
      <c r="K1956">
        <f t="shared" ca="1" si="61"/>
        <v>65</v>
      </c>
    </row>
    <row r="1957" spans="1:11" ht="15.75" customHeight="1">
      <c r="A1957" t="s">
        <v>771</v>
      </c>
      <c r="B1957">
        <v>1958</v>
      </c>
      <c r="C1957" t="s">
        <v>4711</v>
      </c>
      <c r="D1957">
        <v>30</v>
      </c>
      <c r="E1957">
        <v>0</v>
      </c>
      <c r="F1957" s="16">
        <v>27037.91</v>
      </c>
      <c r="G1957" t="s">
        <v>4699</v>
      </c>
      <c r="H1957" t="s">
        <v>4699</v>
      </c>
      <c r="I1957" t="s">
        <v>4709</v>
      </c>
      <c r="J1957" s="17">
        <f t="shared" si="60"/>
        <v>21366</v>
      </c>
      <c r="K1957">
        <f t="shared" ca="1" si="61"/>
        <v>67</v>
      </c>
    </row>
    <row r="1958" spans="1:11" ht="15.75" customHeight="1">
      <c r="A1958" t="s">
        <v>769</v>
      </c>
      <c r="B1958">
        <v>1994</v>
      </c>
      <c r="C1958" t="s">
        <v>4708</v>
      </c>
      <c r="D1958">
        <v>2</v>
      </c>
      <c r="E1958">
        <v>0</v>
      </c>
      <c r="F1958" s="16">
        <v>27080.639999999999</v>
      </c>
      <c r="G1958" t="s">
        <v>4699</v>
      </c>
      <c r="H1958" t="s">
        <v>4699</v>
      </c>
      <c r="I1958" t="s">
        <v>4718</v>
      </c>
      <c r="J1958" s="17">
        <f t="shared" si="60"/>
        <v>34517</v>
      </c>
      <c r="K1958">
        <f t="shared" ca="1" si="61"/>
        <v>31</v>
      </c>
    </row>
    <row r="1959" spans="1:11" ht="15.75" customHeight="1">
      <c r="A1959" t="s">
        <v>767</v>
      </c>
      <c r="B1959">
        <v>1990</v>
      </c>
      <c r="C1959" t="s">
        <v>4714</v>
      </c>
      <c r="D1959">
        <v>13</v>
      </c>
      <c r="E1959">
        <v>3</v>
      </c>
      <c r="F1959" s="16">
        <v>27092.38</v>
      </c>
      <c r="G1959" t="s">
        <v>4699</v>
      </c>
      <c r="H1959" t="s">
        <v>4700</v>
      </c>
      <c r="I1959" t="s">
        <v>4718</v>
      </c>
      <c r="J1959" s="17">
        <f t="shared" si="60"/>
        <v>33220</v>
      </c>
      <c r="K1959">
        <f t="shared" ca="1" si="61"/>
        <v>34</v>
      </c>
    </row>
    <row r="1960" spans="1:11" ht="15.75" customHeight="1">
      <c r="A1960" t="s">
        <v>765</v>
      </c>
      <c r="B1960">
        <v>1970</v>
      </c>
      <c r="C1960" t="s">
        <v>4717</v>
      </c>
      <c r="D1960">
        <v>2</v>
      </c>
      <c r="E1960">
        <v>0</v>
      </c>
      <c r="F1960" s="16">
        <v>27117.99</v>
      </c>
      <c r="G1960" t="s">
        <v>4699</v>
      </c>
      <c r="H1960" t="s">
        <v>4699</v>
      </c>
      <c r="I1960" t="s">
        <v>4709</v>
      </c>
      <c r="J1960" s="17">
        <f t="shared" si="60"/>
        <v>25843</v>
      </c>
      <c r="K1960">
        <f t="shared" ca="1" si="61"/>
        <v>55</v>
      </c>
    </row>
    <row r="1961" spans="1:11" ht="15.75" customHeight="1">
      <c r="A1961" t="s">
        <v>763</v>
      </c>
      <c r="B1961">
        <v>1965</v>
      </c>
      <c r="C1961" t="s">
        <v>4714</v>
      </c>
      <c r="D1961">
        <v>21</v>
      </c>
      <c r="E1961">
        <v>0</v>
      </c>
      <c r="F1961" s="16">
        <v>27218.44</v>
      </c>
      <c r="G1961" t="s">
        <v>4699</v>
      </c>
      <c r="H1961" t="s">
        <v>4698</v>
      </c>
      <c r="I1961" t="s">
        <v>4728</v>
      </c>
      <c r="J1961" s="17">
        <f t="shared" si="60"/>
        <v>24097</v>
      </c>
      <c r="K1961">
        <f t="shared" ca="1" si="61"/>
        <v>59</v>
      </c>
    </row>
    <row r="1962" spans="1:11" ht="15.75" customHeight="1">
      <c r="A1962" t="s">
        <v>761</v>
      </c>
      <c r="B1962">
        <v>1999</v>
      </c>
      <c r="C1962" t="s">
        <v>4714</v>
      </c>
      <c r="D1962">
        <v>2</v>
      </c>
      <c r="E1962">
        <v>0</v>
      </c>
      <c r="F1962" s="16">
        <v>27236.959999999999</v>
      </c>
      <c r="G1962" t="s">
        <v>4699</v>
      </c>
      <c r="H1962" t="s">
        <v>4698</v>
      </c>
      <c r="I1962" t="s">
        <v>4718</v>
      </c>
      <c r="J1962" s="17">
        <f t="shared" si="60"/>
        <v>36496</v>
      </c>
      <c r="K1962">
        <f t="shared" ca="1" si="61"/>
        <v>25</v>
      </c>
    </row>
    <row r="1963" spans="1:11" ht="15.75" customHeight="1">
      <c r="A1963" t="s">
        <v>759</v>
      </c>
      <c r="B1963">
        <v>1968</v>
      </c>
      <c r="C1963" t="s">
        <v>4711</v>
      </c>
      <c r="D1963">
        <v>6</v>
      </c>
      <c r="E1963">
        <v>3</v>
      </c>
      <c r="F1963" s="16">
        <v>27322.73</v>
      </c>
      <c r="G1963" t="s">
        <v>4699</v>
      </c>
      <c r="H1963" t="s">
        <v>4699</v>
      </c>
      <c r="I1963" t="s">
        <v>4709</v>
      </c>
      <c r="J1963" s="17">
        <f t="shared" si="60"/>
        <v>24995</v>
      </c>
      <c r="K1963">
        <f t="shared" ca="1" si="61"/>
        <v>57</v>
      </c>
    </row>
    <row r="1964" spans="1:11" ht="15.75" customHeight="1">
      <c r="A1964" t="s">
        <v>757</v>
      </c>
      <c r="B1964">
        <v>1969</v>
      </c>
      <c r="C1964" t="s">
        <v>4717</v>
      </c>
      <c r="D1964">
        <v>16</v>
      </c>
      <c r="E1964">
        <v>0</v>
      </c>
      <c r="F1964" s="16">
        <v>27346.04</v>
      </c>
      <c r="G1964" t="s">
        <v>4699</v>
      </c>
      <c r="H1964" t="s">
        <v>4699</v>
      </c>
      <c r="I1964" t="s">
        <v>4709</v>
      </c>
      <c r="J1964" s="17">
        <f t="shared" si="60"/>
        <v>25492</v>
      </c>
      <c r="K1964">
        <f t="shared" ca="1" si="61"/>
        <v>56</v>
      </c>
    </row>
    <row r="1965" spans="1:11" ht="15.75" customHeight="1">
      <c r="A1965" t="s">
        <v>755</v>
      </c>
      <c r="B1965">
        <v>1988</v>
      </c>
      <c r="C1965" t="s">
        <v>4712</v>
      </c>
      <c r="D1965">
        <v>15</v>
      </c>
      <c r="E1965">
        <v>2</v>
      </c>
      <c r="F1965" s="16">
        <v>27375.9</v>
      </c>
      <c r="G1965" t="s">
        <v>4699</v>
      </c>
      <c r="H1965" t="s">
        <v>4700</v>
      </c>
      <c r="I1965" t="s">
        <v>4719</v>
      </c>
      <c r="J1965" s="17">
        <f t="shared" si="60"/>
        <v>32401</v>
      </c>
      <c r="K1965">
        <f t="shared" ca="1" si="61"/>
        <v>37</v>
      </c>
    </row>
    <row r="1966" spans="1:11" ht="15.75" customHeight="1">
      <c r="A1966" t="s">
        <v>753</v>
      </c>
      <c r="B1966">
        <v>1985</v>
      </c>
      <c r="C1966" t="s">
        <v>4714</v>
      </c>
      <c r="D1966">
        <v>5</v>
      </c>
      <c r="E1966">
        <v>3</v>
      </c>
      <c r="F1966" s="16">
        <v>27432.73</v>
      </c>
      <c r="G1966" t="s">
        <v>4699</v>
      </c>
      <c r="H1966" t="s">
        <v>4698</v>
      </c>
      <c r="I1966" t="s">
        <v>4718</v>
      </c>
      <c r="J1966" s="17">
        <f t="shared" si="60"/>
        <v>31386</v>
      </c>
      <c r="K1966">
        <f t="shared" ca="1" si="61"/>
        <v>39</v>
      </c>
    </row>
    <row r="1967" spans="1:11" ht="15.75" customHeight="1">
      <c r="A1967" t="s">
        <v>751</v>
      </c>
      <c r="B1967">
        <v>1981</v>
      </c>
      <c r="C1967" t="s">
        <v>4717</v>
      </c>
      <c r="D1967">
        <v>3</v>
      </c>
      <c r="E1967">
        <v>1</v>
      </c>
      <c r="F1967" s="16">
        <v>27495.59</v>
      </c>
      <c r="G1967" t="s">
        <v>4699</v>
      </c>
      <c r="H1967" t="s">
        <v>4698</v>
      </c>
      <c r="I1967" t="s">
        <v>4718</v>
      </c>
      <c r="J1967" s="17">
        <f t="shared" si="60"/>
        <v>29862</v>
      </c>
      <c r="K1967">
        <f t="shared" ca="1" si="61"/>
        <v>44</v>
      </c>
    </row>
    <row r="1968" spans="1:11" ht="15.75" customHeight="1">
      <c r="A1968" t="s">
        <v>749</v>
      </c>
      <c r="B1968">
        <v>1965</v>
      </c>
      <c r="C1968" t="s">
        <v>4717</v>
      </c>
      <c r="D1968">
        <v>19</v>
      </c>
      <c r="E1968">
        <v>0</v>
      </c>
      <c r="F1968" s="16">
        <v>27533.91</v>
      </c>
      <c r="G1968" t="s">
        <v>4699</v>
      </c>
      <c r="H1968" t="s">
        <v>4700</v>
      </c>
      <c r="I1968" t="s">
        <v>4709</v>
      </c>
      <c r="J1968" s="17">
        <f t="shared" si="60"/>
        <v>24034</v>
      </c>
      <c r="K1968">
        <f t="shared" ca="1" si="61"/>
        <v>60</v>
      </c>
    </row>
    <row r="1969" spans="1:11" ht="15.75" customHeight="1">
      <c r="A1969" t="s">
        <v>747</v>
      </c>
      <c r="B1969">
        <v>1984</v>
      </c>
      <c r="C1969" t="s">
        <v>4708</v>
      </c>
      <c r="D1969">
        <v>22</v>
      </c>
      <c r="E1969">
        <v>3</v>
      </c>
      <c r="F1969" s="16">
        <v>27534.53</v>
      </c>
      <c r="G1969" t="s">
        <v>4699</v>
      </c>
      <c r="H1969" t="s">
        <v>4699</v>
      </c>
      <c r="I1969" t="s">
        <v>4718</v>
      </c>
      <c r="J1969" s="17">
        <f t="shared" si="60"/>
        <v>30885</v>
      </c>
      <c r="K1969">
        <f t="shared" ca="1" si="61"/>
        <v>41</v>
      </c>
    </row>
    <row r="1970" spans="1:11" ht="15.75" customHeight="1">
      <c r="A1970" t="s">
        <v>745</v>
      </c>
      <c r="B1970">
        <v>1985</v>
      </c>
      <c r="C1970" t="s">
        <v>4710</v>
      </c>
      <c r="D1970">
        <v>6</v>
      </c>
      <c r="E1970">
        <v>3</v>
      </c>
      <c r="F1970" s="16">
        <v>27598.93</v>
      </c>
      <c r="G1970" t="s">
        <v>4699</v>
      </c>
      <c r="H1970" t="s">
        <v>4698</v>
      </c>
      <c r="I1970" t="s">
        <v>4718</v>
      </c>
      <c r="J1970" s="17">
        <f t="shared" si="60"/>
        <v>31357</v>
      </c>
      <c r="K1970">
        <f t="shared" ca="1" si="61"/>
        <v>40</v>
      </c>
    </row>
    <row r="1971" spans="1:11" ht="15.75" customHeight="1">
      <c r="A1971" t="s">
        <v>743</v>
      </c>
      <c r="B1971">
        <v>1992</v>
      </c>
      <c r="C1971" t="s">
        <v>4711</v>
      </c>
      <c r="D1971">
        <v>11</v>
      </c>
      <c r="E1971">
        <v>0</v>
      </c>
      <c r="F1971" s="16">
        <v>27614.71</v>
      </c>
      <c r="G1971" t="s">
        <v>4699</v>
      </c>
      <c r="H1971" t="s">
        <v>4700</v>
      </c>
      <c r="I1971" t="s">
        <v>4718</v>
      </c>
      <c r="J1971" s="17">
        <f t="shared" si="60"/>
        <v>33766</v>
      </c>
      <c r="K1971">
        <f t="shared" ca="1" si="61"/>
        <v>33</v>
      </c>
    </row>
    <row r="1972" spans="1:11" ht="15.75" customHeight="1">
      <c r="A1972" t="s">
        <v>741</v>
      </c>
      <c r="B1972">
        <v>1997</v>
      </c>
      <c r="C1972" t="s">
        <v>4712</v>
      </c>
      <c r="D1972">
        <v>9</v>
      </c>
      <c r="E1972">
        <v>0</v>
      </c>
      <c r="F1972" s="16">
        <v>27619.360000000001</v>
      </c>
      <c r="G1972" t="s">
        <v>4699</v>
      </c>
      <c r="H1972" t="s">
        <v>4700</v>
      </c>
      <c r="I1972" t="s">
        <v>4718</v>
      </c>
      <c r="J1972" s="17">
        <f t="shared" si="60"/>
        <v>35682</v>
      </c>
      <c r="K1972">
        <f t="shared" ca="1" si="61"/>
        <v>28</v>
      </c>
    </row>
    <row r="1973" spans="1:11" ht="15.75" customHeight="1">
      <c r="A1973" t="s">
        <v>739</v>
      </c>
      <c r="B1973">
        <v>1997</v>
      </c>
      <c r="C1973" t="s">
        <v>4717</v>
      </c>
      <c r="D1973">
        <v>7</v>
      </c>
      <c r="E1973">
        <v>0</v>
      </c>
      <c r="F1973" s="16">
        <v>27625.17</v>
      </c>
      <c r="G1973" t="s">
        <v>4698</v>
      </c>
      <c r="H1973" t="s">
        <v>4698</v>
      </c>
      <c r="I1973" t="s">
        <v>4718</v>
      </c>
      <c r="J1973" s="17">
        <f t="shared" si="60"/>
        <v>35710</v>
      </c>
      <c r="K1973">
        <f t="shared" ca="1" si="61"/>
        <v>28</v>
      </c>
    </row>
    <row r="1974" spans="1:11" ht="15.75" customHeight="1">
      <c r="A1974" t="s">
        <v>737</v>
      </c>
      <c r="B1974">
        <v>1992</v>
      </c>
      <c r="C1974" t="s">
        <v>4708</v>
      </c>
      <c r="D1974">
        <v>3</v>
      </c>
      <c r="E1974">
        <v>0</v>
      </c>
      <c r="F1974" s="16">
        <v>27696.11</v>
      </c>
      <c r="G1974" t="s">
        <v>4698</v>
      </c>
      <c r="H1974" t="s">
        <v>4699</v>
      </c>
      <c r="I1974" t="s">
        <v>4718</v>
      </c>
      <c r="J1974" s="17">
        <f t="shared" si="60"/>
        <v>33788</v>
      </c>
      <c r="K1974">
        <f t="shared" ca="1" si="61"/>
        <v>33</v>
      </c>
    </row>
    <row r="1975" spans="1:11" ht="15.75" customHeight="1">
      <c r="A1975" t="s">
        <v>735</v>
      </c>
      <c r="B1975">
        <v>2002</v>
      </c>
      <c r="C1975" t="s">
        <v>4714</v>
      </c>
      <c r="D1975">
        <v>6</v>
      </c>
      <c r="E1975">
        <v>1</v>
      </c>
      <c r="F1975" s="16">
        <v>27724.29</v>
      </c>
      <c r="G1975" t="s">
        <v>4698</v>
      </c>
      <c r="H1975" t="s">
        <v>4700</v>
      </c>
      <c r="I1975" t="s">
        <v>4709</v>
      </c>
      <c r="J1975" s="17">
        <f t="shared" si="60"/>
        <v>37596</v>
      </c>
      <c r="K1975">
        <f t="shared" ca="1" si="61"/>
        <v>22</v>
      </c>
    </row>
    <row r="1976" spans="1:11" ht="15.75" customHeight="1">
      <c r="A1976" t="s">
        <v>733</v>
      </c>
      <c r="B1976">
        <v>1960</v>
      </c>
      <c r="C1976" t="s">
        <v>4708</v>
      </c>
      <c r="D1976">
        <v>6</v>
      </c>
      <c r="E1976">
        <v>0</v>
      </c>
      <c r="F1976" s="16">
        <v>27808.73</v>
      </c>
      <c r="G1976" t="s">
        <v>4698</v>
      </c>
      <c r="H1976" t="s">
        <v>4698</v>
      </c>
      <c r="I1976" t="s">
        <v>4709</v>
      </c>
      <c r="J1976" s="17">
        <f t="shared" si="60"/>
        <v>22103</v>
      </c>
      <c r="K1976">
        <f t="shared" ca="1" si="61"/>
        <v>65</v>
      </c>
    </row>
    <row r="1977" spans="1:11" ht="15.75" customHeight="1">
      <c r="A1977" t="s">
        <v>731</v>
      </c>
      <c r="B1977">
        <v>1985</v>
      </c>
      <c r="C1977" t="s">
        <v>4714</v>
      </c>
      <c r="D1977">
        <v>4</v>
      </c>
      <c r="E1977">
        <v>3</v>
      </c>
      <c r="F1977" s="16">
        <v>27849.94</v>
      </c>
      <c r="G1977" t="s">
        <v>4698</v>
      </c>
      <c r="H1977" t="s">
        <v>4698</v>
      </c>
      <c r="I1977" t="s">
        <v>4718</v>
      </c>
      <c r="J1977" s="17">
        <f t="shared" si="60"/>
        <v>31385</v>
      </c>
      <c r="K1977">
        <f t="shared" ca="1" si="61"/>
        <v>39</v>
      </c>
    </row>
    <row r="1978" spans="1:11" ht="15.75" customHeight="1">
      <c r="A1978" t="s">
        <v>729</v>
      </c>
      <c r="B1978">
        <v>1989</v>
      </c>
      <c r="C1978" t="s">
        <v>4710</v>
      </c>
      <c r="D1978">
        <v>21</v>
      </c>
      <c r="E1978">
        <v>3</v>
      </c>
      <c r="F1978" s="16">
        <v>27925.86</v>
      </c>
      <c r="G1978" t="s">
        <v>4698</v>
      </c>
      <c r="H1978" t="s">
        <v>4699</v>
      </c>
      <c r="I1978" t="s">
        <v>4718</v>
      </c>
      <c r="J1978" s="17">
        <f t="shared" si="60"/>
        <v>32833</v>
      </c>
      <c r="K1978">
        <f t="shared" ca="1" si="61"/>
        <v>36</v>
      </c>
    </row>
    <row r="1979" spans="1:11" ht="15.75" customHeight="1">
      <c r="A1979" t="s">
        <v>727</v>
      </c>
      <c r="B1979">
        <v>1991</v>
      </c>
      <c r="C1979" t="s">
        <v>4711</v>
      </c>
      <c r="D1979">
        <v>4</v>
      </c>
      <c r="E1979">
        <v>3</v>
      </c>
      <c r="F1979" s="16">
        <v>27931.11</v>
      </c>
      <c r="G1979" t="s">
        <v>4698</v>
      </c>
      <c r="H1979" t="s">
        <v>4700</v>
      </c>
      <c r="I1979" t="s">
        <v>4718</v>
      </c>
      <c r="J1979" s="17">
        <f t="shared" si="60"/>
        <v>33393</v>
      </c>
      <c r="K1979">
        <f t="shared" ca="1" si="61"/>
        <v>34</v>
      </c>
    </row>
    <row r="1980" spans="1:11" ht="15.75" customHeight="1">
      <c r="A1980" t="s">
        <v>725</v>
      </c>
      <c r="B1980">
        <v>1961</v>
      </c>
      <c r="C1980" t="s">
        <v>4708</v>
      </c>
      <c r="D1980">
        <v>28</v>
      </c>
      <c r="E1980">
        <v>3</v>
      </c>
      <c r="F1980" s="16">
        <v>27941.29</v>
      </c>
      <c r="G1980" t="s">
        <v>4698</v>
      </c>
      <c r="H1980" t="s">
        <v>4700</v>
      </c>
      <c r="I1980" t="s">
        <v>4718</v>
      </c>
      <c r="J1980" s="17">
        <f t="shared" si="60"/>
        <v>22490</v>
      </c>
      <c r="K1980">
        <f t="shared" ca="1" si="61"/>
        <v>64</v>
      </c>
    </row>
    <row r="1981" spans="1:11" ht="15.75" customHeight="1">
      <c r="A1981" t="s">
        <v>723</v>
      </c>
      <c r="B1981">
        <v>1999</v>
      </c>
      <c r="C1981" t="s">
        <v>4714</v>
      </c>
      <c r="D1981">
        <v>21</v>
      </c>
      <c r="E1981">
        <v>0</v>
      </c>
      <c r="F1981" s="16">
        <v>27980.77</v>
      </c>
      <c r="G1981" t="s">
        <v>4698</v>
      </c>
      <c r="H1981" t="s">
        <v>4698</v>
      </c>
      <c r="I1981" t="s">
        <v>4718</v>
      </c>
      <c r="J1981" s="17">
        <f t="shared" si="60"/>
        <v>36515</v>
      </c>
      <c r="K1981">
        <f t="shared" ca="1" si="61"/>
        <v>25</v>
      </c>
    </row>
    <row r="1982" spans="1:11" ht="15.75" customHeight="1">
      <c r="A1982" t="s">
        <v>721</v>
      </c>
      <c r="B1982">
        <v>1985</v>
      </c>
      <c r="C1982" t="s">
        <v>4710</v>
      </c>
      <c r="D1982">
        <v>29</v>
      </c>
      <c r="E1982">
        <v>3</v>
      </c>
      <c r="F1982" s="16">
        <v>28006.94</v>
      </c>
      <c r="G1982" t="s">
        <v>4698</v>
      </c>
      <c r="H1982" t="s">
        <v>4699</v>
      </c>
      <c r="I1982" t="s">
        <v>4718</v>
      </c>
      <c r="J1982" s="17">
        <f t="shared" si="60"/>
        <v>31380</v>
      </c>
      <c r="K1982">
        <f t="shared" ca="1" si="61"/>
        <v>39</v>
      </c>
    </row>
    <row r="1983" spans="1:11" ht="15.75" customHeight="1">
      <c r="A1983" t="s">
        <v>719</v>
      </c>
      <c r="B1983">
        <v>1960</v>
      </c>
      <c r="C1983" t="s">
        <v>4710</v>
      </c>
      <c r="D1983">
        <v>22</v>
      </c>
      <c r="E1983">
        <v>0</v>
      </c>
      <c r="F1983" s="16">
        <v>28101.33</v>
      </c>
      <c r="G1983" t="s">
        <v>4698</v>
      </c>
      <c r="H1983" t="s">
        <v>4699</v>
      </c>
      <c r="I1983" t="s">
        <v>4720</v>
      </c>
      <c r="J1983" s="17">
        <f t="shared" si="60"/>
        <v>22242</v>
      </c>
      <c r="K1983">
        <f t="shared" ca="1" si="61"/>
        <v>65</v>
      </c>
    </row>
    <row r="1984" spans="1:11" ht="15.75" customHeight="1">
      <c r="A1984" t="s">
        <v>717</v>
      </c>
      <c r="B1984">
        <v>1999</v>
      </c>
      <c r="C1984" t="s">
        <v>4712</v>
      </c>
      <c r="D1984">
        <v>6</v>
      </c>
      <c r="E1984">
        <v>0</v>
      </c>
      <c r="F1984" s="16">
        <v>28245.34</v>
      </c>
      <c r="G1984" t="s">
        <v>4698</v>
      </c>
      <c r="H1984" t="s">
        <v>4700</v>
      </c>
      <c r="I1984" t="s">
        <v>4718</v>
      </c>
      <c r="J1984" s="17">
        <f t="shared" si="60"/>
        <v>36409</v>
      </c>
      <c r="K1984">
        <f t="shared" ca="1" si="61"/>
        <v>26</v>
      </c>
    </row>
    <row r="1985" spans="1:11" ht="15.75" customHeight="1">
      <c r="A1985" t="s">
        <v>715</v>
      </c>
      <c r="B1985">
        <v>1963</v>
      </c>
      <c r="C1985" t="s">
        <v>4710</v>
      </c>
      <c r="D1985">
        <v>25</v>
      </c>
      <c r="E1985">
        <v>1</v>
      </c>
      <c r="F1985" s="16">
        <v>28287.9</v>
      </c>
      <c r="G1985" t="s">
        <v>4698</v>
      </c>
      <c r="H1985" t="s">
        <v>4698</v>
      </c>
      <c r="I1985" t="s">
        <v>4709</v>
      </c>
      <c r="J1985" s="17">
        <f t="shared" si="60"/>
        <v>23340</v>
      </c>
      <c r="K1985">
        <f t="shared" ca="1" si="61"/>
        <v>62</v>
      </c>
    </row>
    <row r="1986" spans="1:11" ht="15.75" customHeight="1">
      <c r="A1986" t="s">
        <v>713</v>
      </c>
      <c r="B1986">
        <v>1990</v>
      </c>
      <c r="C1986" t="s">
        <v>4714</v>
      </c>
      <c r="D1986">
        <v>24</v>
      </c>
      <c r="E1986">
        <v>3</v>
      </c>
      <c r="F1986" s="16">
        <v>28302.33</v>
      </c>
      <c r="G1986" t="s">
        <v>4698</v>
      </c>
      <c r="H1986" t="s">
        <v>4699</v>
      </c>
      <c r="I1986" t="s">
        <v>4718</v>
      </c>
      <c r="J1986" s="17">
        <f t="shared" si="60"/>
        <v>33231</v>
      </c>
      <c r="K1986">
        <f t="shared" ca="1" si="61"/>
        <v>34</v>
      </c>
    </row>
    <row r="1987" spans="1:11" ht="15.75" customHeight="1">
      <c r="A1987" t="s">
        <v>711</v>
      </c>
      <c r="B1987">
        <v>1977</v>
      </c>
      <c r="C1987" t="s">
        <v>4714</v>
      </c>
      <c r="D1987">
        <v>2</v>
      </c>
      <c r="E1987">
        <v>1</v>
      </c>
      <c r="F1987" s="16">
        <v>28340.19</v>
      </c>
      <c r="G1987" t="s">
        <v>4698</v>
      </c>
      <c r="H1987" t="s">
        <v>4699</v>
      </c>
      <c r="I1987" t="s">
        <v>4713</v>
      </c>
      <c r="J1987" s="17">
        <f t="shared" ref="J1987:J2050" si="62">DATEVALUE(D1987&amp;"-"&amp;C1987&amp;" -"&amp;B1987)</f>
        <v>28461</v>
      </c>
      <c r="K1987">
        <f t="shared" ref="K1987:K2050" ca="1" si="63">DATEDIF(J1987,TODAY(),"Y")</f>
        <v>47</v>
      </c>
    </row>
    <row r="1988" spans="1:11" ht="15.75" customHeight="1">
      <c r="A1988" t="s">
        <v>709</v>
      </c>
      <c r="B1988">
        <v>1974</v>
      </c>
      <c r="C1988" t="s">
        <v>4712</v>
      </c>
      <c r="D1988">
        <v>16</v>
      </c>
      <c r="E1988">
        <v>1</v>
      </c>
      <c r="F1988" s="16">
        <v>28468.92</v>
      </c>
      <c r="G1988" t="s">
        <v>4698</v>
      </c>
      <c r="H1988" t="s">
        <v>4698</v>
      </c>
      <c r="I1988" t="s">
        <v>4713</v>
      </c>
      <c r="J1988" s="17">
        <f t="shared" si="62"/>
        <v>27288</v>
      </c>
      <c r="K1988">
        <f t="shared" ca="1" si="63"/>
        <v>51</v>
      </c>
    </row>
    <row r="1989" spans="1:11" ht="15.75" customHeight="1">
      <c r="A1989" t="s">
        <v>707</v>
      </c>
      <c r="B1989">
        <v>1982</v>
      </c>
      <c r="C1989" t="s">
        <v>4714</v>
      </c>
      <c r="D1989">
        <v>11</v>
      </c>
      <c r="E1989">
        <v>1</v>
      </c>
      <c r="F1989" s="16">
        <v>28476.73</v>
      </c>
      <c r="G1989" t="s">
        <v>4698</v>
      </c>
      <c r="H1989" t="s">
        <v>4699</v>
      </c>
      <c r="I1989" t="s">
        <v>4713</v>
      </c>
      <c r="J1989" s="17">
        <f t="shared" si="62"/>
        <v>30296</v>
      </c>
      <c r="K1989">
        <f t="shared" ca="1" si="63"/>
        <v>42</v>
      </c>
    </row>
    <row r="1990" spans="1:11" ht="15.75" customHeight="1">
      <c r="A1990" t="s">
        <v>705</v>
      </c>
      <c r="B1990">
        <v>1985</v>
      </c>
      <c r="C1990" t="s">
        <v>4712</v>
      </c>
      <c r="D1990">
        <v>27</v>
      </c>
      <c r="E1990">
        <v>3</v>
      </c>
      <c r="F1990" s="16">
        <v>28542.86</v>
      </c>
      <c r="G1990" t="s">
        <v>4698</v>
      </c>
      <c r="H1990" t="s">
        <v>4700</v>
      </c>
      <c r="I1990" t="s">
        <v>4718</v>
      </c>
      <c r="J1990" s="17">
        <f t="shared" si="62"/>
        <v>31317</v>
      </c>
      <c r="K1990">
        <f t="shared" ca="1" si="63"/>
        <v>40</v>
      </c>
    </row>
    <row r="1991" spans="1:11" ht="15.75" customHeight="1">
      <c r="A1991" t="s">
        <v>703</v>
      </c>
      <c r="B1991">
        <v>1990</v>
      </c>
      <c r="C1991" t="s">
        <v>4714</v>
      </c>
      <c r="D1991">
        <v>5</v>
      </c>
      <c r="E1991">
        <v>3</v>
      </c>
      <c r="F1991" s="16">
        <v>28716.14</v>
      </c>
      <c r="G1991" t="s">
        <v>4698</v>
      </c>
      <c r="H1991" t="s">
        <v>4700</v>
      </c>
      <c r="I1991" t="s">
        <v>4718</v>
      </c>
      <c r="J1991" s="17">
        <f t="shared" si="62"/>
        <v>33212</v>
      </c>
      <c r="K1991">
        <f t="shared" ca="1" si="63"/>
        <v>34</v>
      </c>
    </row>
    <row r="1992" spans="1:11" ht="15.75" customHeight="1">
      <c r="A1992" t="s">
        <v>701</v>
      </c>
      <c r="B1992">
        <v>1961</v>
      </c>
      <c r="C1992" t="s">
        <v>4716</v>
      </c>
      <c r="D1992">
        <v>3</v>
      </c>
      <c r="E1992">
        <v>1</v>
      </c>
      <c r="F1992" s="16">
        <v>28868.66</v>
      </c>
      <c r="G1992" t="s">
        <v>4698</v>
      </c>
      <c r="H1992" t="s">
        <v>4699</v>
      </c>
      <c r="I1992" t="s">
        <v>4713</v>
      </c>
      <c r="J1992" s="17">
        <f t="shared" si="62"/>
        <v>22496</v>
      </c>
      <c r="K1992">
        <f t="shared" ca="1" si="63"/>
        <v>64</v>
      </c>
    </row>
    <row r="1993" spans="1:11" ht="15.75" customHeight="1">
      <c r="A1993" t="s">
        <v>699</v>
      </c>
      <c r="B1993">
        <v>1962</v>
      </c>
      <c r="C1993" t="s">
        <v>4708</v>
      </c>
      <c r="D1993">
        <v>25</v>
      </c>
      <c r="E1993">
        <v>0</v>
      </c>
      <c r="F1993" s="16">
        <v>28923.14</v>
      </c>
      <c r="G1993" t="s">
        <v>4698</v>
      </c>
      <c r="H1993" t="s">
        <v>4698</v>
      </c>
      <c r="I1993" t="s">
        <v>4713</v>
      </c>
      <c r="J1993" s="17">
        <f t="shared" si="62"/>
        <v>22852</v>
      </c>
      <c r="K1993">
        <f t="shared" ca="1" si="63"/>
        <v>63</v>
      </c>
    </row>
    <row r="1994" spans="1:11" ht="15.75" customHeight="1">
      <c r="A1994" t="s">
        <v>697</v>
      </c>
      <c r="B1994">
        <v>1959</v>
      </c>
      <c r="C1994" t="s">
        <v>4714</v>
      </c>
      <c r="D1994">
        <v>5</v>
      </c>
      <c r="E1994">
        <v>0</v>
      </c>
      <c r="F1994" s="16">
        <v>28950.47</v>
      </c>
      <c r="G1994" t="s">
        <v>4698</v>
      </c>
      <c r="H1994" t="s">
        <v>4698</v>
      </c>
      <c r="I1994" t="s">
        <v>4713</v>
      </c>
      <c r="J1994" s="17">
        <f t="shared" si="62"/>
        <v>21889</v>
      </c>
      <c r="K1994">
        <f t="shared" ca="1" si="63"/>
        <v>65</v>
      </c>
    </row>
    <row r="1995" spans="1:11" ht="15.75" customHeight="1">
      <c r="A1995" t="s">
        <v>695</v>
      </c>
      <c r="B1995">
        <v>2003</v>
      </c>
      <c r="C1995" t="s">
        <v>4712</v>
      </c>
      <c r="D1995">
        <v>1</v>
      </c>
      <c r="E1995">
        <v>0</v>
      </c>
      <c r="F1995" s="16">
        <v>28998.68</v>
      </c>
      <c r="G1995" t="s">
        <v>4698</v>
      </c>
      <c r="H1995" t="s">
        <v>4700</v>
      </c>
      <c r="I1995" t="s">
        <v>4718</v>
      </c>
      <c r="J1995" s="17">
        <f t="shared" si="62"/>
        <v>37865</v>
      </c>
      <c r="K1995">
        <f t="shared" ca="1" si="63"/>
        <v>22</v>
      </c>
    </row>
    <row r="1996" spans="1:11" ht="15.75" customHeight="1">
      <c r="A1996" t="s">
        <v>693</v>
      </c>
      <c r="B1996">
        <v>1992</v>
      </c>
      <c r="C1996" t="s">
        <v>4708</v>
      </c>
      <c r="D1996">
        <v>7</v>
      </c>
      <c r="E1996">
        <v>0</v>
      </c>
      <c r="F1996" s="16">
        <v>29007.82</v>
      </c>
      <c r="G1996" t="s">
        <v>4698</v>
      </c>
      <c r="H1996" t="s">
        <v>4700</v>
      </c>
      <c r="I1996" t="s">
        <v>4718</v>
      </c>
      <c r="J1996" s="17">
        <f t="shared" si="62"/>
        <v>33792</v>
      </c>
      <c r="K1996">
        <f t="shared" ca="1" si="63"/>
        <v>33</v>
      </c>
    </row>
    <row r="1997" spans="1:11" ht="15.75" customHeight="1">
      <c r="A1997" t="s">
        <v>691</v>
      </c>
      <c r="B1997">
        <v>1980</v>
      </c>
      <c r="C1997" t="s">
        <v>4708</v>
      </c>
      <c r="D1997">
        <v>14</v>
      </c>
      <c r="E1997">
        <v>2</v>
      </c>
      <c r="F1997" s="16">
        <v>29114.21</v>
      </c>
      <c r="G1997" t="s">
        <v>4698</v>
      </c>
      <c r="H1997" t="s">
        <v>4700</v>
      </c>
      <c r="I1997" t="s">
        <v>4718</v>
      </c>
      <c r="J1997" s="17">
        <f t="shared" si="62"/>
        <v>29416</v>
      </c>
      <c r="K1997">
        <f t="shared" ca="1" si="63"/>
        <v>45</v>
      </c>
    </row>
    <row r="1998" spans="1:11" ht="15.75" customHeight="1">
      <c r="A1998" t="s">
        <v>689</v>
      </c>
      <c r="B1998">
        <v>1978</v>
      </c>
      <c r="C1998" t="s">
        <v>4710</v>
      </c>
      <c r="D1998">
        <v>29</v>
      </c>
      <c r="E1998">
        <v>2</v>
      </c>
      <c r="F1998" s="16">
        <v>29114.77</v>
      </c>
      <c r="G1998" t="s">
        <v>4698</v>
      </c>
      <c r="H1998" t="s">
        <v>4698</v>
      </c>
      <c r="I1998" t="s">
        <v>4718</v>
      </c>
      <c r="J1998" s="17">
        <f t="shared" si="62"/>
        <v>28823</v>
      </c>
      <c r="K1998">
        <f t="shared" ca="1" si="63"/>
        <v>46</v>
      </c>
    </row>
    <row r="1999" spans="1:11" ht="15.75" customHeight="1">
      <c r="A1999" t="s">
        <v>687</v>
      </c>
      <c r="B1999">
        <v>1961</v>
      </c>
      <c r="C1999" t="s">
        <v>4714</v>
      </c>
      <c r="D1999">
        <v>24</v>
      </c>
      <c r="E1999">
        <v>0</v>
      </c>
      <c r="F1999" s="16">
        <v>29141.360000000001</v>
      </c>
      <c r="G1999" t="s">
        <v>4698</v>
      </c>
      <c r="H1999" t="s">
        <v>4700</v>
      </c>
      <c r="I1999" t="s">
        <v>4713</v>
      </c>
      <c r="J1999" s="17">
        <f t="shared" si="62"/>
        <v>22639</v>
      </c>
      <c r="K1999">
        <f t="shared" ca="1" si="63"/>
        <v>63</v>
      </c>
    </row>
    <row r="2000" spans="1:11" ht="15.75" customHeight="1">
      <c r="A2000" t="s">
        <v>685</v>
      </c>
      <c r="B2000">
        <v>1976</v>
      </c>
      <c r="C2000" t="s">
        <v>4710</v>
      </c>
      <c r="D2000">
        <v>8</v>
      </c>
      <c r="E2000">
        <v>2</v>
      </c>
      <c r="F2000" s="16">
        <v>29160.39</v>
      </c>
      <c r="G2000" t="s">
        <v>4698</v>
      </c>
      <c r="H2000" t="s">
        <v>4699</v>
      </c>
      <c r="I2000" t="s">
        <v>4718</v>
      </c>
      <c r="J2000" s="17">
        <f t="shared" si="62"/>
        <v>28072</v>
      </c>
      <c r="K2000">
        <f t="shared" ca="1" si="63"/>
        <v>49</v>
      </c>
    </row>
    <row r="2001" spans="1:11" ht="15.75" customHeight="1">
      <c r="A2001" t="s">
        <v>683</v>
      </c>
      <c r="B2001">
        <v>1969</v>
      </c>
      <c r="C2001" t="s">
        <v>4708</v>
      </c>
      <c r="D2001">
        <v>9</v>
      </c>
      <c r="E2001">
        <v>2</v>
      </c>
      <c r="F2001" s="16">
        <v>29186.48</v>
      </c>
      <c r="G2001" t="s">
        <v>4698</v>
      </c>
      <c r="H2001" t="s">
        <v>4700</v>
      </c>
      <c r="I2001" t="s">
        <v>4724</v>
      </c>
      <c r="J2001" s="17">
        <f t="shared" si="62"/>
        <v>25393</v>
      </c>
      <c r="K2001">
        <f t="shared" ca="1" si="63"/>
        <v>56</v>
      </c>
    </row>
    <row r="2002" spans="1:11" ht="15.75" customHeight="1">
      <c r="A2002" t="s">
        <v>681</v>
      </c>
      <c r="B2002">
        <v>1978</v>
      </c>
      <c r="C2002" t="s">
        <v>4708</v>
      </c>
      <c r="D2002">
        <v>21</v>
      </c>
      <c r="E2002">
        <v>2</v>
      </c>
      <c r="F2002" s="16">
        <v>29227.599999999999</v>
      </c>
      <c r="G2002" t="s">
        <v>4698</v>
      </c>
      <c r="H2002" t="s">
        <v>4700</v>
      </c>
      <c r="I2002" t="s">
        <v>4713</v>
      </c>
      <c r="J2002" s="17">
        <f t="shared" si="62"/>
        <v>28692</v>
      </c>
      <c r="K2002">
        <f t="shared" ca="1" si="63"/>
        <v>47</v>
      </c>
    </row>
    <row r="2003" spans="1:11" ht="15.75" customHeight="1">
      <c r="A2003" t="s">
        <v>679</v>
      </c>
      <c r="B2003">
        <v>1958</v>
      </c>
      <c r="C2003" t="s">
        <v>4711</v>
      </c>
      <c r="D2003">
        <v>5</v>
      </c>
      <c r="E2003">
        <v>0</v>
      </c>
      <c r="F2003" s="16">
        <v>29330.98</v>
      </c>
      <c r="G2003" t="s">
        <v>4698</v>
      </c>
      <c r="H2003" t="s">
        <v>4699</v>
      </c>
      <c r="I2003" t="s">
        <v>4713</v>
      </c>
      <c r="J2003" s="17">
        <f t="shared" si="62"/>
        <v>21341</v>
      </c>
      <c r="K2003">
        <f t="shared" ca="1" si="63"/>
        <v>67</v>
      </c>
    </row>
    <row r="2004" spans="1:11" ht="15.75" customHeight="1">
      <c r="A2004" t="s">
        <v>677</v>
      </c>
      <c r="B2004">
        <v>1985</v>
      </c>
      <c r="C2004" t="s">
        <v>4710</v>
      </c>
      <c r="D2004">
        <v>7</v>
      </c>
      <c r="E2004">
        <v>3</v>
      </c>
      <c r="F2004" s="16">
        <v>29352.560000000001</v>
      </c>
      <c r="G2004" t="s">
        <v>4698</v>
      </c>
      <c r="H2004" t="s">
        <v>4698</v>
      </c>
      <c r="I2004" t="s">
        <v>4718</v>
      </c>
      <c r="J2004" s="17">
        <f t="shared" si="62"/>
        <v>31358</v>
      </c>
      <c r="K2004">
        <f t="shared" ca="1" si="63"/>
        <v>40</v>
      </c>
    </row>
    <row r="2005" spans="1:11" ht="15.75" customHeight="1">
      <c r="A2005" t="s">
        <v>675</v>
      </c>
      <c r="B2005">
        <v>1987</v>
      </c>
      <c r="C2005" t="s">
        <v>4708</v>
      </c>
      <c r="D2005">
        <v>16</v>
      </c>
      <c r="E2005">
        <v>3</v>
      </c>
      <c r="F2005" s="16">
        <v>29443.59</v>
      </c>
      <c r="G2005" t="s">
        <v>4698</v>
      </c>
      <c r="H2005" t="s">
        <v>4698</v>
      </c>
      <c r="I2005" t="s">
        <v>4718</v>
      </c>
      <c r="J2005" s="17">
        <f t="shared" si="62"/>
        <v>31974</v>
      </c>
      <c r="K2005">
        <f t="shared" ca="1" si="63"/>
        <v>38</v>
      </c>
    </row>
    <row r="2006" spans="1:11" ht="15.75" customHeight="1">
      <c r="A2006" t="s">
        <v>673</v>
      </c>
      <c r="B2006">
        <v>1959</v>
      </c>
      <c r="C2006" t="s">
        <v>4717</v>
      </c>
      <c r="D2006">
        <v>20</v>
      </c>
      <c r="E2006">
        <v>0</v>
      </c>
      <c r="F2006" s="16">
        <v>29523.17</v>
      </c>
      <c r="G2006" t="s">
        <v>4698</v>
      </c>
      <c r="H2006" t="s">
        <v>4699</v>
      </c>
      <c r="I2006" t="s">
        <v>4724</v>
      </c>
      <c r="J2006" s="17">
        <f t="shared" si="62"/>
        <v>21843</v>
      </c>
      <c r="K2006">
        <f t="shared" ca="1" si="63"/>
        <v>66</v>
      </c>
    </row>
    <row r="2007" spans="1:11" ht="15.75" customHeight="1">
      <c r="A2007" t="s">
        <v>671</v>
      </c>
      <c r="B2007">
        <v>1975</v>
      </c>
      <c r="C2007" t="s">
        <v>4710</v>
      </c>
      <c r="D2007">
        <v>3</v>
      </c>
      <c r="E2007">
        <v>1</v>
      </c>
      <c r="F2007" s="16">
        <v>29583.8</v>
      </c>
      <c r="G2007" t="s">
        <v>4698</v>
      </c>
      <c r="H2007" t="s">
        <v>4698</v>
      </c>
      <c r="I2007" t="s">
        <v>4718</v>
      </c>
      <c r="J2007" s="17">
        <f t="shared" si="62"/>
        <v>27701</v>
      </c>
      <c r="K2007">
        <f t="shared" ca="1" si="63"/>
        <v>50</v>
      </c>
    </row>
    <row r="2008" spans="1:11" ht="15.75" customHeight="1">
      <c r="A2008" t="s">
        <v>669</v>
      </c>
      <c r="B2008">
        <v>1993</v>
      </c>
      <c r="C2008" t="s">
        <v>4708</v>
      </c>
      <c r="D2008">
        <v>27</v>
      </c>
      <c r="E2008">
        <v>0</v>
      </c>
      <c r="F2008" s="16">
        <v>29622.69</v>
      </c>
      <c r="G2008" t="s">
        <v>4698</v>
      </c>
      <c r="H2008" t="s">
        <v>4698</v>
      </c>
      <c r="I2008" t="s">
        <v>4718</v>
      </c>
      <c r="J2008" s="17">
        <f t="shared" si="62"/>
        <v>34177</v>
      </c>
      <c r="K2008">
        <f t="shared" ca="1" si="63"/>
        <v>32</v>
      </c>
    </row>
    <row r="2009" spans="1:11" ht="15.75" customHeight="1">
      <c r="A2009" t="s">
        <v>667</v>
      </c>
      <c r="B2009">
        <v>1973</v>
      </c>
      <c r="C2009" t="s">
        <v>4716</v>
      </c>
      <c r="D2009">
        <v>23</v>
      </c>
      <c r="E2009">
        <v>0</v>
      </c>
      <c r="F2009" s="16">
        <v>29757.69</v>
      </c>
      <c r="G2009" t="s">
        <v>4698</v>
      </c>
      <c r="H2009" t="s">
        <v>4700</v>
      </c>
      <c r="I2009" t="s">
        <v>4718</v>
      </c>
      <c r="J2009" s="17">
        <f t="shared" si="62"/>
        <v>26899</v>
      </c>
      <c r="K2009">
        <f t="shared" ca="1" si="63"/>
        <v>52</v>
      </c>
    </row>
    <row r="2010" spans="1:11" ht="15.75" customHeight="1">
      <c r="A2010" t="s">
        <v>665</v>
      </c>
      <c r="B2010">
        <v>1998</v>
      </c>
      <c r="C2010" t="s">
        <v>4711</v>
      </c>
      <c r="D2010">
        <v>20</v>
      </c>
      <c r="E2010">
        <v>0</v>
      </c>
      <c r="F2010" s="16">
        <v>29760.6</v>
      </c>
      <c r="G2010" t="s">
        <v>4698</v>
      </c>
      <c r="H2010" t="s">
        <v>4699</v>
      </c>
      <c r="I2010" t="s">
        <v>4718</v>
      </c>
      <c r="J2010" s="17">
        <f t="shared" si="62"/>
        <v>35966</v>
      </c>
      <c r="K2010">
        <f t="shared" ca="1" si="63"/>
        <v>27</v>
      </c>
    </row>
    <row r="2011" spans="1:11" ht="15.75" customHeight="1">
      <c r="A2011" t="s">
        <v>663</v>
      </c>
      <c r="B2011">
        <v>1981</v>
      </c>
      <c r="C2011" t="s">
        <v>4716</v>
      </c>
      <c r="D2011">
        <v>13</v>
      </c>
      <c r="E2011">
        <v>1</v>
      </c>
      <c r="F2011" s="16">
        <v>29816.639999999999</v>
      </c>
      <c r="G2011" t="s">
        <v>4698</v>
      </c>
      <c r="H2011" t="s">
        <v>4699</v>
      </c>
      <c r="I2011" t="s">
        <v>4718</v>
      </c>
      <c r="J2011" s="17">
        <f t="shared" si="62"/>
        <v>29811</v>
      </c>
      <c r="K2011">
        <f t="shared" ca="1" si="63"/>
        <v>44</v>
      </c>
    </row>
    <row r="2012" spans="1:11" ht="15.75" customHeight="1">
      <c r="A2012" t="s">
        <v>661</v>
      </c>
      <c r="B2012">
        <v>1982</v>
      </c>
      <c r="C2012" t="s">
        <v>4717</v>
      </c>
      <c r="D2012">
        <v>29</v>
      </c>
      <c r="E2012">
        <v>3</v>
      </c>
      <c r="F2012" s="16">
        <v>29818.76</v>
      </c>
      <c r="G2012" t="s">
        <v>4698</v>
      </c>
      <c r="H2012" t="s">
        <v>4698</v>
      </c>
      <c r="I2012" t="s">
        <v>4713</v>
      </c>
      <c r="J2012" s="17">
        <f t="shared" si="62"/>
        <v>30253</v>
      </c>
      <c r="K2012">
        <f t="shared" ca="1" si="63"/>
        <v>43</v>
      </c>
    </row>
    <row r="2013" spans="1:11" ht="15.75" customHeight="1">
      <c r="A2013" t="s">
        <v>659</v>
      </c>
      <c r="B2013">
        <v>1989</v>
      </c>
      <c r="C2013" t="s">
        <v>4714</v>
      </c>
      <c r="D2013">
        <v>30</v>
      </c>
      <c r="E2013">
        <v>3</v>
      </c>
      <c r="F2013" s="16">
        <v>29852.48</v>
      </c>
      <c r="G2013" t="s">
        <v>4698</v>
      </c>
      <c r="H2013" t="s">
        <v>4700</v>
      </c>
      <c r="I2013" t="s">
        <v>4718</v>
      </c>
      <c r="J2013" s="17">
        <f t="shared" si="62"/>
        <v>32872</v>
      </c>
      <c r="K2013">
        <f t="shared" ca="1" si="63"/>
        <v>35</v>
      </c>
    </row>
    <row r="2014" spans="1:11" ht="15.75" customHeight="1">
      <c r="A2014" t="s">
        <v>657</v>
      </c>
      <c r="B2014">
        <v>1975</v>
      </c>
      <c r="C2014" t="s">
        <v>4716</v>
      </c>
      <c r="D2014">
        <v>19</v>
      </c>
      <c r="E2014">
        <v>1</v>
      </c>
      <c r="F2014" s="16">
        <v>29899.25</v>
      </c>
      <c r="G2014" t="s">
        <v>4698</v>
      </c>
      <c r="H2014" t="s">
        <v>4700</v>
      </c>
      <c r="I2014" t="s">
        <v>4718</v>
      </c>
      <c r="J2014" s="17">
        <f t="shared" si="62"/>
        <v>27625</v>
      </c>
      <c r="K2014">
        <f t="shared" ca="1" si="63"/>
        <v>50</v>
      </c>
    </row>
    <row r="2015" spans="1:11" ht="15.75" customHeight="1">
      <c r="A2015" t="s">
        <v>655</v>
      </c>
      <c r="B2015">
        <v>1988</v>
      </c>
      <c r="C2015" t="s">
        <v>4714</v>
      </c>
      <c r="D2015">
        <v>30</v>
      </c>
      <c r="E2015">
        <v>3</v>
      </c>
      <c r="F2015" s="16">
        <v>29929.56</v>
      </c>
      <c r="G2015" t="s">
        <v>4698</v>
      </c>
      <c r="H2015" t="s">
        <v>4698</v>
      </c>
      <c r="I2015" t="s">
        <v>4718</v>
      </c>
      <c r="J2015" s="17">
        <f t="shared" si="62"/>
        <v>32507</v>
      </c>
      <c r="K2015">
        <f t="shared" ca="1" si="63"/>
        <v>36</v>
      </c>
    </row>
    <row r="2016" spans="1:11" ht="15.75" customHeight="1">
      <c r="A2016" t="s">
        <v>653</v>
      </c>
      <c r="B2016">
        <v>1976</v>
      </c>
      <c r="C2016" t="s">
        <v>4711</v>
      </c>
      <c r="D2016">
        <v>12</v>
      </c>
      <c r="E2016">
        <v>2</v>
      </c>
      <c r="F2016" s="16">
        <v>29933.75</v>
      </c>
      <c r="G2016" t="s">
        <v>4698</v>
      </c>
      <c r="H2016" t="s">
        <v>4698</v>
      </c>
      <c r="I2016" t="s">
        <v>4718</v>
      </c>
      <c r="J2016" s="17">
        <f t="shared" si="62"/>
        <v>27923</v>
      </c>
      <c r="K2016">
        <f t="shared" ca="1" si="63"/>
        <v>49</v>
      </c>
    </row>
    <row r="2017" spans="1:11" ht="15.75" customHeight="1">
      <c r="A2017" t="s">
        <v>651</v>
      </c>
      <c r="B2017">
        <v>1991</v>
      </c>
      <c r="C2017" t="s">
        <v>4717</v>
      </c>
      <c r="D2017">
        <v>5</v>
      </c>
      <c r="E2017">
        <v>3</v>
      </c>
      <c r="F2017" s="16">
        <v>29969.67</v>
      </c>
      <c r="G2017" t="s">
        <v>4698</v>
      </c>
      <c r="H2017" t="s">
        <v>4698</v>
      </c>
      <c r="I2017" t="s">
        <v>4718</v>
      </c>
      <c r="J2017" s="17">
        <f t="shared" si="62"/>
        <v>33516</v>
      </c>
      <c r="K2017">
        <f t="shared" ca="1" si="63"/>
        <v>34</v>
      </c>
    </row>
    <row r="2018" spans="1:11" ht="15.75" customHeight="1">
      <c r="A2018" t="s">
        <v>649</v>
      </c>
      <c r="B2018">
        <v>1981</v>
      </c>
      <c r="C2018" t="s">
        <v>4716</v>
      </c>
      <c r="D2018">
        <v>4</v>
      </c>
      <c r="E2018">
        <v>1</v>
      </c>
      <c r="F2018" s="16">
        <v>30026.87</v>
      </c>
      <c r="G2018" t="s">
        <v>4699</v>
      </c>
      <c r="H2018" t="s">
        <v>4700</v>
      </c>
      <c r="I2018" t="s">
        <v>4713</v>
      </c>
      <c r="J2018" s="17">
        <f t="shared" si="62"/>
        <v>29802</v>
      </c>
      <c r="K2018">
        <f t="shared" ca="1" si="63"/>
        <v>44</v>
      </c>
    </row>
    <row r="2019" spans="1:11" ht="15.75" customHeight="1">
      <c r="A2019" t="s">
        <v>647</v>
      </c>
      <c r="B2019">
        <v>1967</v>
      </c>
      <c r="C2019" t="s">
        <v>4711</v>
      </c>
      <c r="D2019">
        <v>16</v>
      </c>
      <c r="E2019">
        <v>3</v>
      </c>
      <c r="F2019" s="16">
        <v>30063.58</v>
      </c>
      <c r="G2019" t="s">
        <v>4698</v>
      </c>
      <c r="H2019" t="s">
        <v>4698</v>
      </c>
      <c r="I2019" t="s">
        <v>4713</v>
      </c>
      <c r="J2019" s="17">
        <f t="shared" si="62"/>
        <v>24639</v>
      </c>
      <c r="K2019">
        <f t="shared" ca="1" si="63"/>
        <v>58</v>
      </c>
    </row>
    <row r="2020" spans="1:11" ht="15.75" customHeight="1">
      <c r="A2020" t="s">
        <v>645</v>
      </c>
      <c r="B2020">
        <v>1979</v>
      </c>
      <c r="C2020" t="s">
        <v>4712</v>
      </c>
      <c r="D2020">
        <v>2</v>
      </c>
      <c r="E2020">
        <v>2</v>
      </c>
      <c r="F2020" s="16">
        <v>30095.97</v>
      </c>
      <c r="G2020" t="s">
        <v>4699</v>
      </c>
      <c r="H2020" t="s">
        <v>4700</v>
      </c>
      <c r="I2020" t="s">
        <v>4718</v>
      </c>
      <c r="J2020" s="17">
        <f t="shared" si="62"/>
        <v>29100</v>
      </c>
      <c r="K2020">
        <f t="shared" ca="1" si="63"/>
        <v>46</v>
      </c>
    </row>
    <row r="2021" spans="1:11" ht="15.75" customHeight="1">
      <c r="A2021" t="s">
        <v>643</v>
      </c>
      <c r="B2021">
        <v>1971</v>
      </c>
      <c r="C2021" t="s">
        <v>4714</v>
      </c>
      <c r="D2021">
        <v>25</v>
      </c>
      <c r="E2021">
        <v>0</v>
      </c>
      <c r="F2021" s="16">
        <v>30134.75</v>
      </c>
      <c r="G2021" t="s">
        <v>4699</v>
      </c>
      <c r="H2021" t="s">
        <v>4700</v>
      </c>
      <c r="I2021" t="s">
        <v>4718</v>
      </c>
      <c r="J2021" s="17">
        <f t="shared" si="62"/>
        <v>26292</v>
      </c>
      <c r="K2021">
        <f t="shared" ca="1" si="63"/>
        <v>53</v>
      </c>
    </row>
    <row r="2022" spans="1:11" ht="15.75" customHeight="1">
      <c r="A2022" t="s">
        <v>641</v>
      </c>
      <c r="B2022">
        <v>1958</v>
      </c>
      <c r="C2022" t="s">
        <v>4716</v>
      </c>
      <c r="D2022">
        <v>11</v>
      </c>
      <c r="E2022">
        <v>1</v>
      </c>
      <c r="F2022" s="16">
        <v>30166.62</v>
      </c>
      <c r="G2022" t="s">
        <v>4698</v>
      </c>
      <c r="H2022" t="s">
        <v>4700</v>
      </c>
      <c r="I2022" t="s">
        <v>4713</v>
      </c>
      <c r="J2022" s="17">
        <f t="shared" si="62"/>
        <v>21408</v>
      </c>
      <c r="K2022">
        <f t="shared" ca="1" si="63"/>
        <v>67</v>
      </c>
    </row>
    <row r="2023" spans="1:11" ht="15.75" customHeight="1">
      <c r="A2023" t="s">
        <v>639</v>
      </c>
      <c r="B2023">
        <v>1963</v>
      </c>
      <c r="C2023" t="s">
        <v>4712</v>
      </c>
      <c r="D2023">
        <v>13</v>
      </c>
      <c r="E2023">
        <v>3</v>
      </c>
      <c r="F2023" s="16">
        <v>30184.94</v>
      </c>
      <c r="G2023" t="s">
        <v>4698</v>
      </c>
      <c r="H2023" t="s">
        <v>4698</v>
      </c>
      <c r="I2023" t="s">
        <v>4726</v>
      </c>
      <c r="J2023" s="17">
        <f t="shared" si="62"/>
        <v>23267</v>
      </c>
      <c r="K2023">
        <f t="shared" ca="1" si="63"/>
        <v>62</v>
      </c>
    </row>
    <row r="2024" spans="1:11" ht="15.75" customHeight="1">
      <c r="A2024" t="s">
        <v>637</v>
      </c>
      <c r="B2024">
        <v>1962</v>
      </c>
      <c r="C2024" t="s">
        <v>4712</v>
      </c>
      <c r="D2024">
        <v>15</v>
      </c>
      <c r="E2024">
        <v>0</v>
      </c>
      <c r="F2024" s="16">
        <v>30260</v>
      </c>
      <c r="G2024" t="s">
        <v>4698</v>
      </c>
      <c r="H2024" t="s">
        <v>4698</v>
      </c>
      <c r="I2024" t="s">
        <v>4726</v>
      </c>
      <c r="J2024" s="17">
        <f t="shared" si="62"/>
        <v>22904</v>
      </c>
      <c r="K2024">
        <f t="shared" ca="1" si="63"/>
        <v>63</v>
      </c>
    </row>
    <row r="2025" spans="1:11" ht="15.75" customHeight="1">
      <c r="A2025" t="s">
        <v>635</v>
      </c>
      <c r="B2025">
        <v>1972</v>
      </c>
      <c r="C2025" t="s">
        <v>4708</v>
      </c>
      <c r="D2025">
        <v>24</v>
      </c>
      <c r="E2025">
        <v>2</v>
      </c>
      <c r="F2025" s="16">
        <v>30284.639999999999</v>
      </c>
      <c r="G2025" t="s">
        <v>4698</v>
      </c>
      <c r="H2025" t="s">
        <v>4698</v>
      </c>
      <c r="I2025" t="s">
        <v>4713</v>
      </c>
      <c r="J2025" s="17">
        <f t="shared" si="62"/>
        <v>26504</v>
      </c>
      <c r="K2025">
        <f t="shared" ca="1" si="63"/>
        <v>53</v>
      </c>
    </row>
    <row r="2026" spans="1:11" ht="15.75" customHeight="1">
      <c r="A2026" t="s">
        <v>633</v>
      </c>
      <c r="B2026">
        <v>2004</v>
      </c>
      <c r="C2026" t="s">
        <v>4711</v>
      </c>
      <c r="D2026">
        <v>1</v>
      </c>
      <c r="E2026">
        <v>0</v>
      </c>
      <c r="F2026" s="16">
        <v>30328.27</v>
      </c>
      <c r="G2026" t="s">
        <v>4699</v>
      </c>
      <c r="H2026" t="s">
        <v>4699</v>
      </c>
      <c r="I2026" t="s">
        <v>4718</v>
      </c>
      <c r="J2026" s="17">
        <f t="shared" si="62"/>
        <v>38139</v>
      </c>
      <c r="K2026">
        <f t="shared" ca="1" si="63"/>
        <v>21</v>
      </c>
    </row>
    <row r="2027" spans="1:11" ht="15.75" customHeight="1">
      <c r="A2027" t="s">
        <v>631</v>
      </c>
      <c r="B2027">
        <v>1969</v>
      </c>
      <c r="C2027" t="s">
        <v>4708</v>
      </c>
      <c r="D2027">
        <v>30</v>
      </c>
      <c r="E2027">
        <v>0</v>
      </c>
      <c r="F2027" s="16">
        <v>30366.93</v>
      </c>
      <c r="G2027" t="s">
        <v>4699</v>
      </c>
      <c r="H2027" t="s">
        <v>4699</v>
      </c>
      <c r="I2027" t="s">
        <v>4718</v>
      </c>
      <c r="J2027" s="17">
        <f t="shared" si="62"/>
        <v>25414</v>
      </c>
      <c r="K2027">
        <f t="shared" ca="1" si="63"/>
        <v>56</v>
      </c>
    </row>
    <row r="2028" spans="1:11" ht="15.75" customHeight="1">
      <c r="A2028" t="s">
        <v>629</v>
      </c>
      <c r="B2028">
        <v>1976</v>
      </c>
      <c r="C2028" t="s">
        <v>4712</v>
      </c>
      <c r="D2028">
        <v>3</v>
      </c>
      <c r="E2028">
        <v>2</v>
      </c>
      <c r="F2028" s="16">
        <v>30409.53</v>
      </c>
      <c r="G2028" t="s">
        <v>4699</v>
      </c>
      <c r="H2028" t="s">
        <v>4700</v>
      </c>
      <c r="I2028" t="s">
        <v>4713</v>
      </c>
      <c r="J2028" s="17">
        <f t="shared" si="62"/>
        <v>28006</v>
      </c>
      <c r="K2028">
        <f t="shared" ca="1" si="63"/>
        <v>49</v>
      </c>
    </row>
    <row r="2029" spans="1:11" ht="15.75" customHeight="1">
      <c r="A2029" t="s">
        <v>627</v>
      </c>
      <c r="B2029">
        <v>1998</v>
      </c>
      <c r="C2029" t="s">
        <v>4717</v>
      </c>
      <c r="D2029">
        <v>28</v>
      </c>
      <c r="E2029">
        <v>0</v>
      </c>
      <c r="F2029" s="16">
        <v>30422.03</v>
      </c>
      <c r="G2029" t="s">
        <v>4699</v>
      </c>
      <c r="H2029" t="s">
        <v>4700</v>
      </c>
      <c r="I2029" t="s">
        <v>4718</v>
      </c>
      <c r="J2029" s="17">
        <f t="shared" si="62"/>
        <v>36096</v>
      </c>
      <c r="K2029">
        <f t="shared" ca="1" si="63"/>
        <v>27</v>
      </c>
    </row>
    <row r="2030" spans="1:11" ht="15.75" customHeight="1">
      <c r="A2030" t="s">
        <v>625</v>
      </c>
      <c r="B2030">
        <v>1983</v>
      </c>
      <c r="C2030" t="s">
        <v>4712</v>
      </c>
      <c r="D2030">
        <v>3</v>
      </c>
      <c r="E2030">
        <v>3</v>
      </c>
      <c r="F2030" s="16">
        <v>30457.37</v>
      </c>
      <c r="G2030" t="s">
        <v>4699</v>
      </c>
      <c r="H2030" t="s">
        <v>4698</v>
      </c>
      <c r="I2030" t="s">
        <v>4713</v>
      </c>
      <c r="J2030" s="17">
        <f t="shared" si="62"/>
        <v>30562</v>
      </c>
      <c r="K2030">
        <f t="shared" ca="1" si="63"/>
        <v>42</v>
      </c>
    </row>
    <row r="2031" spans="1:11" ht="15.75" customHeight="1">
      <c r="A2031" t="s">
        <v>623</v>
      </c>
      <c r="B2031">
        <v>1986</v>
      </c>
      <c r="C2031" t="s">
        <v>4716</v>
      </c>
      <c r="D2031">
        <v>10</v>
      </c>
      <c r="E2031">
        <v>3</v>
      </c>
      <c r="F2031" s="16">
        <v>30530.5</v>
      </c>
      <c r="G2031" t="s">
        <v>4699</v>
      </c>
      <c r="H2031" t="s">
        <v>4698</v>
      </c>
      <c r="I2031" t="s">
        <v>4718</v>
      </c>
      <c r="J2031" s="17">
        <f t="shared" si="62"/>
        <v>31634</v>
      </c>
      <c r="K2031">
        <f t="shared" ca="1" si="63"/>
        <v>39</v>
      </c>
    </row>
    <row r="2032" spans="1:11" ht="15.75" customHeight="1">
      <c r="A2032" t="s">
        <v>621</v>
      </c>
      <c r="B2032">
        <v>1970</v>
      </c>
      <c r="C2032" t="s">
        <v>4710</v>
      </c>
      <c r="D2032">
        <v>11</v>
      </c>
      <c r="E2032">
        <v>0</v>
      </c>
      <c r="F2032" s="16">
        <v>30625.65</v>
      </c>
      <c r="G2032" t="s">
        <v>4699</v>
      </c>
      <c r="H2032" t="s">
        <v>4700</v>
      </c>
      <c r="I2032" t="s">
        <v>4718</v>
      </c>
      <c r="J2032" s="17">
        <f t="shared" si="62"/>
        <v>25883</v>
      </c>
      <c r="K2032">
        <f t="shared" ca="1" si="63"/>
        <v>55</v>
      </c>
    </row>
    <row r="2033" spans="1:11" ht="15.75" customHeight="1">
      <c r="A2033" t="s">
        <v>619</v>
      </c>
      <c r="B2033">
        <v>1999</v>
      </c>
      <c r="C2033" t="s">
        <v>4712</v>
      </c>
      <c r="D2033">
        <v>21</v>
      </c>
      <c r="E2033">
        <v>0</v>
      </c>
      <c r="F2033" s="16">
        <v>30697.71</v>
      </c>
      <c r="G2033" t="s">
        <v>4698</v>
      </c>
      <c r="H2033" t="s">
        <v>4699</v>
      </c>
      <c r="I2033" t="s">
        <v>4718</v>
      </c>
      <c r="J2033" s="17">
        <f t="shared" si="62"/>
        <v>36424</v>
      </c>
      <c r="K2033">
        <f t="shared" ca="1" si="63"/>
        <v>26</v>
      </c>
    </row>
    <row r="2034" spans="1:11" ht="15.75" customHeight="1">
      <c r="A2034" t="s">
        <v>617</v>
      </c>
      <c r="B2034">
        <v>1983</v>
      </c>
      <c r="C2034" t="s">
        <v>4714</v>
      </c>
      <c r="D2034">
        <v>21</v>
      </c>
      <c r="E2034">
        <v>3</v>
      </c>
      <c r="F2034" s="16">
        <v>30724.44</v>
      </c>
      <c r="G2034" t="s">
        <v>4699</v>
      </c>
      <c r="H2034" t="s">
        <v>4700</v>
      </c>
      <c r="I2034" t="s">
        <v>4718</v>
      </c>
      <c r="J2034" s="17">
        <f t="shared" si="62"/>
        <v>30671</v>
      </c>
      <c r="K2034">
        <f t="shared" ca="1" si="63"/>
        <v>41</v>
      </c>
    </row>
    <row r="2035" spans="1:11" ht="15.75" customHeight="1">
      <c r="A2035" t="s">
        <v>615</v>
      </c>
      <c r="B2035">
        <v>1988</v>
      </c>
      <c r="C2035" t="s">
        <v>4712</v>
      </c>
      <c r="D2035">
        <v>5</v>
      </c>
      <c r="E2035">
        <v>3</v>
      </c>
      <c r="F2035" s="16">
        <v>30763.01</v>
      </c>
      <c r="G2035" t="s">
        <v>4699</v>
      </c>
      <c r="H2035" t="s">
        <v>4698</v>
      </c>
      <c r="I2035" t="s">
        <v>4718</v>
      </c>
      <c r="J2035" s="17">
        <f t="shared" si="62"/>
        <v>32391</v>
      </c>
      <c r="K2035">
        <f t="shared" ca="1" si="63"/>
        <v>37</v>
      </c>
    </row>
    <row r="2036" spans="1:11" ht="15.75" customHeight="1">
      <c r="A2036" t="s">
        <v>613</v>
      </c>
      <c r="B2036">
        <v>1961</v>
      </c>
      <c r="C2036" t="s">
        <v>4712</v>
      </c>
      <c r="D2036">
        <v>9</v>
      </c>
      <c r="E2036">
        <v>3</v>
      </c>
      <c r="F2036" s="16">
        <v>30942.19</v>
      </c>
      <c r="G2036" t="s">
        <v>4699</v>
      </c>
      <c r="H2036" t="s">
        <v>4699</v>
      </c>
      <c r="I2036" t="s">
        <v>4709</v>
      </c>
      <c r="J2036" s="17">
        <f t="shared" si="62"/>
        <v>22533</v>
      </c>
      <c r="K2036">
        <f t="shared" ca="1" si="63"/>
        <v>64</v>
      </c>
    </row>
    <row r="2037" spans="1:11" ht="15.75" customHeight="1">
      <c r="A2037" t="s">
        <v>611</v>
      </c>
      <c r="B2037">
        <v>2004</v>
      </c>
      <c r="C2037" t="s">
        <v>4710</v>
      </c>
      <c r="D2037">
        <v>9</v>
      </c>
      <c r="E2037">
        <v>0</v>
      </c>
      <c r="F2037" s="16">
        <v>31196.61</v>
      </c>
      <c r="G2037" t="s">
        <v>4699</v>
      </c>
      <c r="H2037" t="s">
        <v>4698</v>
      </c>
      <c r="I2037" t="s">
        <v>4718</v>
      </c>
      <c r="J2037" s="17">
        <f t="shared" si="62"/>
        <v>38300</v>
      </c>
      <c r="K2037">
        <f t="shared" ca="1" si="63"/>
        <v>21</v>
      </c>
    </row>
    <row r="2038" spans="1:11" ht="15.75" customHeight="1">
      <c r="A2038" t="s">
        <v>609</v>
      </c>
      <c r="B2038">
        <v>2000</v>
      </c>
      <c r="C2038" t="s">
        <v>4708</v>
      </c>
      <c r="D2038">
        <v>22</v>
      </c>
      <c r="E2038">
        <v>0</v>
      </c>
      <c r="F2038" s="16">
        <v>31234.560000000001</v>
      </c>
      <c r="G2038" t="s">
        <v>4698</v>
      </c>
      <c r="H2038" t="s">
        <v>4698</v>
      </c>
      <c r="I2038" t="s">
        <v>4718</v>
      </c>
      <c r="J2038" s="17">
        <f t="shared" si="62"/>
        <v>36729</v>
      </c>
      <c r="K2038">
        <f t="shared" ca="1" si="63"/>
        <v>25</v>
      </c>
    </row>
    <row r="2039" spans="1:11" ht="15.75" customHeight="1">
      <c r="A2039" t="s">
        <v>607</v>
      </c>
      <c r="B2039">
        <v>1968</v>
      </c>
      <c r="C2039" t="s">
        <v>4708</v>
      </c>
      <c r="D2039">
        <v>9</v>
      </c>
      <c r="E2039">
        <v>0</v>
      </c>
      <c r="F2039" s="16">
        <v>31322.53</v>
      </c>
      <c r="G2039" t="s">
        <v>4699</v>
      </c>
      <c r="H2039" t="s">
        <v>4698</v>
      </c>
      <c r="I2039" t="s">
        <v>4718</v>
      </c>
      <c r="J2039" s="17">
        <f t="shared" si="62"/>
        <v>25028</v>
      </c>
      <c r="K2039">
        <f t="shared" ca="1" si="63"/>
        <v>57</v>
      </c>
    </row>
    <row r="2040" spans="1:11" ht="15.75" customHeight="1">
      <c r="A2040" t="s">
        <v>605</v>
      </c>
      <c r="B2040">
        <v>1995</v>
      </c>
      <c r="C2040" t="s">
        <v>4712</v>
      </c>
      <c r="D2040">
        <v>27</v>
      </c>
      <c r="E2040">
        <v>0</v>
      </c>
      <c r="F2040" s="16">
        <v>31328.27</v>
      </c>
      <c r="G2040" t="s">
        <v>4699</v>
      </c>
      <c r="H2040" t="s">
        <v>4699</v>
      </c>
      <c r="I2040" t="s">
        <v>4718</v>
      </c>
      <c r="J2040" s="17">
        <f t="shared" si="62"/>
        <v>34969</v>
      </c>
      <c r="K2040">
        <f t="shared" ca="1" si="63"/>
        <v>30</v>
      </c>
    </row>
    <row r="2041" spans="1:11" ht="15.75" customHeight="1">
      <c r="A2041" t="s">
        <v>603</v>
      </c>
      <c r="B2041">
        <v>1974</v>
      </c>
      <c r="C2041" t="s">
        <v>4717</v>
      </c>
      <c r="D2041">
        <v>8</v>
      </c>
      <c r="E2041">
        <v>0</v>
      </c>
      <c r="F2041" s="16">
        <v>31368.81</v>
      </c>
      <c r="G2041" t="s">
        <v>4699</v>
      </c>
      <c r="H2041" t="s">
        <v>4700</v>
      </c>
      <c r="I2041" t="s">
        <v>4718</v>
      </c>
      <c r="J2041" s="17">
        <f t="shared" si="62"/>
        <v>27310</v>
      </c>
      <c r="K2041">
        <f t="shared" ca="1" si="63"/>
        <v>51</v>
      </c>
    </row>
    <row r="2042" spans="1:11" ht="15.75" customHeight="1">
      <c r="A2042" t="s">
        <v>601</v>
      </c>
      <c r="B2042">
        <v>1975</v>
      </c>
      <c r="C2042" t="s">
        <v>4717</v>
      </c>
      <c r="D2042">
        <v>29</v>
      </c>
      <c r="E2042">
        <v>1</v>
      </c>
      <c r="F2042" s="16">
        <v>31591.82</v>
      </c>
      <c r="G2042" t="s">
        <v>4699</v>
      </c>
      <c r="H2042" t="s">
        <v>4698</v>
      </c>
      <c r="I2042" t="s">
        <v>4718</v>
      </c>
      <c r="J2042" s="17">
        <f t="shared" si="62"/>
        <v>27696</v>
      </c>
      <c r="K2042">
        <f t="shared" ca="1" si="63"/>
        <v>50</v>
      </c>
    </row>
    <row r="2043" spans="1:11" ht="15.75" customHeight="1">
      <c r="A2043" t="s">
        <v>599</v>
      </c>
      <c r="B2043">
        <v>1960</v>
      </c>
      <c r="C2043" t="s">
        <v>4714</v>
      </c>
      <c r="D2043">
        <v>13</v>
      </c>
      <c r="E2043">
        <v>1</v>
      </c>
      <c r="F2043" s="16">
        <v>31620</v>
      </c>
      <c r="G2043" t="s">
        <v>4699</v>
      </c>
      <c r="H2043" t="s">
        <v>4698</v>
      </c>
      <c r="I2043" t="s">
        <v>4724</v>
      </c>
      <c r="J2043" s="17">
        <f t="shared" si="62"/>
        <v>22263</v>
      </c>
      <c r="K2043">
        <f t="shared" ca="1" si="63"/>
        <v>64</v>
      </c>
    </row>
    <row r="2044" spans="1:11" ht="15.75" customHeight="1">
      <c r="A2044" t="s">
        <v>597</v>
      </c>
      <c r="B2044">
        <v>1977</v>
      </c>
      <c r="C2044" t="s">
        <v>4717</v>
      </c>
      <c r="D2044">
        <v>14</v>
      </c>
      <c r="E2044">
        <v>2</v>
      </c>
      <c r="F2044" s="16">
        <v>31736.7</v>
      </c>
      <c r="G2044" t="s">
        <v>4699</v>
      </c>
      <c r="H2044" t="s">
        <v>4699</v>
      </c>
      <c r="I2044" t="s">
        <v>4713</v>
      </c>
      <c r="J2044" s="17">
        <f t="shared" si="62"/>
        <v>28412</v>
      </c>
      <c r="K2044">
        <f t="shared" ca="1" si="63"/>
        <v>48</v>
      </c>
    </row>
    <row r="2045" spans="1:11" ht="15.75" customHeight="1">
      <c r="A2045" t="s">
        <v>595</v>
      </c>
      <c r="B2045">
        <v>1984</v>
      </c>
      <c r="C2045" t="s">
        <v>4712</v>
      </c>
      <c r="D2045">
        <v>10</v>
      </c>
      <c r="E2045">
        <v>3</v>
      </c>
      <c r="F2045" s="16">
        <v>31743.919999999998</v>
      </c>
      <c r="G2045" t="s">
        <v>4699</v>
      </c>
      <c r="H2045" t="s">
        <v>4698</v>
      </c>
      <c r="I2045" t="s">
        <v>4718</v>
      </c>
      <c r="J2045" s="17">
        <f t="shared" si="62"/>
        <v>30935</v>
      </c>
      <c r="K2045">
        <f t="shared" ca="1" si="63"/>
        <v>41</v>
      </c>
    </row>
    <row r="2046" spans="1:11" ht="15.75" customHeight="1">
      <c r="A2046" t="s">
        <v>593</v>
      </c>
      <c r="B2046">
        <v>1975</v>
      </c>
      <c r="C2046" t="s">
        <v>4712</v>
      </c>
      <c r="D2046">
        <v>25</v>
      </c>
      <c r="E2046">
        <v>1</v>
      </c>
      <c r="F2046" s="16">
        <v>31897.1</v>
      </c>
      <c r="G2046" t="s">
        <v>4699</v>
      </c>
      <c r="H2046" t="s">
        <v>4700</v>
      </c>
      <c r="I2046" t="s">
        <v>4718</v>
      </c>
      <c r="J2046" s="17">
        <f t="shared" si="62"/>
        <v>27662</v>
      </c>
      <c r="K2046">
        <f t="shared" ca="1" si="63"/>
        <v>50</v>
      </c>
    </row>
    <row r="2047" spans="1:11" ht="15.75" customHeight="1">
      <c r="A2047" t="s">
        <v>591</v>
      </c>
      <c r="B2047">
        <v>1972</v>
      </c>
      <c r="C2047" t="s">
        <v>4712</v>
      </c>
      <c r="D2047">
        <v>21</v>
      </c>
      <c r="E2047">
        <v>0</v>
      </c>
      <c r="F2047" s="16">
        <v>31980.89</v>
      </c>
      <c r="G2047" t="s">
        <v>4699</v>
      </c>
      <c r="H2047" t="s">
        <v>4698</v>
      </c>
      <c r="I2047" t="s">
        <v>4718</v>
      </c>
      <c r="J2047" s="17">
        <f t="shared" si="62"/>
        <v>26563</v>
      </c>
      <c r="K2047">
        <f t="shared" ca="1" si="63"/>
        <v>53</v>
      </c>
    </row>
    <row r="2048" spans="1:11" ht="15.75" customHeight="1">
      <c r="A2048" t="s">
        <v>589</v>
      </c>
      <c r="B2048">
        <v>1993</v>
      </c>
      <c r="C2048" t="s">
        <v>4712</v>
      </c>
      <c r="D2048">
        <v>13</v>
      </c>
      <c r="E2048">
        <v>0</v>
      </c>
      <c r="F2048" s="16">
        <v>32086.21</v>
      </c>
      <c r="G2048" t="s">
        <v>4698</v>
      </c>
      <c r="H2048" t="s">
        <v>4700</v>
      </c>
      <c r="I2048" t="s">
        <v>4718</v>
      </c>
      <c r="J2048" s="17">
        <f t="shared" si="62"/>
        <v>34225</v>
      </c>
      <c r="K2048">
        <f t="shared" ca="1" si="63"/>
        <v>32</v>
      </c>
    </row>
    <row r="2049" spans="1:11" ht="15.75" customHeight="1">
      <c r="A2049" t="s">
        <v>587</v>
      </c>
      <c r="B2049">
        <v>1978</v>
      </c>
      <c r="C2049" t="s">
        <v>4710</v>
      </c>
      <c r="D2049">
        <v>10</v>
      </c>
      <c r="E2049">
        <v>2</v>
      </c>
      <c r="F2049" s="16">
        <v>32108.66</v>
      </c>
      <c r="G2049" t="s">
        <v>4698</v>
      </c>
      <c r="H2049" t="s">
        <v>4700</v>
      </c>
      <c r="I2049" t="s">
        <v>4728</v>
      </c>
      <c r="J2049" s="17">
        <f t="shared" si="62"/>
        <v>28804</v>
      </c>
      <c r="K2049">
        <f t="shared" ca="1" si="63"/>
        <v>47</v>
      </c>
    </row>
    <row r="2050" spans="1:11" ht="15.75" customHeight="1">
      <c r="A2050" t="s">
        <v>585</v>
      </c>
      <c r="B2050">
        <v>1969</v>
      </c>
      <c r="C2050" t="s">
        <v>4712</v>
      </c>
      <c r="D2050">
        <v>11</v>
      </c>
      <c r="E2050">
        <v>0</v>
      </c>
      <c r="F2050" s="16">
        <v>32192.76</v>
      </c>
      <c r="G2050" t="s">
        <v>4698</v>
      </c>
      <c r="H2050" t="s">
        <v>4699</v>
      </c>
      <c r="I2050" t="s">
        <v>4718</v>
      </c>
      <c r="J2050" s="17">
        <f t="shared" si="62"/>
        <v>25457</v>
      </c>
      <c r="K2050">
        <f t="shared" ca="1" si="63"/>
        <v>56</v>
      </c>
    </row>
    <row r="2051" spans="1:11" ht="15.75" customHeight="1">
      <c r="A2051" t="s">
        <v>583</v>
      </c>
      <c r="B2051">
        <v>1994</v>
      </c>
      <c r="C2051" t="s">
        <v>4712</v>
      </c>
      <c r="D2051">
        <v>8</v>
      </c>
      <c r="E2051">
        <v>0</v>
      </c>
      <c r="F2051" s="16">
        <v>32222.81</v>
      </c>
      <c r="G2051" t="s">
        <v>4699</v>
      </c>
      <c r="H2051" t="s">
        <v>4698</v>
      </c>
      <c r="I2051" t="s">
        <v>4718</v>
      </c>
      <c r="J2051" s="17">
        <f t="shared" ref="J2051:J2114" si="64">DATEVALUE(D2051&amp;"-"&amp;C2051&amp;" -"&amp;B2051)</f>
        <v>34585</v>
      </c>
      <c r="K2051">
        <f t="shared" ref="K2051:K2114" ca="1" si="65">DATEDIF(J2051,TODAY(),"Y")</f>
        <v>31</v>
      </c>
    </row>
    <row r="2052" spans="1:11" ht="15.75" customHeight="1">
      <c r="A2052" t="s">
        <v>581</v>
      </c>
      <c r="B2052">
        <v>1975</v>
      </c>
      <c r="C2052" t="s">
        <v>4714</v>
      </c>
      <c r="D2052">
        <v>17</v>
      </c>
      <c r="E2052">
        <v>1</v>
      </c>
      <c r="F2052" s="16">
        <v>32259.96</v>
      </c>
      <c r="G2052" t="s">
        <v>4699</v>
      </c>
      <c r="H2052" t="s">
        <v>4700</v>
      </c>
      <c r="I2052" t="s">
        <v>4713</v>
      </c>
      <c r="J2052" s="17">
        <f t="shared" si="64"/>
        <v>27745</v>
      </c>
      <c r="K2052">
        <f t="shared" ca="1" si="65"/>
        <v>49</v>
      </c>
    </row>
    <row r="2053" spans="1:11" ht="15.75" customHeight="1">
      <c r="A2053" t="s">
        <v>579</v>
      </c>
      <c r="B2053">
        <v>1986</v>
      </c>
      <c r="C2053" t="s">
        <v>4714</v>
      </c>
      <c r="D2053">
        <v>2</v>
      </c>
      <c r="E2053">
        <v>3</v>
      </c>
      <c r="F2053" s="16">
        <v>32288.49</v>
      </c>
      <c r="G2053" t="s">
        <v>4699</v>
      </c>
      <c r="H2053" t="s">
        <v>4699</v>
      </c>
      <c r="I2053" t="s">
        <v>4718</v>
      </c>
      <c r="J2053" s="17">
        <f t="shared" si="64"/>
        <v>31748</v>
      </c>
      <c r="K2053">
        <f t="shared" ca="1" si="65"/>
        <v>38</v>
      </c>
    </row>
    <row r="2054" spans="1:11" ht="15.75" customHeight="1">
      <c r="A2054" t="s">
        <v>577</v>
      </c>
      <c r="B2054">
        <v>1972</v>
      </c>
      <c r="C2054" t="s">
        <v>4717</v>
      </c>
      <c r="D2054">
        <v>19</v>
      </c>
      <c r="E2054">
        <v>0</v>
      </c>
      <c r="F2054" s="16">
        <v>32428.63</v>
      </c>
      <c r="G2054" t="s">
        <v>4699</v>
      </c>
      <c r="H2054" t="s">
        <v>4699</v>
      </c>
      <c r="I2054" t="s">
        <v>4718</v>
      </c>
      <c r="J2054" s="17">
        <f t="shared" si="64"/>
        <v>26591</v>
      </c>
      <c r="K2054">
        <f t="shared" ca="1" si="65"/>
        <v>53</v>
      </c>
    </row>
    <row r="2055" spans="1:11" ht="15.75" customHeight="1">
      <c r="A2055" t="s">
        <v>575</v>
      </c>
      <c r="B2055">
        <v>1976</v>
      </c>
      <c r="C2055" t="s">
        <v>4716</v>
      </c>
      <c r="D2055">
        <v>9</v>
      </c>
      <c r="E2055">
        <v>2</v>
      </c>
      <c r="F2055" s="16">
        <v>32430.22</v>
      </c>
      <c r="G2055" t="s">
        <v>4699</v>
      </c>
      <c r="H2055" t="s">
        <v>4700</v>
      </c>
      <c r="I2055" t="s">
        <v>4718</v>
      </c>
      <c r="J2055" s="17">
        <f t="shared" si="64"/>
        <v>27981</v>
      </c>
      <c r="K2055">
        <f t="shared" ca="1" si="65"/>
        <v>49</v>
      </c>
    </row>
    <row r="2056" spans="1:11" ht="15.75" customHeight="1">
      <c r="A2056" t="s">
        <v>573</v>
      </c>
      <c r="B2056">
        <v>1981</v>
      </c>
      <c r="C2056" t="s">
        <v>4712</v>
      </c>
      <c r="D2056">
        <v>27</v>
      </c>
      <c r="E2056">
        <v>1</v>
      </c>
      <c r="F2056" s="16">
        <v>32462.35</v>
      </c>
      <c r="G2056" t="s">
        <v>4699</v>
      </c>
      <c r="H2056" t="s">
        <v>4699</v>
      </c>
      <c r="I2056" t="s">
        <v>4718</v>
      </c>
      <c r="J2056" s="17">
        <f t="shared" si="64"/>
        <v>29856</v>
      </c>
      <c r="K2056">
        <f t="shared" ca="1" si="65"/>
        <v>44</v>
      </c>
    </row>
    <row r="2057" spans="1:11" ht="15.75" customHeight="1">
      <c r="A2057" t="s">
        <v>571</v>
      </c>
      <c r="B2057">
        <v>1976</v>
      </c>
      <c r="C2057" t="s">
        <v>4712</v>
      </c>
      <c r="D2057">
        <v>19</v>
      </c>
      <c r="E2057">
        <v>2</v>
      </c>
      <c r="F2057" s="16">
        <v>32485.46</v>
      </c>
      <c r="G2057" t="s">
        <v>4699</v>
      </c>
      <c r="H2057" t="s">
        <v>4698</v>
      </c>
      <c r="I2057" t="s">
        <v>4718</v>
      </c>
      <c r="J2057" s="17">
        <f t="shared" si="64"/>
        <v>28022</v>
      </c>
      <c r="K2057">
        <f t="shared" ca="1" si="65"/>
        <v>49</v>
      </c>
    </row>
    <row r="2058" spans="1:11" ht="15.75" customHeight="1">
      <c r="A2058" t="s">
        <v>569</v>
      </c>
      <c r="B2058">
        <v>2003</v>
      </c>
      <c r="C2058" t="s">
        <v>4717</v>
      </c>
      <c r="D2058">
        <v>8</v>
      </c>
      <c r="E2058">
        <v>0</v>
      </c>
      <c r="F2058" s="16">
        <v>32548.34</v>
      </c>
      <c r="G2058" t="s">
        <v>4698</v>
      </c>
      <c r="H2058" t="s">
        <v>4699</v>
      </c>
      <c r="I2058" t="s">
        <v>4709</v>
      </c>
      <c r="J2058" s="17">
        <f t="shared" si="64"/>
        <v>37902</v>
      </c>
      <c r="K2058">
        <f t="shared" ca="1" si="65"/>
        <v>22</v>
      </c>
    </row>
    <row r="2059" spans="1:11" ht="15.75" customHeight="1">
      <c r="A2059" t="s">
        <v>567</v>
      </c>
      <c r="B2059">
        <v>1990</v>
      </c>
      <c r="C2059" t="s">
        <v>4708</v>
      </c>
      <c r="D2059">
        <v>13</v>
      </c>
      <c r="E2059">
        <v>3</v>
      </c>
      <c r="F2059" s="16">
        <v>32672.11</v>
      </c>
      <c r="G2059" t="s">
        <v>4698</v>
      </c>
      <c r="H2059" t="s">
        <v>4698</v>
      </c>
      <c r="I2059" t="s">
        <v>4718</v>
      </c>
      <c r="J2059" s="17">
        <f t="shared" si="64"/>
        <v>33067</v>
      </c>
      <c r="K2059">
        <f t="shared" ca="1" si="65"/>
        <v>35</v>
      </c>
    </row>
    <row r="2060" spans="1:11" ht="15.75" customHeight="1">
      <c r="A2060" t="s">
        <v>565</v>
      </c>
      <c r="B2060">
        <v>1968</v>
      </c>
      <c r="C2060" t="s">
        <v>4710</v>
      </c>
      <c r="D2060">
        <v>1</v>
      </c>
      <c r="E2060">
        <v>0</v>
      </c>
      <c r="F2060" s="16">
        <v>32686.080000000002</v>
      </c>
      <c r="G2060" t="s">
        <v>4699</v>
      </c>
      <c r="H2060" t="s">
        <v>4700</v>
      </c>
      <c r="I2060" t="s">
        <v>4718</v>
      </c>
      <c r="J2060" s="17">
        <f t="shared" si="64"/>
        <v>25143</v>
      </c>
      <c r="K2060">
        <f t="shared" ca="1" si="65"/>
        <v>57</v>
      </c>
    </row>
    <row r="2061" spans="1:11" ht="15.75" customHeight="1">
      <c r="A2061" t="s">
        <v>563</v>
      </c>
      <c r="B2061">
        <v>1990</v>
      </c>
      <c r="C2061" t="s">
        <v>4712</v>
      </c>
      <c r="D2061">
        <v>30</v>
      </c>
      <c r="E2061">
        <v>3</v>
      </c>
      <c r="F2061" s="16">
        <v>32716.2</v>
      </c>
      <c r="G2061" t="s">
        <v>4698</v>
      </c>
      <c r="H2061" t="s">
        <v>4699</v>
      </c>
      <c r="I2061" t="s">
        <v>4718</v>
      </c>
      <c r="J2061" s="17">
        <f t="shared" si="64"/>
        <v>33146</v>
      </c>
      <c r="K2061">
        <f t="shared" ca="1" si="65"/>
        <v>35</v>
      </c>
    </row>
    <row r="2062" spans="1:11" ht="15.75" customHeight="1">
      <c r="A2062" t="s">
        <v>561</v>
      </c>
      <c r="B2062">
        <v>1990</v>
      </c>
      <c r="C2062" t="s">
        <v>4708</v>
      </c>
      <c r="D2062">
        <v>9</v>
      </c>
      <c r="E2062">
        <v>2</v>
      </c>
      <c r="F2062" s="16">
        <v>32734.19</v>
      </c>
      <c r="G2062" t="s">
        <v>4699</v>
      </c>
      <c r="H2062" t="s">
        <v>4698</v>
      </c>
      <c r="I2062" t="s">
        <v>4713</v>
      </c>
      <c r="J2062" s="17">
        <f t="shared" si="64"/>
        <v>33063</v>
      </c>
      <c r="K2062">
        <f t="shared" ca="1" si="65"/>
        <v>35</v>
      </c>
    </row>
    <row r="2063" spans="1:11" ht="15.75" customHeight="1">
      <c r="A2063" t="s">
        <v>559</v>
      </c>
      <c r="B2063">
        <v>1974</v>
      </c>
      <c r="C2063" t="s">
        <v>4714</v>
      </c>
      <c r="D2063">
        <v>6</v>
      </c>
      <c r="E2063">
        <v>0</v>
      </c>
      <c r="F2063" s="16">
        <v>32760.48</v>
      </c>
      <c r="G2063" t="s">
        <v>4698</v>
      </c>
      <c r="H2063" t="s">
        <v>4698</v>
      </c>
      <c r="I2063" t="s">
        <v>4718</v>
      </c>
      <c r="J2063" s="17">
        <f t="shared" si="64"/>
        <v>27369</v>
      </c>
      <c r="K2063">
        <f t="shared" ca="1" si="65"/>
        <v>50</v>
      </c>
    </row>
    <row r="2064" spans="1:11" ht="15.75" customHeight="1">
      <c r="A2064" t="s">
        <v>557</v>
      </c>
      <c r="B2064">
        <v>1972</v>
      </c>
      <c r="C2064" t="s">
        <v>4710</v>
      </c>
      <c r="D2064">
        <v>7</v>
      </c>
      <c r="E2064">
        <v>0</v>
      </c>
      <c r="F2064" s="16">
        <v>32765.33</v>
      </c>
      <c r="G2064" t="s">
        <v>4699</v>
      </c>
      <c r="H2064" t="s">
        <v>4699</v>
      </c>
      <c r="I2064" t="s">
        <v>4713</v>
      </c>
      <c r="J2064" s="17">
        <f t="shared" si="64"/>
        <v>26610</v>
      </c>
      <c r="K2064">
        <f t="shared" ca="1" si="65"/>
        <v>53</v>
      </c>
    </row>
    <row r="2065" spans="1:11" ht="15.75" customHeight="1">
      <c r="A2065" t="s">
        <v>555</v>
      </c>
      <c r="B2065">
        <v>1980</v>
      </c>
      <c r="C2065" t="s">
        <v>4714</v>
      </c>
      <c r="D2065">
        <v>12</v>
      </c>
      <c r="E2065">
        <v>3</v>
      </c>
      <c r="F2065" s="16">
        <v>32787.46</v>
      </c>
      <c r="G2065" t="s">
        <v>4698</v>
      </c>
      <c r="H2065" t="s">
        <v>4700</v>
      </c>
      <c r="I2065" t="s">
        <v>4713</v>
      </c>
      <c r="J2065" s="17">
        <f t="shared" si="64"/>
        <v>29567</v>
      </c>
      <c r="K2065">
        <f t="shared" ca="1" si="65"/>
        <v>44</v>
      </c>
    </row>
    <row r="2066" spans="1:11" ht="15.75" customHeight="1">
      <c r="A2066" t="s">
        <v>553</v>
      </c>
      <c r="B2066">
        <v>1995</v>
      </c>
      <c r="C2066" t="s">
        <v>4714</v>
      </c>
      <c r="D2066">
        <v>4</v>
      </c>
      <c r="E2066">
        <v>0</v>
      </c>
      <c r="F2066" s="16">
        <v>32827.51</v>
      </c>
      <c r="G2066" t="s">
        <v>4698</v>
      </c>
      <c r="H2066" t="s">
        <v>4699</v>
      </c>
      <c r="I2066" t="s">
        <v>4718</v>
      </c>
      <c r="J2066" s="17">
        <f t="shared" si="64"/>
        <v>35037</v>
      </c>
      <c r="K2066">
        <f t="shared" ca="1" si="65"/>
        <v>29</v>
      </c>
    </row>
    <row r="2067" spans="1:11" ht="15.75" customHeight="1">
      <c r="A2067" t="s">
        <v>551</v>
      </c>
      <c r="B2067">
        <v>1981</v>
      </c>
      <c r="C2067" t="s">
        <v>4710</v>
      </c>
      <c r="D2067">
        <v>17</v>
      </c>
      <c r="E2067">
        <v>1</v>
      </c>
      <c r="F2067" s="16">
        <v>32906.69</v>
      </c>
      <c r="G2067" t="s">
        <v>4699</v>
      </c>
      <c r="H2067" t="s">
        <v>4700</v>
      </c>
      <c r="I2067" t="s">
        <v>4718</v>
      </c>
      <c r="J2067" s="17">
        <f t="shared" si="64"/>
        <v>29907</v>
      </c>
      <c r="K2067">
        <f t="shared" ca="1" si="65"/>
        <v>44</v>
      </c>
    </row>
    <row r="2068" spans="1:11" ht="15.75" customHeight="1">
      <c r="A2068" t="s">
        <v>549</v>
      </c>
      <c r="B2068">
        <v>1971</v>
      </c>
      <c r="C2068" t="s">
        <v>4716</v>
      </c>
      <c r="D2068">
        <v>24</v>
      </c>
      <c r="E2068">
        <v>0</v>
      </c>
      <c r="F2068" s="16">
        <v>32947.629999999997</v>
      </c>
      <c r="G2068" t="s">
        <v>4699</v>
      </c>
      <c r="H2068" t="s">
        <v>4698</v>
      </c>
      <c r="I2068" t="s">
        <v>4718</v>
      </c>
      <c r="J2068" s="17">
        <f t="shared" si="64"/>
        <v>26169</v>
      </c>
      <c r="K2068">
        <f t="shared" ca="1" si="65"/>
        <v>54</v>
      </c>
    </row>
    <row r="2069" spans="1:11" ht="15.75" customHeight="1">
      <c r="A2069" t="s">
        <v>547</v>
      </c>
      <c r="B2069">
        <v>1995</v>
      </c>
      <c r="C2069" t="s">
        <v>4708</v>
      </c>
      <c r="D2069">
        <v>8</v>
      </c>
      <c r="E2069">
        <v>0</v>
      </c>
      <c r="F2069" s="16">
        <v>33017.46</v>
      </c>
      <c r="G2069" t="s">
        <v>4698</v>
      </c>
      <c r="H2069" t="s">
        <v>4698</v>
      </c>
      <c r="I2069" t="s">
        <v>4718</v>
      </c>
      <c r="J2069" s="17">
        <f t="shared" si="64"/>
        <v>34888</v>
      </c>
      <c r="K2069">
        <f t="shared" ca="1" si="65"/>
        <v>30</v>
      </c>
    </row>
    <row r="2070" spans="1:11" ht="15.75" customHeight="1">
      <c r="A2070" t="s">
        <v>545</v>
      </c>
      <c r="B2070">
        <v>1967</v>
      </c>
      <c r="C2070" t="s">
        <v>4708</v>
      </c>
      <c r="D2070">
        <v>10</v>
      </c>
      <c r="E2070">
        <v>0</v>
      </c>
      <c r="F2070" s="16">
        <v>33025.32</v>
      </c>
      <c r="G2070" t="s">
        <v>4699</v>
      </c>
      <c r="H2070" t="s">
        <v>4700</v>
      </c>
      <c r="I2070" t="s">
        <v>4718</v>
      </c>
      <c r="J2070" s="17">
        <f t="shared" si="64"/>
        <v>24663</v>
      </c>
      <c r="K2070">
        <f t="shared" ca="1" si="65"/>
        <v>58</v>
      </c>
    </row>
    <row r="2071" spans="1:11" ht="15.75" customHeight="1">
      <c r="A2071" t="s">
        <v>543</v>
      </c>
      <c r="B2071">
        <v>1994</v>
      </c>
      <c r="C2071" t="s">
        <v>4708</v>
      </c>
      <c r="D2071">
        <v>28</v>
      </c>
      <c r="E2071">
        <v>0</v>
      </c>
      <c r="F2071" s="16">
        <v>33057.230000000003</v>
      </c>
      <c r="G2071" t="s">
        <v>4698</v>
      </c>
      <c r="H2071" t="s">
        <v>4699</v>
      </c>
      <c r="I2071" t="s">
        <v>4718</v>
      </c>
      <c r="J2071" s="17">
        <f t="shared" si="64"/>
        <v>34543</v>
      </c>
      <c r="K2071">
        <f t="shared" ca="1" si="65"/>
        <v>31</v>
      </c>
    </row>
    <row r="2072" spans="1:11" ht="15.75" customHeight="1">
      <c r="A2072" t="s">
        <v>541</v>
      </c>
      <c r="B2072">
        <v>1962</v>
      </c>
      <c r="C2072" t="s">
        <v>4708</v>
      </c>
      <c r="D2072">
        <v>1</v>
      </c>
      <c r="E2072">
        <v>0</v>
      </c>
      <c r="F2072" s="16">
        <v>33074.94</v>
      </c>
      <c r="G2072" t="s">
        <v>4698</v>
      </c>
      <c r="H2072" t="s">
        <v>4699</v>
      </c>
      <c r="I2072" t="s">
        <v>4718</v>
      </c>
      <c r="J2072" s="17">
        <f t="shared" si="64"/>
        <v>22828</v>
      </c>
      <c r="K2072">
        <f t="shared" ca="1" si="65"/>
        <v>63</v>
      </c>
    </row>
    <row r="2073" spans="1:11" ht="15.75" customHeight="1">
      <c r="A2073" t="s">
        <v>539</v>
      </c>
      <c r="B2073">
        <v>1969</v>
      </c>
      <c r="C2073" t="s">
        <v>4717</v>
      </c>
      <c r="D2073">
        <v>30</v>
      </c>
      <c r="E2073">
        <v>0</v>
      </c>
      <c r="F2073" s="16">
        <v>33090.660000000003</v>
      </c>
      <c r="G2073" t="s">
        <v>4699</v>
      </c>
      <c r="H2073" t="s">
        <v>4699</v>
      </c>
      <c r="I2073" t="s">
        <v>4718</v>
      </c>
      <c r="J2073" s="17">
        <f t="shared" si="64"/>
        <v>25506</v>
      </c>
      <c r="K2073">
        <f t="shared" ca="1" si="65"/>
        <v>56</v>
      </c>
    </row>
    <row r="2074" spans="1:11" ht="15.75" customHeight="1">
      <c r="A2074" t="s">
        <v>537</v>
      </c>
      <c r="B2074">
        <v>1985</v>
      </c>
      <c r="C2074" t="s">
        <v>4708</v>
      </c>
      <c r="D2074">
        <v>15</v>
      </c>
      <c r="E2074">
        <v>3</v>
      </c>
      <c r="F2074" s="16">
        <v>33121</v>
      </c>
      <c r="G2074" t="s">
        <v>4699</v>
      </c>
      <c r="H2074" t="s">
        <v>4698</v>
      </c>
      <c r="I2074" t="s">
        <v>4718</v>
      </c>
      <c r="J2074" s="17">
        <f t="shared" si="64"/>
        <v>31243</v>
      </c>
      <c r="K2074">
        <f t="shared" ca="1" si="65"/>
        <v>40</v>
      </c>
    </row>
    <row r="2075" spans="1:11" ht="15.75" customHeight="1">
      <c r="A2075" t="s">
        <v>535</v>
      </c>
      <c r="B2075">
        <v>1990</v>
      </c>
      <c r="C2075" t="s">
        <v>4717</v>
      </c>
      <c r="D2075">
        <v>12</v>
      </c>
      <c r="E2075">
        <v>3</v>
      </c>
      <c r="F2075" s="16">
        <v>33292.83</v>
      </c>
      <c r="G2075" t="s">
        <v>4699</v>
      </c>
      <c r="H2075" t="s">
        <v>4698</v>
      </c>
      <c r="I2075" t="s">
        <v>4718</v>
      </c>
      <c r="J2075" s="17">
        <f t="shared" si="64"/>
        <v>33158</v>
      </c>
      <c r="K2075">
        <f t="shared" ca="1" si="65"/>
        <v>35</v>
      </c>
    </row>
    <row r="2076" spans="1:11" ht="15.75" customHeight="1">
      <c r="A2076" t="s">
        <v>533</v>
      </c>
      <c r="B2076">
        <v>2003</v>
      </c>
      <c r="C2076" t="s">
        <v>4710</v>
      </c>
      <c r="D2076">
        <v>28</v>
      </c>
      <c r="E2076">
        <v>0</v>
      </c>
      <c r="F2076" s="16">
        <v>33307.550000000003</v>
      </c>
      <c r="G2076" t="s">
        <v>4699</v>
      </c>
      <c r="H2076" t="s">
        <v>4700</v>
      </c>
      <c r="I2076" t="s">
        <v>4713</v>
      </c>
      <c r="J2076" s="17">
        <f t="shared" si="64"/>
        <v>37953</v>
      </c>
      <c r="K2076">
        <f t="shared" ca="1" si="65"/>
        <v>21</v>
      </c>
    </row>
    <row r="2077" spans="1:11" ht="15.75" customHeight="1">
      <c r="A2077" t="s">
        <v>531</v>
      </c>
      <c r="B2077">
        <v>1972</v>
      </c>
      <c r="C2077" t="s">
        <v>4712</v>
      </c>
      <c r="D2077">
        <v>5</v>
      </c>
      <c r="E2077">
        <v>0</v>
      </c>
      <c r="F2077" s="16">
        <v>33344.449999999997</v>
      </c>
      <c r="G2077" t="s">
        <v>4699</v>
      </c>
      <c r="H2077" t="s">
        <v>4700</v>
      </c>
      <c r="I2077" t="s">
        <v>4718</v>
      </c>
      <c r="J2077" s="17">
        <f t="shared" si="64"/>
        <v>26547</v>
      </c>
      <c r="K2077">
        <f t="shared" ca="1" si="65"/>
        <v>53</v>
      </c>
    </row>
    <row r="2078" spans="1:11" ht="15.75" customHeight="1">
      <c r="A2078" t="s">
        <v>529</v>
      </c>
      <c r="B2078">
        <v>1985</v>
      </c>
      <c r="C2078" t="s">
        <v>4714</v>
      </c>
      <c r="D2078">
        <v>7</v>
      </c>
      <c r="E2078">
        <v>3</v>
      </c>
      <c r="F2078" s="16">
        <v>33450.99</v>
      </c>
      <c r="G2078" t="s">
        <v>4699</v>
      </c>
      <c r="H2078" t="s">
        <v>4699</v>
      </c>
      <c r="I2078" t="s">
        <v>4718</v>
      </c>
      <c r="J2078" s="17">
        <f t="shared" si="64"/>
        <v>31388</v>
      </c>
      <c r="K2078">
        <f t="shared" ca="1" si="65"/>
        <v>39</v>
      </c>
    </row>
    <row r="2079" spans="1:11" ht="15.75" customHeight="1">
      <c r="A2079" t="s">
        <v>527</v>
      </c>
      <c r="B2079">
        <v>1970</v>
      </c>
      <c r="C2079" t="s">
        <v>4711</v>
      </c>
      <c r="D2079">
        <v>18</v>
      </c>
      <c r="E2079">
        <v>2</v>
      </c>
      <c r="F2079" s="16">
        <v>33471.97</v>
      </c>
      <c r="G2079" t="s">
        <v>4699</v>
      </c>
      <c r="H2079" t="s">
        <v>4699</v>
      </c>
      <c r="I2079" t="s">
        <v>4713</v>
      </c>
      <c r="J2079" s="17">
        <f t="shared" si="64"/>
        <v>25737</v>
      </c>
      <c r="K2079">
        <f t="shared" ca="1" si="65"/>
        <v>55</v>
      </c>
    </row>
    <row r="2080" spans="1:11" ht="15.75" customHeight="1">
      <c r="A2080" t="s">
        <v>525</v>
      </c>
      <c r="B2080">
        <v>2002</v>
      </c>
      <c r="C2080" t="s">
        <v>4716</v>
      </c>
      <c r="D2080">
        <v>25</v>
      </c>
      <c r="E2080">
        <v>0</v>
      </c>
      <c r="F2080" s="16">
        <v>33475.82</v>
      </c>
      <c r="G2080" t="s">
        <v>4698</v>
      </c>
      <c r="H2080" t="s">
        <v>4698</v>
      </c>
      <c r="I2080" t="s">
        <v>4722</v>
      </c>
      <c r="J2080" s="17">
        <f t="shared" si="64"/>
        <v>37493</v>
      </c>
      <c r="K2080">
        <f t="shared" ca="1" si="65"/>
        <v>23</v>
      </c>
    </row>
    <row r="2081" spans="1:11" ht="15.75" customHeight="1">
      <c r="A2081" t="s">
        <v>523</v>
      </c>
      <c r="B2081">
        <v>1984</v>
      </c>
      <c r="C2081" t="s">
        <v>4708</v>
      </c>
      <c r="D2081">
        <v>22</v>
      </c>
      <c r="E2081">
        <v>3</v>
      </c>
      <c r="F2081" s="16">
        <v>33527.1</v>
      </c>
      <c r="G2081" t="s">
        <v>4699</v>
      </c>
      <c r="H2081" t="s">
        <v>4700</v>
      </c>
      <c r="I2081" t="s">
        <v>4718</v>
      </c>
      <c r="J2081" s="17">
        <f t="shared" si="64"/>
        <v>30885</v>
      </c>
      <c r="K2081">
        <f t="shared" ca="1" si="65"/>
        <v>41</v>
      </c>
    </row>
    <row r="2082" spans="1:11" ht="15.75" customHeight="1">
      <c r="A2082" t="s">
        <v>521</v>
      </c>
      <c r="B2082">
        <v>2003</v>
      </c>
      <c r="C2082" t="s">
        <v>4712</v>
      </c>
      <c r="D2082">
        <v>9</v>
      </c>
      <c r="E2082">
        <v>0</v>
      </c>
      <c r="F2082" s="16">
        <v>33611.71</v>
      </c>
      <c r="G2082" t="s">
        <v>4698</v>
      </c>
      <c r="H2082" t="s">
        <v>4699</v>
      </c>
      <c r="I2082" t="s">
        <v>4718</v>
      </c>
      <c r="J2082" s="17">
        <f t="shared" si="64"/>
        <v>37873</v>
      </c>
      <c r="K2082">
        <f t="shared" ca="1" si="65"/>
        <v>22</v>
      </c>
    </row>
    <row r="2083" spans="1:11" ht="15.75" customHeight="1">
      <c r="A2083" t="s">
        <v>519</v>
      </c>
      <c r="B2083">
        <v>1993</v>
      </c>
      <c r="C2083" t="s">
        <v>4710</v>
      </c>
      <c r="D2083">
        <v>28</v>
      </c>
      <c r="E2083">
        <v>0</v>
      </c>
      <c r="F2083" s="16">
        <v>33707.550000000003</v>
      </c>
      <c r="G2083" t="s">
        <v>4699</v>
      </c>
      <c r="H2083" t="s">
        <v>4699</v>
      </c>
      <c r="I2083" t="s">
        <v>4718</v>
      </c>
      <c r="J2083" s="17">
        <f t="shared" si="64"/>
        <v>34301</v>
      </c>
      <c r="K2083">
        <f t="shared" ca="1" si="65"/>
        <v>31</v>
      </c>
    </row>
    <row r="2084" spans="1:11" ht="15.75" customHeight="1">
      <c r="A2084" t="s">
        <v>517</v>
      </c>
      <c r="B2084">
        <v>2004</v>
      </c>
      <c r="C2084" t="s">
        <v>4710</v>
      </c>
      <c r="D2084">
        <v>1</v>
      </c>
      <c r="E2084">
        <v>0</v>
      </c>
      <c r="F2084" s="16">
        <v>33732.69</v>
      </c>
      <c r="G2084" t="s">
        <v>4698</v>
      </c>
      <c r="H2084" t="s">
        <v>4698</v>
      </c>
      <c r="I2084" t="s">
        <v>4728</v>
      </c>
      <c r="J2084" s="17">
        <f t="shared" si="64"/>
        <v>38292</v>
      </c>
      <c r="K2084">
        <f t="shared" ca="1" si="65"/>
        <v>21</v>
      </c>
    </row>
    <row r="2085" spans="1:11" ht="15.75" customHeight="1">
      <c r="A2085" t="s">
        <v>515</v>
      </c>
      <c r="B2085">
        <v>2003</v>
      </c>
      <c r="C2085" t="s">
        <v>4712</v>
      </c>
      <c r="D2085">
        <v>12</v>
      </c>
      <c r="E2085">
        <v>0</v>
      </c>
      <c r="F2085" s="16">
        <v>33750.29</v>
      </c>
      <c r="G2085" t="s">
        <v>4698</v>
      </c>
      <c r="H2085" t="s">
        <v>4700</v>
      </c>
      <c r="I2085" t="s">
        <v>4713</v>
      </c>
      <c r="J2085" s="17">
        <f t="shared" si="64"/>
        <v>37876</v>
      </c>
      <c r="K2085">
        <f t="shared" ca="1" si="65"/>
        <v>22</v>
      </c>
    </row>
    <row r="2086" spans="1:11" ht="15.75" customHeight="1">
      <c r="A2086" t="s">
        <v>513</v>
      </c>
      <c r="B2086">
        <v>1962</v>
      </c>
      <c r="C2086" t="s">
        <v>4714</v>
      </c>
      <c r="D2086">
        <v>11</v>
      </c>
      <c r="E2086">
        <v>0</v>
      </c>
      <c r="F2086" s="16">
        <v>33753.32</v>
      </c>
      <c r="G2086" t="s">
        <v>4698</v>
      </c>
      <c r="H2086" t="s">
        <v>4700</v>
      </c>
      <c r="I2086" t="s">
        <v>4718</v>
      </c>
      <c r="J2086" s="17">
        <f t="shared" si="64"/>
        <v>22991</v>
      </c>
      <c r="K2086">
        <f t="shared" ca="1" si="65"/>
        <v>62</v>
      </c>
    </row>
    <row r="2087" spans="1:11" ht="15.75" customHeight="1">
      <c r="A2087" t="s">
        <v>511</v>
      </c>
      <c r="B2087">
        <v>2000</v>
      </c>
      <c r="C2087" t="s">
        <v>4717</v>
      </c>
      <c r="D2087">
        <v>26</v>
      </c>
      <c r="E2087">
        <v>0</v>
      </c>
      <c r="F2087" s="16">
        <v>33829.39</v>
      </c>
      <c r="G2087" t="s">
        <v>4699</v>
      </c>
      <c r="H2087" t="s">
        <v>4700</v>
      </c>
      <c r="I2087" t="s">
        <v>4718</v>
      </c>
      <c r="J2087" s="17">
        <f t="shared" si="64"/>
        <v>36825</v>
      </c>
      <c r="K2087">
        <f t="shared" ca="1" si="65"/>
        <v>25</v>
      </c>
    </row>
    <row r="2088" spans="1:11" ht="15.75" customHeight="1">
      <c r="A2088" t="s">
        <v>509</v>
      </c>
      <c r="B2088">
        <v>1997</v>
      </c>
      <c r="C2088" t="s">
        <v>4716</v>
      </c>
      <c r="D2088">
        <v>9</v>
      </c>
      <c r="E2088">
        <v>0</v>
      </c>
      <c r="F2088" s="16">
        <v>33900.65</v>
      </c>
      <c r="G2088" t="s">
        <v>4699</v>
      </c>
      <c r="H2088" t="s">
        <v>4700</v>
      </c>
      <c r="I2088" t="s">
        <v>4718</v>
      </c>
      <c r="J2088" s="17">
        <f t="shared" si="64"/>
        <v>35651</v>
      </c>
      <c r="K2088">
        <f t="shared" ca="1" si="65"/>
        <v>28</v>
      </c>
    </row>
    <row r="2089" spans="1:11" ht="15.75" customHeight="1">
      <c r="A2089" t="s">
        <v>507</v>
      </c>
      <c r="B2089">
        <v>2000</v>
      </c>
      <c r="C2089" t="s">
        <v>4714</v>
      </c>
      <c r="D2089">
        <v>27</v>
      </c>
      <c r="E2089">
        <v>0</v>
      </c>
      <c r="F2089" s="16">
        <v>33907.550000000003</v>
      </c>
      <c r="G2089" t="s">
        <v>4699</v>
      </c>
      <c r="H2089" t="s">
        <v>4699</v>
      </c>
      <c r="I2089" t="s">
        <v>4713</v>
      </c>
      <c r="J2089" s="17">
        <f t="shared" si="64"/>
        <v>36887</v>
      </c>
      <c r="K2089">
        <f t="shared" ca="1" si="65"/>
        <v>24</v>
      </c>
    </row>
    <row r="2090" spans="1:11" ht="15.75" customHeight="1">
      <c r="A2090" t="s">
        <v>505</v>
      </c>
      <c r="B2090">
        <v>1994</v>
      </c>
      <c r="C2090" t="s">
        <v>4712</v>
      </c>
      <c r="D2090">
        <v>25</v>
      </c>
      <c r="E2090">
        <v>0</v>
      </c>
      <c r="F2090" s="16">
        <v>33975.47</v>
      </c>
      <c r="G2090" t="s">
        <v>4699</v>
      </c>
      <c r="H2090" t="s">
        <v>4699</v>
      </c>
      <c r="I2090" t="s">
        <v>4718</v>
      </c>
      <c r="J2090" s="17">
        <f t="shared" si="64"/>
        <v>34602</v>
      </c>
      <c r="K2090">
        <f t="shared" ca="1" si="65"/>
        <v>31</v>
      </c>
    </row>
    <row r="2091" spans="1:11" ht="15.75" customHeight="1">
      <c r="A2091" t="s">
        <v>503</v>
      </c>
      <c r="B2091">
        <v>1972</v>
      </c>
      <c r="C2091" t="s">
        <v>4708</v>
      </c>
      <c r="D2091">
        <v>26</v>
      </c>
      <c r="E2091">
        <v>0</v>
      </c>
      <c r="F2091" s="16">
        <v>34053.360000000001</v>
      </c>
      <c r="G2091" t="s">
        <v>4699</v>
      </c>
      <c r="H2091" t="s">
        <v>4699</v>
      </c>
      <c r="I2091" t="s">
        <v>4718</v>
      </c>
      <c r="J2091" s="17">
        <f t="shared" si="64"/>
        <v>26506</v>
      </c>
      <c r="K2091">
        <f t="shared" ca="1" si="65"/>
        <v>53</v>
      </c>
    </row>
    <row r="2092" spans="1:11" ht="15.75" customHeight="1">
      <c r="A2092" t="s">
        <v>501</v>
      </c>
      <c r="B2092">
        <v>2002</v>
      </c>
      <c r="C2092" t="s">
        <v>4714</v>
      </c>
      <c r="D2092">
        <v>26</v>
      </c>
      <c r="E2092">
        <v>0</v>
      </c>
      <c r="F2092" s="16">
        <v>34084.68</v>
      </c>
      <c r="G2092" t="s">
        <v>4699</v>
      </c>
      <c r="H2092" t="s">
        <v>4700</v>
      </c>
      <c r="I2092" t="s">
        <v>4718</v>
      </c>
      <c r="J2092" s="17">
        <f t="shared" si="64"/>
        <v>37616</v>
      </c>
      <c r="K2092">
        <f t="shared" ca="1" si="65"/>
        <v>22</v>
      </c>
    </row>
    <row r="2093" spans="1:11" ht="15.75" customHeight="1">
      <c r="A2093" t="s">
        <v>499</v>
      </c>
      <c r="B2093">
        <v>1999</v>
      </c>
      <c r="C2093" t="s">
        <v>4710</v>
      </c>
      <c r="D2093">
        <v>6</v>
      </c>
      <c r="E2093">
        <v>0</v>
      </c>
      <c r="F2093" s="16">
        <v>34166.269999999997</v>
      </c>
      <c r="G2093" t="s">
        <v>4699</v>
      </c>
      <c r="H2093" t="s">
        <v>4700</v>
      </c>
      <c r="I2093" t="s">
        <v>4718</v>
      </c>
      <c r="J2093" s="17">
        <f t="shared" si="64"/>
        <v>36470</v>
      </c>
      <c r="K2093">
        <f t="shared" ca="1" si="65"/>
        <v>26</v>
      </c>
    </row>
    <row r="2094" spans="1:11" ht="15.75" customHeight="1">
      <c r="A2094" t="s">
        <v>497</v>
      </c>
      <c r="B2094">
        <v>1971</v>
      </c>
      <c r="C2094" t="s">
        <v>4716</v>
      </c>
      <c r="D2094">
        <v>25</v>
      </c>
      <c r="E2094">
        <v>0</v>
      </c>
      <c r="F2094" s="16">
        <v>34205.07</v>
      </c>
      <c r="G2094" t="s">
        <v>4699</v>
      </c>
      <c r="H2094" t="s">
        <v>4699</v>
      </c>
      <c r="I2094" t="s">
        <v>4718</v>
      </c>
      <c r="J2094" s="17">
        <f t="shared" si="64"/>
        <v>26170</v>
      </c>
      <c r="K2094">
        <f t="shared" ca="1" si="65"/>
        <v>54</v>
      </c>
    </row>
    <row r="2095" spans="1:11" ht="15.75" customHeight="1">
      <c r="A2095" t="s">
        <v>495</v>
      </c>
      <c r="B2095">
        <v>1975</v>
      </c>
      <c r="C2095" t="s">
        <v>4708</v>
      </c>
      <c r="D2095">
        <v>21</v>
      </c>
      <c r="E2095">
        <v>1</v>
      </c>
      <c r="F2095" s="16">
        <v>34210.33</v>
      </c>
      <c r="G2095" t="s">
        <v>4699</v>
      </c>
      <c r="H2095" t="s">
        <v>4698</v>
      </c>
      <c r="I2095" t="s">
        <v>4713</v>
      </c>
      <c r="J2095" s="17">
        <f t="shared" si="64"/>
        <v>27596</v>
      </c>
      <c r="K2095">
        <f t="shared" ca="1" si="65"/>
        <v>50</v>
      </c>
    </row>
    <row r="2096" spans="1:11" ht="15.75" customHeight="1">
      <c r="A2096" t="s">
        <v>493</v>
      </c>
      <c r="B2096">
        <v>1962</v>
      </c>
      <c r="C2096" t="s">
        <v>4708</v>
      </c>
      <c r="D2096">
        <v>5</v>
      </c>
      <c r="E2096">
        <v>0</v>
      </c>
      <c r="F2096" s="16">
        <v>34218.019999999997</v>
      </c>
      <c r="G2096" t="s">
        <v>4698</v>
      </c>
      <c r="H2096" t="s">
        <v>4698</v>
      </c>
      <c r="I2096" t="s">
        <v>4718</v>
      </c>
      <c r="J2096" s="17">
        <f t="shared" si="64"/>
        <v>22832</v>
      </c>
      <c r="K2096">
        <f t="shared" ca="1" si="65"/>
        <v>63</v>
      </c>
    </row>
    <row r="2097" spans="1:11" ht="15.75" customHeight="1">
      <c r="A2097" t="s">
        <v>491</v>
      </c>
      <c r="B2097">
        <v>1998</v>
      </c>
      <c r="C2097" t="s">
        <v>4711</v>
      </c>
      <c r="D2097">
        <v>11</v>
      </c>
      <c r="E2097">
        <v>0</v>
      </c>
      <c r="F2097" s="16">
        <v>34254.050000000003</v>
      </c>
      <c r="G2097" t="s">
        <v>4698</v>
      </c>
      <c r="H2097" t="s">
        <v>4700</v>
      </c>
      <c r="I2097" t="s">
        <v>4720</v>
      </c>
      <c r="J2097" s="17">
        <f t="shared" si="64"/>
        <v>35957</v>
      </c>
      <c r="K2097">
        <f t="shared" ca="1" si="65"/>
        <v>27</v>
      </c>
    </row>
    <row r="2098" spans="1:11" ht="15.75" customHeight="1">
      <c r="A2098" t="s">
        <v>489</v>
      </c>
      <c r="B2098">
        <v>1995</v>
      </c>
      <c r="C2098" t="s">
        <v>4717</v>
      </c>
      <c r="D2098">
        <v>30</v>
      </c>
      <c r="E2098">
        <v>0</v>
      </c>
      <c r="F2098" s="16">
        <v>34289.43</v>
      </c>
      <c r="G2098" t="s">
        <v>4698</v>
      </c>
      <c r="H2098" t="s">
        <v>4698</v>
      </c>
      <c r="I2098" t="s">
        <v>4718</v>
      </c>
      <c r="J2098" s="17">
        <f t="shared" si="64"/>
        <v>35002</v>
      </c>
      <c r="K2098">
        <f t="shared" ca="1" si="65"/>
        <v>30</v>
      </c>
    </row>
    <row r="2099" spans="1:11" ht="15.75" customHeight="1">
      <c r="A2099" t="s">
        <v>487</v>
      </c>
      <c r="B2099">
        <v>1986</v>
      </c>
      <c r="C2099" t="s">
        <v>4717</v>
      </c>
      <c r="D2099">
        <v>11</v>
      </c>
      <c r="E2099">
        <v>3</v>
      </c>
      <c r="F2099" s="16">
        <v>34293.120000000003</v>
      </c>
      <c r="G2099" t="s">
        <v>4698</v>
      </c>
      <c r="H2099" t="s">
        <v>4699</v>
      </c>
      <c r="I2099" t="s">
        <v>4718</v>
      </c>
      <c r="J2099" s="17">
        <f t="shared" si="64"/>
        <v>31696</v>
      </c>
      <c r="K2099">
        <f t="shared" ca="1" si="65"/>
        <v>39</v>
      </c>
    </row>
    <row r="2100" spans="1:11" ht="15.75" customHeight="1">
      <c r="A2100" t="s">
        <v>4690</v>
      </c>
      <c r="B2100">
        <v>2004</v>
      </c>
      <c r="C2100" t="s">
        <v>4710</v>
      </c>
      <c r="D2100">
        <v>1</v>
      </c>
      <c r="E2100">
        <v>2</v>
      </c>
      <c r="F2100" s="16">
        <v>34303.17</v>
      </c>
      <c r="G2100" t="s">
        <v>4698</v>
      </c>
      <c r="H2100" t="s">
        <v>4700</v>
      </c>
      <c r="I2100" t="s">
        <v>4709</v>
      </c>
      <c r="J2100" s="17">
        <f t="shared" si="64"/>
        <v>38292</v>
      </c>
      <c r="K2100">
        <f t="shared" ca="1" si="65"/>
        <v>21</v>
      </c>
    </row>
    <row r="2101" spans="1:11" ht="15.75" customHeight="1">
      <c r="A2101" t="s">
        <v>485</v>
      </c>
      <c r="B2101">
        <v>1983</v>
      </c>
      <c r="C2101" t="s">
        <v>4717</v>
      </c>
      <c r="D2101">
        <v>2</v>
      </c>
      <c r="E2101">
        <v>3</v>
      </c>
      <c r="F2101" s="16">
        <v>34307.22</v>
      </c>
      <c r="G2101" t="s">
        <v>4699</v>
      </c>
      <c r="H2101" t="s">
        <v>4699</v>
      </c>
      <c r="I2101" t="s">
        <v>4713</v>
      </c>
      <c r="J2101" s="17">
        <f t="shared" si="64"/>
        <v>30591</v>
      </c>
      <c r="K2101">
        <f t="shared" ca="1" si="65"/>
        <v>42</v>
      </c>
    </row>
    <row r="2102" spans="1:11" ht="15.75" customHeight="1">
      <c r="A2102" t="s">
        <v>483</v>
      </c>
      <c r="B2102">
        <v>1984</v>
      </c>
      <c r="C2102" t="s">
        <v>4717</v>
      </c>
      <c r="D2102">
        <v>1</v>
      </c>
      <c r="E2102">
        <v>3</v>
      </c>
      <c r="F2102" s="16">
        <v>34402.22</v>
      </c>
      <c r="G2102" t="s">
        <v>4699</v>
      </c>
      <c r="H2102" t="s">
        <v>4700</v>
      </c>
      <c r="I2102" t="s">
        <v>4718</v>
      </c>
      <c r="J2102" s="17">
        <f t="shared" si="64"/>
        <v>30956</v>
      </c>
      <c r="K2102">
        <f t="shared" ca="1" si="65"/>
        <v>41</v>
      </c>
    </row>
    <row r="2103" spans="1:11" ht="15.75" customHeight="1">
      <c r="A2103" t="s">
        <v>481</v>
      </c>
      <c r="B2103">
        <v>2003</v>
      </c>
      <c r="C2103" t="s">
        <v>4717</v>
      </c>
      <c r="D2103">
        <v>5</v>
      </c>
      <c r="E2103">
        <v>0</v>
      </c>
      <c r="F2103" s="16">
        <v>34439.86</v>
      </c>
      <c r="G2103" t="s">
        <v>4699</v>
      </c>
      <c r="H2103" t="s">
        <v>4698</v>
      </c>
      <c r="I2103" t="s">
        <v>4709</v>
      </c>
      <c r="J2103" s="17">
        <f t="shared" si="64"/>
        <v>37899</v>
      </c>
      <c r="K2103">
        <f t="shared" ca="1" si="65"/>
        <v>22</v>
      </c>
    </row>
    <row r="2104" spans="1:11" ht="15.75" customHeight="1">
      <c r="A2104" t="s">
        <v>479</v>
      </c>
      <c r="B2104">
        <v>1990</v>
      </c>
      <c r="C2104" t="s">
        <v>4712</v>
      </c>
      <c r="D2104">
        <v>24</v>
      </c>
      <c r="E2104">
        <v>3</v>
      </c>
      <c r="F2104" s="16">
        <v>34456.269999999997</v>
      </c>
      <c r="G2104" t="s">
        <v>4698</v>
      </c>
      <c r="H2104" t="s">
        <v>4699</v>
      </c>
      <c r="I2104" t="s">
        <v>4718</v>
      </c>
      <c r="J2104" s="17">
        <f t="shared" si="64"/>
        <v>33140</v>
      </c>
      <c r="K2104">
        <f t="shared" ca="1" si="65"/>
        <v>35</v>
      </c>
    </row>
    <row r="2105" spans="1:11" ht="15.75" customHeight="1">
      <c r="A2105" t="s">
        <v>477</v>
      </c>
      <c r="B2105">
        <v>1998</v>
      </c>
      <c r="C2105" t="s">
        <v>4711</v>
      </c>
      <c r="D2105">
        <v>24</v>
      </c>
      <c r="E2105">
        <v>0</v>
      </c>
      <c r="F2105" s="16">
        <v>34472.839999999997</v>
      </c>
      <c r="G2105" t="s">
        <v>4698</v>
      </c>
      <c r="H2105" t="s">
        <v>4700</v>
      </c>
      <c r="I2105" t="s">
        <v>4718</v>
      </c>
      <c r="J2105" s="17">
        <f t="shared" si="64"/>
        <v>35970</v>
      </c>
      <c r="K2105">
        <f t="shared" ca="1" si="65"/>
        <v>27</v>
      </c>
    </row>
    <row r="2106" spans="1:11" ht="15.75" customHeight="1">
      <c r="A2106" t="s">
        <v>475</v>
      </c>
      <c r="B2106">
        <v>1976</v>
      </c>
      <c r="C2106" t="s">
        <v>4710</v>
      </c>
      <c r="D2106">
        <v>25</v>
      </c>
      <c r="E2106">
        <v>2</v>
      </c>
      <c r="F2106" s="16">
        <v>34543.39</v>
      </c>
      <c r="G2106" t="s">
        <v>4699</v>
      </c>
      <c r="H2106" t="s">
        <v>4700</v>
      </c>
      <c r="I2106" t="s">
        <v>4718</v>
      </c>
      <c r="J2106" s="17">
        <f t="shared" si="64"/>
        <v>28089</v>
      </c>
      <c r="K2106">
        <f t="shared" ca="1" si="65"/>
        <v>49</v>
      </c>
    </row>
    <row r="2107" spans="1:11" ht="15.75" customHeight="1">
      <c r="A2107" t="s">
        <v>473</v>
      </c>
      <c r="B2107">
        <v>2004</v>
      </c>
      <c r="C2107" t="s">
        <v>4717</v>
      </c>
      <c r="D2107">
        <v>9</v>
      </c>
      <c r="E2107">
        <v>0</v>
      </c>
      <c r="F2107" s="16">
        <v>34617.839999999997</v>
      </c>
      <c r="G2107" t="s">
        <v>4698</v>
      </c>
      <c r="H2107" t="s">
        <v>4700</v>
      </c>
      <c r="I2107" t="s">
        <v>4721</v>
      </c>
      <c r="J2107" s="17">
        <f t="shared" si="64"/>
        <v>38269</v>
      </c>
      <c r="K2107">
        <f t="shared" ca="1" si="65"/>
        <v>21</v>
      </c>
    </row>
    <row r="2108" spans="1:11" ht="15.75" customHeight="1">
      <c r="A2108" t="s">
        <v>471</v>
      </c>
      <c r="B2108">
        <v>1994</v>
      </c>
      <c r="C2108" t="s">
        <v>4708</v>
      </c>
      <c r="D2108">
        <v>7</v>
      </c>
      <c r="E2108">
        <v>0</v>
      </c>
      <c r="F2108" s="16">
        <v>34672.15</v>
      </c>
      <c r="G2108" t="s">
        <v>4698</v>
      </c>
      <c r="H2108" t="s">
        <v>4700</v>
      </c>
      <c r="I2108" t="s">
        <v>4709</v>
      </c>
      <c r="J2108" s="17">
        <f t="shared" si="64"/>
        <v>34522</v>
      </c>
      <c r="K2108">
        <f t="shared" ca="1" si="65"/>
        <v>31</v>
      </c>
    </row>
    <row r="2109" spans="1:11" ht="15.75" customHeight="1">
      <c r="A2109" t="s">
        <v>469</v>
      </c>
      <c r="B2109">
        <v>2003</v>
      </c>
      <c r="C2109" t="s">
        <v>4708</v>
      </c>
      <c r="D2109">
        <v>3</v>
      </c>
      <c r="E2109">
        <v>0</v>
      </c>
      <c r="F2109" s="16">
        <v>34779.620000000003</v>
      </c>
      <c r="G2109" t="s">
        <v>4698</v>
      </c>
      <c r="H2109" t="s">
        <v>4699</v>
      </c>
      <c r="I2109" t="s">
        <v>4718</v>
      </c>
      <c r="J2109" s="17">
        <f t="shared" si="64"/>
        <v>37805</v>
      </c>
      <c r="K2109">
        <f t="shared" ca="1" si="65"/>
        <v>22</v>
      </c>
    </row>
    <row r="2110" spans="1:11" ht="15.75" customHeight="1">
      <c r="A2110" t="s">
        <v>467</v>
      </c>
      <c r="B2110">
        <v>1995</v>
      </c>
      <c r="C2110" t="s">
        <v>4714</v>
      </c>
      <c r="D2110">
        <v>27</v>
      </c>
      <c r="E2110">
        <v>1</v>
      </c>
      <c r="F2110" s="16">
        <v>34806.47</v>
      </c>
      <c r="G2110" t="s">
        <v>4698</v>
      </c>
      <c r="H2110" t="s">
        <v>4699</v>
      </c>
      <c r="I2110" t="s">
        <v>4709</v>
      </c>
      <c r="J2110" s="17">
        <f t="shared" si="64"/>
        <v>35060</v>
      </c>
      <c r="K2110">
        <f t="shared" ca="1" si="65"/>
        <v>29</v>
      </c>
    </row>
    <row r="2111" spans="1:11" ht="15.75" customHeight="1">
      <c r="A2111" t="s">
        <v>465</v>
      </c>
      <c r="B2111">
        <v>2003</v>
      </c>
      <c r="C2111" t="s">
        <v>4712</v>
      </c>
      <c r="D2111">
        <v>17</v>
      </c>
      <c r="E2111">
        <v>0</v>
      </c>
      <c r="F2111" s="16">
        <v>34828.65</v>
      </c>
      <c r="G2111" t="s">
        <v>4698</v>
      </c>
      <c r="H2111" t="s">
        <v>4700</v>
      </c>
      <c r="I2111" t="s">
        <v>4718</v>
      </c>
      <c r="J2111" s="17">
        <f t="shared" si="64"/>
        <v>37881</v>
      </c>
      <c r="K2111">
        <f t="shared" ca="1" si="65"/>
        <v>22</v>
      </c>
    </row>
    <row r="2112" spans="1:11" ht="15.75" customHeight="1">
      <c r="A2112" t="s">
        <v>463</v>
      </c>
      <c r="B2112">
        <v>1995</v>
      </c>
      <c r="C2112" t="s">
        <v>4717</v>
      </c>
      <c r="D2112">
        <v>17</v>
      </c>
      <c r="E2112">
        <v>0</v>
      </c>
      <c r="F2112" s="16">
        <v>34838.870000000003</v>
      </c>
      <c r="G2112" t="s">
        <v>4699</v>
      </c>
      <c r="H2112" t="s">
        <v>4700</v>
      </c>
      <c r="I2112" t="s">
        <v>4718</v>
      </c>
      <c r="J2112" s="17">
        <f t="shared" si="64"/>
        <v>34989</v>
      </c>
      <c r="K2112">
        <f t="shared" ca="1" si="65"/>
        <v>30</v>
      </c>
    </row>
    <row r="2113" spans="1:11" ht="15.75" customHeight="1">
      <c r="A2113" t="s">
        <v>461</v>
      </c>
      <c r="B2113">
        <v>1983</v>
      </c>
      <c r="C2113" t="s">
        <v>4708</v>
      </c>
      <c r="D2113">
        <v>29</v>
      </c>
      <c r="E2113">
        <v>3</v>
      </c>
      <c r="F2113" s="16">
        <v>34940.61</v>
      </c>
      <c r="G2113" t="s">
        <v>4699</v>
      </c>
      <c r="H2113" t="s">
        <v>4700</v>
      </c>
      <c r="I2113" t="s">
        <v>4718</v>
      </c>
      <c r="J2113" s="17">
        <f t="shared" si="64"/>
        <v>30526</v>
      </c>
      <c r="K2113">
        <f t="shared" ca="1" si="65"/>
        <v>42</v>
      </c>
    </row>
    <row r="2114" spans="1:11" ht="15.75" customHeight="1">
      <c r="A2114" t="s">
        <v>459</v>
      </c>
      <c r="B2114">
        <v>1967</v>
      </c>
      <c r="C2114" t="s">
        <v>4717</v>
      </c>
      <c r="D2114">
        <v>7</v>
      </c>
      <c r="E2114">
        <v>0</v>
      </c>
      <c r="F2114" s="16">
        <v>34975.68</v>
      </c>
      <c r="G2114" t="s">
        <v>4699</v>
      </c>
      <c r="H2114" t="s">
        <v>4699</v>
      </c>
      <c r="I2114" t="s">
        <v>4718</v>
      </c>
      <c r="J2114" s="17">
        <f t="shared" si="64"/>
        <v>24752</v>
      </c>
      <c r="K2114">
        <f t="shared" ca="1" si="65"/>
        <v>58</v>
      </c>
    </row>
    <row r="2115" spans="1:11" ht="15.75" customHeight="1">
      <c r="A2115" t="s">
        <v>457</v>
      </c>
      <c r="B2115">
        <v>1998</v>
      </c>
      <c r="C2115" t="s">
        <v>4716</v>
      </c>
      <c r="D2115">
        <v>22</v>
      </c>
      <c r="E2115">
        <v>0</v>
      </c>
      <c r="F2115" s="16">
        <v>34976.42</v>
      </c>
      <c r="G2115" t="s">
        <v>4699</v>
      </c>
      <c r="H2115" t="s">
        <v>4698</v>
      </c>
      <c r="I2115" t="s">
        <v>4718</v>
      </c>
      <c r="J2115" s="17">
        <f t="shared" ref="J2115:J2178" si="66">DATEVALUE(D2115&amp;"-"&amp;C2115&amp;" -"&amp;B2115)</f>
        <v>36029</v>
      </c>
      <c r="K2115">
        <f t="shared" ref="K2115:K2178" ca="1" si="67">DATEDIF(J2115,TODAY(),"Y")</f>
        <v>27</v>
      </c>
    </row>
    <row r="2116" spans="1:11" ht="15.75" customHeight="1">
      <c r="A2116" t="s">
        <v>455</v>
      </c>
      <c r="B2116">
        <v>1997</v>
      </c>
      <c r="C2116" t="s">
        <v>4716</v>
      </c>
      <c r="D2116">
        <v>22</v>
      </c>
      <c r="E2116">
        <v>0</v>
      </c>
      <c r="F2116" s="16">
        <v>34979.86</v>
      </c>
      <c r="G2116" t="s">
        <v>4699</v>
      </c>
      <c r="H2116" t="s">
        <v>4699</v>
      </c>
      <c r="I2116" t="s">
        <v>4718</v>
      </c>
      <c r="J2116" s="17">
        <f t="shared" si="66"/>
        <v>35664</v>
      </c>
      <c r="K2116">
        <f t="shared" ca="1" si="67"/>
        <v>28</v>
      </c>
    </row>
    <row r="2117" spans="1:11" ht="15.75" customHeight="1">
      <c r="A2117" t="s">
        <v>453</v>
      </c>
      <c r="B2117">
        <v>1982</v>
      </c>
      <c r="C2117" t="s">
        <v>4708</v>
      </c>
      <c r="D2117">
        <v>5</v>
      </c>
      <c r="E2117">
        <v>3</v>
      </c>
      <c r="F2117" s="16">
        <v>35000.730000000003</v>
      </c>
      <c r="G2117" t="s">
        <v>4699</v>
      </c>
      <c r="H2117" t="s">
        <v>4700</v>
      </c>
      <c r="I2117" t="s">
        <v>4718</v>
      </c>
      <c r="J2117" s="17">
        <f t="shared" si="66"/>
        <v>30137</v>
      </c>
      <c r="K2117">
        <f t="shared" ca="1" si="67"/>
        <v>43</v>
      </c>
    </row>
    <row r="2118" spans="1:11" ht="15.75" customHeight="1">
      <c r="A2118" t="s">
        <v>451</v>
      </c>
      <c r="B2118">
        <v>1975</v>
      </c>
      <c r="C2118" t="s">
        <v>4716</v>
      </c>
      <c r="D2118">
        <v>29</v>
      </c>
      <c r="E2118">
        <v>1</v>
      </c>
      <c r="F2118" s="16">
        <v>35050.620000000003</v>
      </c>
      <c r="G2118" t="s">
        <v>4699</v>
      </c>
      <c r="H2118" t="s">
        <v>4698</v>
      </c>
      <c r="I2118" t="s">
        <v>4718</v>
      </c>
      <c r="J2118" s="17">
        <f t="shared" si="66"/>
        <v>27635</v>
      </c>
      <c r="K2118">
        <f t="shared" ca="1" si="67"/>
        <v>50</v>
      </c>
    </row>
    <row r="2119" spans="1:11" ht="15.75" customHeight="1">
      <c r="A2119" t="s">
        <v>449</v>
      </c>
      <c r="B2119">
        <v>1977</v>
      </c>
      <c r="C2119" t="s">
        <v>4711</v>
      </c>
      <c r="D2119">
        <v>29</v>
      </c>
      <c r="E2119">
        <v>0</v>
      </c>
      <c r="F2119" s="16">
        <v>35069.370000000003</v>
      </c>
      <c r="G2119" t="s">
        <v>4698</v>
      </c>
      <c r="H2119" t="s">
        <v>4698</v>
      </c>
      <c r="I2119" t="s">
        <v>4728</v>
      </c>
      <c r="J2119" s="17">
        <f t="shared" si="66"/>
        <v>28305</v>
      </c>
      <c r="K2119">
        <f t="shared" ca="1" si="67"/>
        <v>48</v>
      </c>
    </row>
    <row r="2120" spans="1:11" ht="15.75" customHeight="1">
      <c r="A2120" t="s">
        <v>447</v>
      </c>
      <c r="B2120">
        <v>1998</v>
      </c>
      <c r="C2120" t="s">
        <v>4714</v>
      </c>
      <c r="D2120">
        <v>22</v>
      </c>
      <c r="E2120">
        <v>0</v>
      </c>
      <c r="F2120" s="16">
        <v>35147.53</v>
      </c>
      <c r="G2120" t="s">
        <v>4698</v>
      </c>
      <c r="H2120" t="s">
        <v>4698</v>
      </c>
      <c r="I2120" t="s">
        <v>4721</v>
      </c>
      <c r="J2120" s="17">
        <f t="shared" si="66"/>
        <v>36151</v>
      </c>
      <c r="K2120">
        <f t="shared" ca="1" si="67"/>
        <v>26</v>
      </c>
    </row>
    <row r="2121" spans="1:11" ht="15.75" customHeight="1">
      <c r="A2121" t="s">
        <v>445</v>
      </c>
      <c r="B2121">
        <v>1967</v>
      </c>
      <c r="C2121" t="s">
        <v>4714</v>
      </c>
      <c r="D2121">
        <v>30</v>
      </c>
      <c r="E2121">
        <v>1</v>
      </c>
      <c r="F2121" s="16">
        <v>35160.129999999997</v>
      </c>
      <c r="G2121" t="s">
        <v>4699</v>
      </c>
      <c r="H2121" t="s">
        <v>4699</v>
      </c>
      <c r="I2121" t="s">
        <v>4718</v>
      </c>
      <c r="J2121" s="17">
        <f t="shared" si="66"/>
        <v>24836</v>
      </c>
      <c r="K2121">
        <f t="shared" ca="1" si="67"/>
        <v>57</v>
      </c>
    </row>
    <row r="2122" spans="1:11" ht="15.75" customHeight="1">
      <c r="A2122" t="s">
        <v>443</v>
      </c>
      <c r="B2122">
        <v>1997</v>
      </c>
      <c r="C2122" t="s">
        <v>4708</v>
      </c>
      <c r="D2122">
        <v>9</v>
      </c>
      <c r="E2122">
        <v>0</v>
      </c>
      <c r="F2122" s="16">
        <v>35302.089999999997</v>
      </c>
      <c r="G2122" t="s">
        <v>4698</v>
      </c>
      <c r="H2122" t="s">
        <v>4699</v>
      </c>
      <c r="I2122" t="s">
        <v>4718</v>
      </c>
      <c r="J2122" s="17">
        <f t="shared" si="66"/>
        <v>35620</v>
      </c>
      <c r="K2122">
        <f t="shared" ca="1" si="67"/>
        <v>28</v>
      </c>
    </row>
    <row r="2123" spans="1:11" ht="15.75" customHeight="1">
      <c r="A2123" t="s">
        <v>441</v>
      </c>
      <c r="B2123">
        <v>1988</v>
      </c>
      <c r="C2123" t="s">
        <v>4712</v>
      </c>
      <c r="D2123">
        <v>19</v>
      </c>
      <c r="E2123">
        <v>3</v>
      </c>
      <c r="F2123" s="16">
        <v>35315.96</v>
      </c>
      <c r="G2123" t="s">
        <v>4699</v>
      </c>
      <c r="H2123" t="s">
        <v>4698</v>
      </c>
      <c r="I2123" t="s">
        <v>4718</v>
      </c>
      <c r="J2123" s="17">
        <f t="shared" si="66"/>
        <v>32405</v>
      </c>
      <c r="K2123">
        <f t="shared" ca="1" si="67"/>
        <v>37</v>
      </c>
    </row>
    <row r="2124" spans="1:11" ht="15.75" customHeight="1">
      <c r="A2124" t="s">
        <v>439</v>
      </c>
      <c r="B2124">
        <v>1971</v>
      </c>
      <c r="C2124" t="s">
        <v>4712</v>
      </c>
      <c r="D2124">
        <v>22</v>
      </c>
      <c r="E2124">
        <v>0</v>
      </c>
      <c r="F2124" s="16">
        <v>35345.730000000003</v>
      </c>
      <c r="G2124" t="s">
        <v>4699</v>
      </c>
      <c r="H2124" t="s">
        <v>4700</v>
      </c>
      <c r="I2124" t="s">
        <v>4718</v>
      </c>
      <c r="J2124" s="17">
        <f t="shared" si="66"/>
        <v>26198</v>
      </c>
      <c r="K2124">
        <f t="shared" ca="1" si="67"/>
        <v>54</v>
      </c>
    </row>
    <row r="2125" spans="1:11" ht="15.75" customHeight="1">
      <c r="A2125" t="s">
        <v>437</v>
      </c>
      <c r="B2125">
        <v>1988</v>
      </c>
      <c r="C2125" t="s">
        <v>4710</v>
      </c>
      <c r="D2125">
        <v>20</v>
      </c>
      <c r="E2125">
        <v>0</v>
      </c>
      <c r="F2125" s="16">
        <v>35491.64</v>
      </c>
      <c r="G2125" t="s">
        <v>4698</v>
      </c>
      <c r="H2125" t="s">
        <v>4699</v>
      </c>
      <c r="I2125" t="s">
        <v>4718</v>
      </c>
      <c r="J2125" s="17">
        <f t="shared" si="66"/>
        <v>32467</v>
      </c>
      <c r="K2125">
        <f t="shared" ca="1" si="67"/>
        <v>37</v>
      </c>
    </row>
    <row r="2126" spans="1:11" ht="15.75" customHeight="1">
      <c r="A2126" t="s">
        <v>435</v>
      </c>
      <c r="B2126">
        <v>1973</v>
      </c>
      <c r="C2126" t="s">
        <v>4714</v>
      </c>
      <c r="D2126">
        <v>16</v>
      </c>
      <c r="E2126">
        <v>0</v>
      </c>
      <c r="F2126" s="16">
        <v>35517.19</v>
      </c>
      <c r="G2126" t="s">
        <v>4699</v>
      </c>
      <c r="H2126" t="s">
        <v>4699</v>
      </c>
      <c r="I2126" t="s">
        <v>4718</v>
      </c>
      <c r="J2126" s="17">
        <f t="shared" si="66"/>
        <v>27014</v>
      </c>
      <c r="K2126">
        <f t="shared" ca="1" si="67"/>
        <v>51</v>
      </c>
    </row>
    <row r="2127" spans="1:11" ht="15.75" customHeight="1">
      <c r="A2127" t="s">
        <v>433</v>
      </c>
      <c r="B2127">
        <v>1992</v>
      </c>
      <c r="C2127" t="s">
        <v>4712</v>
      </c>
      <c r="D2127">
        <v>13</v>
      </c>
      <c r="E2127">
        <v>0</v>
      </c>
      <c r="F2127" s="16">
        <v>35547.47</v>
      </c>
      <c r="G2127" t="s">
        <v>4699</v>
      </c>
      <c r="H2127" t="s">
        <v>4700</v>
      </c>
      <c r="I2127" t="s">
        <v>4718</v>
      </c>
      <c r="J2127" s="17">
        <f t="shared" si="66"/>
        <v>33860</v>
      </c>
      <c r="K2127">
        <f t="shared" ca="1" si="67"/>
        <v>33</v>
      </c>
    </row>
    <row r="2128" spans="1:11" ht="15.75" customHeight="1">
      <c r="A2128" t="s">
        <v>431</v>
      </c>
      <c r="B2128">
        <v>1973</v>
      </c>
      <c r="C2128" t="s">
        <v>4717</v>
      </c>
      <c r="D2128">
        <v>27</v>
      </c>
      <c r="E2128">
        <v>0</v>
      </c>
      <c r="F2128" s="16">
        <v>35547.72</v>
      </c>
      <c r="G2128" t="s">
        <v>4698</v>
      </c>
      <c r="H2128" t="s">
        <v>4698</v>
      </c>
      <c r="I2128" t="s">
        <v>4718</v>
      </c>
      <c r="J2128" s="17">
        <f t="shared" si="66"/>
        <v>26964</v>
      </c>
      <c r="K2128">
        <f t="shared" ca="1" si="67"/>
        <v>52</v>
      </c>
    </row>
    <row r="2129" spans="1:11" ht="15.75" customHeight="1">
      <c r="A2129" t="s">
        <v>429</v>
      </c>
      <c r="B2129">
        <v>1964</v>
      </c>
      <c r="C2129" t="s">
        <v>4716</v>
      </c>
      <c r="D2129">
        <v>29</v>
      </c>
      <c r="E2129">
        <v>0</v>
      </c>
      <c r="F2129" s="16">
        <v>35573.26</v>
      </c>
      <c r="G2129" t="s">
        <v>4699</v>
      </c>
      <c r="H2129" t="s">
        <v>4698</v>
      </c>
      <c r="I2129" t="s">
        <v>4718</v>
      </c>
      <c r="J2129" s="17">
        <f t="shared" si="66"/>
        <v>23618</v>
      </c>
      <c r="K2129">
        <f t="shared" ca="1" si="67"/>
        <v>61</v>
      </c>
    </row>
    <row r="2130" spans="1:11" ht="15.75" customHeight="1">
      <c r="A2130" t="s">
        <v>427</v>
      </c>
      <c r="B2130">
        <v>1971</v>
      </c>
      <c r="C2130" t="s">
        <v>4716</v>
      </c>
      <c r="D2130">
        <v>10</v>
      </c>
      <c r="E2130">
        <v>0</v>
      </c>
      <c r="F2130" s="16">
        <v>35583.17</v>
      </c>
      <c r="G2130" t="s">
        <v>4698</v>
      </c>
      <c r="H2130" t="s">
        <v>4700</v>
      </c>
      <c r="I2130" t="s">
        <v>4718</v>
      </c>
      <c r="J2130" s="17">
        <f t="shared" si="66"/>
        <v>26155</v>
      </c>
      <c r="K2130">
        <f t="shared" ca="1" si="67"/>
        <v>54</v>
      </c>
    </row>
    <row r="2131" spans="1:11" ht="15.75" customHeight="1">
      <c r="A2131" t="s">
        <v>4697</v>
      </c>
      <c r="B2131">
        <v>2000</v>
      </c>
      <c r="C2131" t="s">
        <v>4717</v>
      </c>
      <c r="D2131">
        <v>13</v>
      </c>
      <c r="E2131">
        <v>0</v>
      </c>
      <c r="F2131" s="16">
        <v>35585.58</v>
      </c>
      <c r="G2131" t="s">
        <v>4698</v>
      </c>
      <c r="H2131" t="s">
        <v>4699</v>
      </c>
      <c r="I2131" t="s">
        <v>4718</v>
      </c>
      <c r="J2131" s="17">
        <f t="shared" si="66"/>
        <v>36812</v>
      </c>
      <c r="K2131">
        <f t="shared" ca="1" si="67"/>
        <v>25</v>
      </c>
    </row>
    <row r="2132" spans="1:11" ht="15.75" customHeight="1">
      <c r="A2132" t="s">
        <v>425</v>
      </c>
      <c r="B2132">
        <v>2000</v>
      </c>
      <c r="C2132" t="s">
        <v>4710</v>
      </c>
      <c r="D2132">
        <v>19</v>
      </c>
      <c r="E2132">
        <v>0</v>
      </c>
      <c r="F2132" s="16">
        <v>35585.58</v>
      </c>
      <c r="G2132" t="s">
        <v>4699</v>
      </c>
      <c r="H2132" t="s">
        <v>4700</v>
      </c>
      <c r="I2132" t="s">
        <v>4718</v>
      </c>
      <c r="J2132" s="17">
        <f t="shared" si="66"/>
        <v>36849</v>
      </c>
      <c r="K2132">
        <f t="shared" ca="1" si="67"/>
        <v>25</v>
      </c>
    </row>
    <row r="2133" spans="1:11" ht="15.75" customHeight="1">
      <c r="A2133" t="s">
        <v>423</v>
      </c>
      <c r="B2133">
        <v>2000</v>
      </c>
      <c r="C2133" t="s">
        <v>4714</v>
      </c>
      <c r="D2133">
        <v>17</v>
      </c>
      <c r="E2133">
        <v>3</v>
      </c>
      <c r="F2133" s="16">
        <v>35595.589999999997</v>
      </c>
      <c r="G2133" t="s">
        <v>4699</v>
      </c>
      <c r="H2133" t="s">
        <v>4700</v>
      </c>
      <c r="I2133" t="s">
        <v>4709</v>
      </c>
      <c r="J2133" s="17">
        <f t="shared" si="66"/>
        <v>36877</v>
      </c>
      <c r="K2133">
        <f t="shared" ca="1" si="67"/>
        <v>24</v>
      </c>
    </row>
    <row r="2134" spans="1:11" ht="15.75" customHeight="1">
      <c r="A2134" t="s">
        <v>421</v>
      </c>
      <c r="B2134">
        <v>1978</v>
      </c>
      <c r="C2134" t="s">
        <v>4714</v>
      </c>
      <c r="D2134">
        <v>19</v>
      </c>
      <c r="E2134">
        <v>2</v>
      </c>
      <c r="F2134" s="16">
        <v>35701.9</v>
      </c>
      <c r="G2134" t="s">
        <v>4699</v>
      </c>
      <c r="H2134" t="s">
        <v>4698</v>
      </c>
      <c r="I2134" t="s">
        <v>4718</v>
      </c>
      <c r="J2134" s="17">
        <f t="shared" si="66"/>
        <v>28843</v>
      </c>
      <c r="K2134">
        <f t="shared" ca="1" si="67"/>
        <v>46</v>
      </c>
    </row>
    <row r="2135" spans="1:11" ht="15.75" customHeight="1">
      <c r="A2135" t="s">
        <v>419</v>
      </c>
      <c r="B2135">
        <v>1974</v>
      </c>
      <c r="C2135" t="s">
        <v>4708</v>
      </c>
      <c r="D2135">
        <v>15</v>
      </c>
      <c r="E2135">
        <v>0</v>
      </c>
      <c r="F2135" s="16">
        <v>35711.39</v>
      </c>
      <c r="G2135" t="s">
        <v>4699</v>
      </c>
      <c r="H2135" t="s">
        <v>4700</v>
      </c>
      <c r="I2135" t="s">
        <v>4713</v>
      </c>
      <c r="J2135" s="17">
        <f t="shared" si="66"/>
        <v>27225</v>
      </c>
      <c r="K2135">
        <f t="shared" ca="1" si="67"/>
        <v>51</v>
      </c>
    </row>
    <row r="2136" spans="1:11" ht="15.75" customHeight="1">
      <c r="A2136" t="s">
        <v>417</v>
      </c>
      <c r="B2136">
        <v>1976</v>
      </c>
      <c r="C2136" t="s">
        <v>4717</v>
      </c>
      <c r="D2136">
        <v>4</v>
      </c>
      <c r="E2136">
        <v>2</v>
      </c>
      <c r="F2136" s="16">
        <v>35733.96</v>
      </c>
      <c r="G2136" t="s">
        <v>4699</v>
      </c>
      <c r="H2136" t="s">
        <v>4699</v>
      </c>
      <c r="I2136" t="s">
        <v>4718</v>
      </c>
      <c r="J2136" s="17">
        <f t="shared" si="66"/>
        <v>28037</v>
      </c>
      <c r="K2136">
        <f t="shared" ca="1" si="67"/>
        <v>49</v>
      </c>
    </row>
    <row r="2137" spans="1:11" ht="15.75" customHeight="1">
      <c r="A2137" t="s">
        <v>415</v>
      </c>
      <c r="B2137">
        <v>1992</v>
      </c>
      <c r="C2137" t="s">
        <v>4711</v>
      </c>
      <c r="D2137">
        <v>18</v>
      </c>
      <c r="E2137">
        <v>0</v>
      </c>
      <c r="F2137" s="16">
        <v>35883.269999999997</v>
      </c>
      <c r="G2137" t="s">
        <v>4699</v>
      </c>
      <c r="H2137" t="s">
        <v>4698</v>
      </c>
      <c r="I2137" t="s">
        <v>4718</v>
      </c>
      <c r="J2137" s="17">
        <f t="shared" si="66"/>
        <v>33773</v>
      </c>
      <c r="K2137">
        <f t="shared" ca="1" si="67"/>
        <v>33</v>
      </c>
    </row>
    <row r="2138" spans="1:11" ht="15.75" customHeight="1">
      <c r="A2138" t="s">
        <v>413</v>
      </c>
      <c r="B2138">
        <v>1981</v>
      </c>
      <c r="C2138" t="s">
        <v>4710</v>
      </c>
      <c r="D2138">
        <v>22</v>
      </c>
      <c r="E2138">
        <v>1</v>
      </c>
      <c r="F2138" s="16">
        <v>35952.65</v>
      </c>
      <c r="G2138" t="s">
        <v>4698</v>
      </c>
      <c r="H2138" t="s">
        <v>4700</v>
      </c>
      <c r="I2138" t="s">
        <v>4718</v>
      </c>
      <c r="J2138" s="17">
        <f t="shared" si="66"/>
        <v>29912</v>
      </c>
      <c r="K2138">
        <f t="shared" ca="1" si="67"/>
        <v>44</v>
      </c>
    </row>
    <row r="2139" spans="1:11" ht="15.75" customHeight="1">
      <c r="A2139" t="s">
        <v>411</v>
      </c>
      <c r="B2139">
        <v>1999</v>
      </c>
      <c r="C2139" t="s">
        <v>4712</v>
      </c>
      <c r="D2139">
        <v>4</v>
      </c>
      <c r="E2139">
        <v>2</v>
      </c>
      <c r="F2139" s="16">
        <v>36021.01</v>
      </c>
      <c r="G2139" t="s">
        <v>4699</v>
      </c>
      <c r="H2139" t="s">
        <v>4700</v>
      </c>
      <c r="I2139" t="s">
        <v>4709</v>
      </c>
      <c r="J2139" s="17">
        <f t="shared" si="66"/>
        <v>36407</v>
      </c>
      <c r="K2139">
        <f t="shared" ca="1" si="67"/>
        <v>26</v>
      </c>
    </row>
    <row r="2140" spans="1:11" ht="15.75" customHeight="1">
      <c r="A2140" t="s">
        <v>409</v>
      </c>
      <c r="B2140">
        <v>1963</v>
      </c>
      <c r="C2140" t="s">
        <v>4708</v>
      </c>
      <c r="D2140">
        <v>22</v>
      </c>
      <c r="E2140">
        <v>0</v>
      </c>
      <c r="F2140" s="16">
        <v>36074.339999999997</v>
      </c>
      <c r="G2140" t="s">
        <v>4699</v>
      </c>
      <c r="H2140" t="s">
        <v>4698</v>
      </c>
      <c r="I2140" t="s">
        <v>4718</v>
      </c>
      <c r="J2140" s="17">
        <f t="shared" si="66"/>
        <v>23214</v>
      </c>
      <c r="K2140">
        <f t="shared" ca="1" si="67"/>
        <v>62</v>
      </c>
    </row>
    <row r="2141" spans="1:11" ht="15.75" customHeight="1">
      <c r="A2141" t="s">
        <v>407</v>
      </c>
      <c r="B2141">
        <v>1996</v>
      </c>
      <c r="C2141" t="s">
        <v>4716</v>
      </c>
      <c r="D2141">
        <v>20</v>
      </c>
      <c r="E2141">
        <v>2</v>
      </c>
      <c r="F2141" s="16">
        <v>36085.22</v>
      </c>
      <c r="G2141" t="s">
        <v>4698</v>
      </c>
      <c r="H2141" t="s">
        <v>4698</v>
      </c>
      <c r="I2141" t="s">
        <v>4718</v>
      </c>
      <c r="J2141" s="17">
        <f t="shared" si="66"/>
        <v>35297</v>
      </c>
      <c r="K2141">
        <f t="shared" ca="1" si="67"/>
        <v>29</v>
      </c>
    </row>
    <row r="2142" spans="1:11" ht="15.75" customHeight="1">
      <c r="A2142" t="s">
        <v>405</v>
      </c>
      <c r="B2142">
        <v>1979</v>
      </c>
      <c r="C2142" t="s">
        <v>4710</v>
      </c>
      <c r="D2142">
        <v>4</v>
      </c>
      <c r="E2142">
        <v>2</v>
      </c>
      <c r="F2142" s="16">
        <v>36090.49</v>
      </c>
      <c r="G2142" t="s">
        <v>4699</v>
      </c>
      <c r="H2142" t="s">
        <v>4699</v>
      </c>
      <c r="I2142" t="s">
        <v>4718</v>
      </c>
      <c r="J2142" s="17">
        <f t="shared" si="66"/>
        <v>29163</v>
      </c>
      <c r="K2142">
        <f t="shared" ca="1" si="67"/>
        <v>46</v>
      </c>
    </row>
    <row r="2143" spans="1:11" ht="15.75" customHeight="1">
      <c r="A2143" t="s">
        <v>403</v>
      </c>
      <c r="B2143">
        <v>1997</v>
      </c>
      <c r="C2143" t="s">
        <v>4711</v>
      </c>
      <c r="D2143">
        <v>12</v>
      </c>
      <c r="E2143">
        <v>2</v>
      </c>
      <c r="F2143" s="16">
        <v>36124.57</v>
      </c>
      <c r="G2143" t="s">
        <v>4698</v>
      </c>
      <c r="H2143" t="s">
        <v>4700</v>
      </c>
      <c r="I2143" t="s">
        <v>4709</v>
      </c>
      <c r="J2143" s="17">
        <f t="shared" si="66"/>
        <v>35593</v>
      </c>
      <c r="K2143">
        <f t="shared" ca="1" si="67"/>
        <v>28</v>
      </c>
    </row>
    <row r="2144" spans="1:11" ht="15.75" customHeight="1">
      <c r="A2144" t="s">
        <v>401</v>
      </c>
      <c r="B2144">
        <v>2004</v>
      </c>
      <c r="C2144" t="s">
        <v>4716</v>
      </c>
      <c r="D2144">
        <v>30</v>
      </c>
      <c r="E2144">
        <v>0</v>
      </c>
      <c r="F2144" s="16">
        <v>36149.480000000003</v>
      </c>
      <c r="G2144" t="s">
        <v>4699</v>
      </c>
      <c r="H2144" t="s">
        <v>4699</v>
      </c>
      <c r="I2144" t="s">
        <v>4709</v>
      </c>
      <c r="J2144" s="17">
        <f t="shared" si="66"/>
        <v>38229</v>
      </c>
      <c r="K2144">
        <f t="shared" ca="1" si="67"/>
        <v>21</v>
      </c>
    </row>
    <row r="2145" spans="1:11" ht="15.75" customHeight="1">
      <c r="A2145" t="s">
        <v>399</v>
      </c>
      <c r="B2145">
        <v>1974</v>
      </c>
      <c r="C2145" t="s">
        <v>4714</v>
      </c>
      <c r="D2145">
        <v>6</v>
      </c>
      <c r="E2145">
        <v>0</v>
      </c>
      <c r="F2145" s="16">
        <v>36182.870000000003</v>
      </c>
      <c r="G2145" t="s">
        <v>4699</v>
      </c>
      <c r="H2145" t="s">
        <v>4700</v>
      </c>
      <c r="I2145" t="s">
        <v>4713</v>
      </c>
      <c r="J2145" s="17">
        <f t="shared" si="66"/>
        <v>27369</v>
      </c>
      <c r="K2145">
        <f t="shared" ca="1" si="67"/>
        <v>50</v>
      </c>
    </row>
    <row r="2146" spans="1:11" ht="15.75" customHeight="1">
      <c r="A2146" t="s">
        <v>397</v>
      </c>
      <c r="B2146">
        <v>1999</v>
      </c>
      <c r="C2146" t="s">
        <v>4717</v>
      </c>
      <c r="D2146">
        <v>1</v>
      </c>
      <c r="E2146">
        <v>3</v>
      </c>
      <c r="F2146" s="16">
        <v>36189.1</v>
      </c>
      <c r="G2146" t="s">
        <v>4698</v>
      </c>
      <c r="H2146" t="s">
        <v>4700</v>
      </c>
      <c r="I2146" t="s">
        <v>4721</v>
      </c>
      <c r="J2146" s="17">
        <f t="shared" si="66"/>
        <v>36434</v>
      </c>
      <c r="K2146">
        <f t="shared" ca="1" si="67"/>
        <v>26</v>
      </c>
    </row>
    <row r="2147" spans="1:11" ht="15.75" customHeight="1">
      <c r="A2147" t="s">
        <v>395</v>
      </c>
      <c r="B2147">
        <v>1993</v>
      </c>
      <c r="C2147" t="s">
        <v>4714</v>
      </c>
      <c r="D2147">
        <v>28</v>
      </c>
      <c r="E2147">
        <v>0</v>
      </c>
      <c r="F2147" s="16">
        <v>36197.699999999997</v>
      </c>
      <c r="G2147" t="s">
        <v>4698</v>
      </c>
      <c r="H2147" t="s">
        <v>4700</v>
      </c>
      <c r="I2147" t="s">
        <v>4718</v>
      </c>
      <c r="J2147" s="17">
        <f t="shared" si="66"/>
        <v>34331</v>
      </c>
      <c r="K2147">
        <f t="shared" ca="1" si="67"/>
        <v>31</v>
      </c>
    </row>
    <row r="2148" spans="1:11" ht="15.75" customHeight="1">
      <c r="A2148" t="s">
        <v>393</v>
      </c>
      <c r="B2148">
        <v>2003</v>
      </c>
      <c r="C2148" t="s">
        <v>4712</v>
      </c>
      <c r="D2148">
        <v>5</v>
      </c>
      <c r="E2148">
        <v>0</v>
      </c>
      <c r="F2148" s="16">
        <v>36219.410000000003</v>
      </c>
      <c r="G2148" t="s">
        <v>4698</v>
      </c>
      <c r="H2148" t="s">
        <v>4698</v>
      </c>
      <c r="I2148" t="s">
        <v>4713</v>
      </c>
      <c r="J2148" s="17">
        <f t="shared" si="66"/>
        <v>37869</v>
      </c>
      <c r="K2148">
        <f t="shared" ca="1" si="67"/>
        <v>22</v>
      </c>
    </row>
    <row r="2149" spans="1:11" ht="15.75" customHeight="1">
      <c r="A2149" t="s">
        <v>391</v>
      </c>
      <c r="B2149">
        <v>2004</v>
      </c>
      <c r="C2149" t="s">
        <v>4714</v>
      </c>
      <c r="D2149">
        <v>25</v>
      </c>
      <c r="E2149">
        <v>0</v>
      </c>
      <c r="F2149" s="16">
        <v>36307.800000000003</v>
      </c>
      <c r="G2149" t="s">
        <v>4698</v>
      </c>
      <c r="H2149" t="s">
        <v>4699</v>
      </c>
      <c r="I2149" t="s">
        <v>4709</v>
      </c>
      <c r="J2149" s="17">
        <f t="shared" si="66"/>
        <v>38346</v>
      </c>
      <c r="K2149">
        <f t="shared" ca="1" si="67"/>
        <v>20</v>
      </c>
    </row>
    <row r="2150" spans="1:11" ht="15.75" customHeight="1">
      <c r="A2150" t="s">
        <v>389</v>
      </c>
      <c r="B2150">
        <v>1992</v>
      </c>
      <c r="C2150" t="s">
        <v>4711</v>
      </c>
      <c r="D2150">
        <v>16</v>
      </c>
      <c r="E2150">
        <v>0</v>
      </c>
      <c r="F2150" s="16">
        <v>36314.050000000003</v>
      </c>
      <c r="G2150" t="s">
        <v>4699</v>
      </c>
      <c r="H2150" t="s">
        <v>4699</v>
      </c>
      <c r="I2150" t="s">
        <v>4718</v>
      </c>
      <c r="J2150" s="17">
        <f t="shared" si="66"/>
        <v>33771</v>
      </c>
      <c r="K2150">
        <f t="shared" ca="1" si="67"/>
        <v>33</v>
      </c>
    </row>
    <row r="2151" spans="1:11" ht="15.75" customHeight="1">
      <c r="A2151" t="s">
        <v>387</v>
      </c>
      <c r="B2151">
        <v>1967</v>
      </c>
      <c r="C2151" t="s">
        <v>4717</v>
      </c>
      <c r="D2151">
        <v>18</v>
      </c>
      <c r="E2151">
        <v>0</v>
      </c>
      <c r="F2151" s="16">
        <v>36332.449999999997</v>
      </c>
      <c r="G2151" t="s">
        <v>4698</v>
      </c>
      <c r="H2151" t="s">
        <v>4700</v>
      </c>
      <c r="I2151" t="s">
        <v>4718</v>
      </c>
      <c r="J2151" s="17">
        <f t="shared" si="66"/>
        <v>24763</v>
      </c>
      <c r="K2151">
        <f t="shared" ca="1" si="67"/>
        <v>58</v>
      </c>
    </row>
    <row r="2152" spans="1:11" ht="15.75" customHeight="1">
      <c r="A2152" t="s">
        <v>385</v>
      </c>
      <c r="B2152">
        <v>1975</v>
      </c>
      <c r="C2152" t="s">
        <v>4711</v>
      </c>
      <c r="D2152">
        <v>5</v>
      </c>
      <c r="E2152">
        <v>1</v>
      </c>
      <c r="F2152" s="16">
        <v>36350.71</v>
      </c>
      <c r="G2152" t="s">
        <v>4698</v>
      </c>
      <c r="H2152" t="s">
        <v>4699</v>
      </c>
      <c r="I2152" t="s">
        <v>4718</v>
      </c>
      <c r="J2152" s="17">
        <f t="shared" si="66"/>
        <v>27550</v>
      </c>
      <c r="K2152">
        <f t="shared" ca="1" si="67"/>
        <v>50</v>
      </c>
    </row>
    <row r="2153" spans="1:11" ht="15.75" customHeight="1">
      <c r="A2153" t="s">
        <v>383</v>
      </c>
      <c r="B2153">
        <v>2003</v>
      </c>
      <c r="C2153" t="s">
        <v>4714</v>
      </c>
      <c r="D2153">
        <v>9</v>
      </c>
      <c r="E2153">
        <v>2</v>
      </c>
      <c r="F2153" s="16">
        <v>36397.58</v>
      </c>
      <c r="G2153" t="s">
        <v>4699</v>
      </c>
      <c r="H2153" t="s">
        <v>4700</v>
      </c>
      <c r="I2153" t="s">
        <v>4718</v>
      </c>
      <c r="J2153" s="17">
        <f t="shared" si="66"/>
        <v>37964</v>
      </c>
      <c r="K2153">
        <f t="shared" ca="1" si="67"/>
        <v>21</v>
      </c>
    </row>
    <row r="2154" spans="1:11" ht="15.75" customHeight="1">
      <c r="A2154" t="s">
        <v>381</v>
      </c>
      <c r="B2154">
        <v>1962</v>
      </c>
      <c r="C2154" t="s">
        <v>4710</v>
      </c>
      <c r="D2154">
        <v>19</v>
      </c>
      <c r="E2154">
        <v>0</v>
      </c>
      <c r="F2154" s="16">
        <v>36445.550000000003</v>
      </c>
      <c r="G2154" t="s">
        <v>4699</v>
      </c>
      <c r="H2154" t="s">
        <v>4699</v>
      </c>
      <c r="I2154" t="s">
        <v>4718</v>
      </c>
      <c r="J2154" s="17">
        <f t="shared" si="66"/>
        <v>22969</v>
      </c>
      <c r="K2154">
        <f t="shared" ca="1" si="67"/>
        <v>63</v>
      </c>
    </row>
    <row r="2155" spans="1:11" ht="15.75" customHeight="1">
      <c r="A2155" t="s">
        <v>379</v>
      </c>
      <c r="B2155">
        <v>1973</v>
      </c>
      <c r="C2155" t="s">
        <v>4716</v>
      </c>
      <c r="D2155">
        <v>9</v>
      </c>
      <c r="E2155">
        <v>0</v>
      </c>
      <c r="F2155" s="16">
        <v>36541.550000000003</v>
      </c>
      <c r="G2155" t="s">
        <v>4699</v>
      </c>
      <c r="H2155" t="s">
        <v>4700</v>
      </c>
      <c r="I2155" t="s">
        <v>4718</v>
      </c>
      <c r="J2155" s="17">
        <f t="shared" si="66"/>
        <v>26885</v>
      </c>
      <c r="K2155">
        <f t="shared" ca="1" si="67"/>
        <v>52</v>
      </c>
    </row>
    <row r="2156" spans="1:11" ht="15.75" customHeight="1">
      <c r="A2156" t="s">
        <v>377</v>
      </c>
      <c r="B2156">
        <v>1992</v>
      </c>
      <c r="C2156" t="s">
        <v>4717</v>
      </c>
      <c r="D2156">
        <v>9</v>
      </c>
      <c r="E2156">
        <v>0</v>
      </c>
      <c r="F2156" s="16">
        <v>36572.800000000003</v>
      </c>
      <c r="G2156" t="s">
        <v>4698</v>
      </c>
      <c r="H2156" t="s">
        <v>4699</v>
      </c>
      <c r="I2156" t="s">
        <v>4718</v>
      </c>
      <c r="J2156" s="17">
        <f t="shared" si="66"/>
        <v>33886</v>
      </c>
      <c r="K2156">
        <f t="shared" ca="1" si="67"/>
        <v>33</v>
      </c>
    </row>
    <row r="2157" spans="1:11" ht="15.75" customHeight="1">
      <c r="A2157" t="s">
        <v>375</v>
      </c>
      <c r="B2157">
        <v>1961</v>
      </c>
      <c r="C2157" t="s">
        <v>4708</v>
      </c>
      <c r="D2157">
        <v>29</v>
      </c>
      <c r="E2157">
        <v>4</v>
      </c>
      <c r="F2157" s="16">
        <v>36580.28</v>
      </c>
      <c r="G2157" t="s">
        <v>4699</v>
      </c>
      <c r="H2157" t="s">
        <v>4699</v>
      </c>
      <c r="I2157" t="s">
        <v>4709</v>
      </c>
      <c r="J2157" s="17">
        <f t="shared" si="66"/>
        <v>22491</v>
      </c>
      <c r="K2157">
        <f t="shared" ca="1" si="67"/>
        <v>64</v>
      </c>
    </row>
    <row r="2158" spans="1:11" ht="15.75" customHeight="1">
      <c r="A2158" t="s">
        <v>373</v>
      </c>
      <c r="B2158">
        <v>1970</v>
      </c>
      <c r="C2158" t="s">
        <v>4708</v>
      </c>
      <c r="D2158">
        <v>14</v>
      </c>
      <c r="E2158">
        <v>0</v>
      </c>
      <c r="F2158" s="16">
        <v>36786.370000000003</v>
      </c>
      <c r="G2158" t="s">
        <v>4698</v>
      </c>
      <c r="H2158" t="s">
        <v>4698</v>
      </c>
      <c r="I2158" t="s">
        <v>4718</v>
      </c>
      <c r="J2158" s="17">
        <f t="shared" si="66"/>
        <v>25763</v>
      </c>
      <c r="K2158">
        <f t="shared" ca="1" si="67"/>
        <v>55</v>
      </c>
    </row>
    <row r="2159" spans="1:11" ht="15.75" customHeight="1">
      <c r="A2159" t="s">
        <v>371</v>
      </c>
      <c r="B2159">
        <v>1965</v>
      </c>
      <c r="C2159" t="s">
        <v>4714</v>
      </c>
      <c r="D2159">
        <v>28</v>
      </c>
      <c r="E2159">
        <v>0</v>
      </c>
      <c r="F2159" s="16">
        <v>36795.29</v>
      </c>
      <c r="G2159" t="s">
        <v>4699</v>
      </c>
      <c r="H2159" t="s">
        <v>4698</v>
      </c>
      <c r="I2159" t="s">
        <v>4718</v>
      </c>
      <c r="J2159" s="17">
        <f t="shared" si="66"/>
        <v>24104</v>
      </c>
      <c r="K2159">
        <f t="shared" ca="1" si="67"/>
        <v>59</v>
      </c>
    </row>
    <row r="2160" spans="1:11" ht="15.75" customHeight="1">
      <c r="A2160" t="s">
        <v>4697</v>
      </c>
      <c r="B2160">
        <v>1992</v>
      </c>
      <c r="C2160" t="s">
        <v>4717</v>
      </c>
      <c r="D2160">
        <v>6</v>
      </c>
      <c r="E2160">
        <v>0</v>
      </c>
      <c r="F2160" s="16">
        <v>36837.47</v>
      </c>
      <c r="G2160" t="s">
        <v>4698</v>
      </c>
      <c r="H2160" t="s">
        <v>4699</v>
      </c>
      <c r="I2160" t="s">
        <v>4718</v>
      </c>
      <c r="J2160" s="17">
        <f t="shared" si="66"/>
        <v>33883</v>
      </c>
      <c r="K2160">
        <f t="shared" ca="1" si="67"/>
        <v>33</v>
      </c>
    </row>
    <row r="2161" spans="1:11" ht="15.75" customHeight="1">
      <c r="A2161" t="s">
        <v>369</v>
      </c>
      <c r="B2161">
        <v>1992</v>
      </c>
      <c r="C2161" t="s">
        <v>4708</v>
      </c>
      <c r="D2161">
        <v>4</v>
      </c>
      <c r="E2161">
        <v>0</v>
      </c>
      <c r="F2161" s="16">
        <v>36837.47</v>
      </c>
      <c r="G2161" t="s">
        <v>4699</v>
      </c>
      <c r="H2161" t="s">
        <v>4700</v>
      </c>
      <c r="I2161" t="s">
        <v>4718</v>
      </c>
      <c r="J2161" s="17">
        <f t="shared" si="66"/>
        <v>33789</v>
      </c>
      <c r="K2161">
        <f t="shared" ca="1" si="67"/>
        <v>33</v>
      </c>
    </row>
    <row r="2162" spans="1:11" ht="15.75" customHeight="1">
      <c r="A2162" t="s">
        <v>367</v>
      </c>
      <c r="B2162">
        <v>1972</v>
      </c>
      <c r="C2162" t="s">
        <v>4714</v>
      </c>
      <c r="D2162">
        <v>5</v>
      </c>
      <c r="E2162">
        <v>0</v>
      </c>
      <c r="F2162" s="16">
        <v>36889.99</v>
      </c>
      <c r="G2162" t="s">
        <v>4698</v>
      </c>
      <c r="H2162" t="s">
        <v>4700</v>
      </c>
      <c r="I2162" t="s">
        <v>4718</v>
      </c>
      <c r="J2162" s="17">
        <f t="shared" si="66"/>
        <v>26638</v>
      </c>
      <c r="K2162">
        <f t="shared" ca="1" si="67"/>
        <v>52</v>
      </c>
    </row>
    <row r="2163" spans="1:11" ht="15.75" customHeight="1">
      <c r="A2163" t="s">
        <v>365</v>
      </c>
      <c r="B2163">
        <v>2003</v>
      </c>
      <c r="C2163" t="s">
        <v>4711</v>
      </c>
      <c r="D2163">
        <v>21</v>
      </c>
      <c r="E2163">
        <v>0</v>
      </c>
      <c r="F2163" s="16">
        <v>36898.730000000003</v>
      </c>
      <c r="G2163" t="s">
        <v>4699</v>
      </c>
      <c r="H2163" t="s">
        <v>4698</v>
      </c>
      <c r="I2163" t="s">
        <v>4713</v>
      </c>
      <c r="J2163" s="17">
        <f t="shared" si="66"/>
        <v>37793</v>
      </c>
      <c r="K2163">
        <f t="shared" ca="1" si="67"/>
        <v>22</v>
      </c>
    </row>
    <row r="2164" spans="1:11" ht="15.75" customHeight="1">
      <c r="A2164" t="s">
        <v>363</v>
      </c>
      <c r="B2164">
        <v>1963</v>
      </c>
      <c r="C2164" t="s">
        <v>4708</v>
      </c>
      <c r="D2164">
        <v>24</v>
      </c>
      <c r="E2164">
        <v>2</v>
      </c>
      <c r="F2164" s="16">
        <v>36910.61</v>
      </c>
      <c r="G2164" t="s">
        <v>4699</v>
      </c>
      <c r="H2164" t="s">
        <v>4699</v>
      </c>
      <c r="I2164" t="s">
        <v>4718</v>
      </c>
      <c r="J2164" s="17">
        <f t="shared" si="66"/>
        <v>23216</v>
      </c>
      <c r="K2164">
        <f t="shared" ca="1" si="67"/>
        <v>62</v>
      </c>
    </row>
    <row r="2165" spans="1:11" ht="15.75" customHeight="1">
      <c r="A2165" t="s">
        <v>361</v>
      </c>
      <c r="B2165">
        <v>1991</v>
      </c>
      <c r="C2165" t="s">
        <v>4711</v>
      </c>
      <c r="D2165">
        <v>10</v>
      </c>
      <c r="E2165">
        <v>3</v>
      </c>
      <c r="F2165" s="16">
        <v>36911.99</v>
      </c>
      <c r="G2165" t="s">
        <v>4699</v>
      </c>
      <c r="H2165" t="s">
        <v>4699</v>
      </c>
      <c r="I2165" t="s">
        <v>4718</v>
      </c>
      <c r="J2165" s="17">
        <f t="shared" si="66"/>
        <v>33399</v>
      </c>
      <c r="K2165">
        <f t="shared" ca="1" si="67"/>
        <v>34</v>
      </c>
    </row>
    <row r="2166" spans="1:11" ht="15.75" customHeight="1">
      <c r="A2166" t="s">
        <v>359</v>
      </c>
      <c r="B2166">
        <v>1968</v>
      </c>
      <c r="C2166" t="s">
        <v>4717</v>
      </c>
      <c r="D2166">
        <v>22</v>
      </c>
      <c r="E2166">
        <v>0</v>
      </c>
      <c r="F2166" s="16">
        <v>36922.61</v>
      </c>
      <c r="G2166" t="s">
        <v>4699</v>
      </c>
      <c r="H2166" t="s">
        <v>4698</v>
      </c>
      <c r="I2166" t="s">
        <v>4718</v>
      </c>
      <c r="J2166" s="17">
        <f t="shared" si="66"/>
        <v>25133</v>
      </c>
      <c r="K2166">
        <f t="shared" ca="1" si="67"/>
        <v>57</v>
      </c>
    </row>
    <row r="2167" spans="1:11" ht="15.75" customHeight="1">
      <c r="A2167" t="s">
        <v>357</v>
      </c>
      <c r="B2167">
        <v>1977</v>
      </c>
      <c r="C2167" t="s">
        <v>4716</v>
      </c>
      <c r="D2167">
        <v>13</v>
      </c>
      <c r="E2167">
        <v>2</v>
      </c>
      <c r="F2167" s="16">
        <v>36935.64</v>
      </c>
      <c r="G2167" t="s">
        <v>4699</v>
      </c>
      <c r="H2167" t="s">
        <v>4698</v>
      </c>
      <c r="I2167" t="s">
        <v>4718</v>
      </c>
      <c r="J2167" s="17">
        <f t="shared" si="66"/>
        <v>28350</v>
      </c>
      <c r="K2167">
        <f t="shared" ca="1" si="67"/>
        <v>48</v>
      </c>
    </row>
    <row r="2168" spans="1:11" ht="15.75" customHeight="1">
      <c r="A2168" t="s">
        <v>355</v>
      </c>
      <c r="B2168">
        <v>1992</v>
      </c>
      <c r="C2168" t="s">
        <v>4716</v>
      </c>
      <c r="D2168">
        <v>25</v>
      </c>
      <c r="E2168">
        <v>0</v>
      </c>
      <c r="F2168" s="16">
        <v>36950.26</v>
      </c>
      <c r="G2168" t="s">
        <v>4698</v>
      </c>
      <c r="H2168" t="s">
        <v>4698</v>
      </c>
      <c r="I2168" t="s">
        <v>4709</v>
      </c>
      <c r="J2168" s="17">
        <f t="shared" si="66"/>
        <v>33841</v>
      </c>
      <c r="K2168">
        <f t="shared" ca="1" si="67"/>
        <v>33</v>
      </c>
    </row>
    <row r="2169" spans="1:11" ht="15.75" customHeight="1">
      <c r="A2169" t="s">
        <v>353</v>
      </c>
      <c r="B2169">
        <v>1992</v>
      </c>
      <c r="C2169" t="s">
        <v>4712</v>
      </c>
      <c r="D2169">
        <v>13</v>
      </c>
      <c r="E2169">
        <v>0</v>
      </c>
      <c r="F2169" s="16">
        <v>36976.449999999997</v>
      </c>
      <c r="G2169" t="s">
        <v>4699</v>
      </c>
      <c r="H2169" t="s">
        <v>4700</v>
      </c>
      <c r="I2169" t="s">
        <v>4718</v>
      </c>
      <c r="J2169" s="17">
        <f t="shared" si="66"/>
        <v>33860</v>
      </c>
      <c r="K2169">
        <f t="shared" ca="1" si="67"/>
        <v>33</v>
      </c>
    </row>
    <row r="2170" spans="1:11" ht="15.75" customHeight="1">
      <c r="A2170" t="s">
        <v>351</v>
      </c>
      <c r="B2170">
        <v>1991</v>
      </c>
      <c r="C2170" t="s">
        <v>4710</v>
      </c>
      <c r="D2170">
        <v>1</v>
      </c>
      <c r="E2170">
        <v>3</v>
      </c>
      <c r="F2170" s="16">
        <v>37040.879999999997</v>
      </c>
      <c r="G2170" t="s">
        <v>4699</v>
      </c>
      <c r="H2170" t="s">
        <v>4699</v>
      </c>
      <c r="I2170" t="s">
        <v>4718</v>
      </c>
      <c r="J2170" s="17">
        <f t="shared" si="66"/>
        <v>33543</v>
      </c>
      <c r="K2170">
        <f t="shared" ca="1" si="67"/>
        <v>34</v>
      </c>
    </row>
    <row r="2171" spans="1:11" ht="15.75" customHeight="1">
      <c r="A2171" t="s">
        <v>349</v>
      </c>
      <c r="B2171">
        <v>1988</v>
      </c>
      <c r="C2171" t="s">
        <v>4714</v>
      </c>
      <c r="D2171">
        <v>17</v>
      </c>
      <c r="E2171">
        <v>3</v>
      </c>
      <c r="F2171" s="16">
        <v>37076.370000000003</v>
      </c>
      <c r="G2171" t="s">
        <v>4699</v>
      </c>
      <c r="H2171" t="s">
        <v>4698</v>
      </c>
      <c r="I2171" t="s">
        <v>4718</v>
      </c>
      <c r="J2171" s="17">
        <f t="shared" si="66"/>
        <v>32494</v>
      </c>
      <c r="K2171">
        <f t="shared" ca="1" si="67"/>
        <v>36</v>
      </c>
    </row>
    <row r="2172" spans="1:11" ht="15.75" customHeight="1">
      <c r="A2172" t="s">
        <v>347</v>
      </c>
      <c r="B2172">
        <v>1989</v>
      </c>
      <c r="C2172" t="s">
        <v>4711</v>
      </c>
      <c r="D2172">
        <v>10</v>
      </c>
      <c r="E2172">
        <v>0</v>
      </c>
      <c r="F2172" s="16">
        <v>37079.370000000003</v>
      </c>
      <c r="G2172" t="s">
        <v>4699</v>
      </c>
      <c r="H2172" t="s">
        <v>4700</v>
      </c>
      <c r="I2172" t="s">
        <v>4718</v>
      </c>
      <c r="J2172" s="17">
        <f t="shared" si="66"/>
        <v>32669</v>
      </c>
      <c r="K2172">
        <f t="shared" ca="1" si="67"/>
        <v>36</v>
      </c>
    </row>
    <row r="2173" spans="1:11" ht="15.75" customHeight="1">
      <c r="A2173" t="s">
        <v>345</v>
      </c>
      <c r="B2173">
        <v>1995</v>
      </c>
      <c r="C2173" t="s">
        <v>4717</v>
      </c>
      <c r="D2173">
        <v>30</v>
      </c>
      <c r="E2173">
        <v>0</v>
      </c>
      <c r="F2173" s="16">
        <v>37133.9</v>
      </c>
      <c r="G2173" t="s">
        <v>4699</v>
      </c>
      <c r="H2173" t="s">
        <v>4699</v>
      </c>
      <c r="I2173" t="s">
        <v>4709</v>
      </c>
      <c r="J2173" s="17">
        <f t="shared" si="66"/>
        <v>35002</v>
      </c>
      <c r="K2173">
        <f t="shared" ca="1" si="67"/>
        <v>30</v>
      </c>
    </row>
    <row r="2174" spans="1:11" ht="15.75" customHeight="1">
      <c r="A2174" t="s">
        <v>343</v>
      </c>
      <c r="B2174">
        <v>2000</v>
      </c>
      <c r="C2174" t="s">
        <v>4712</v>
      </c>
      <c r="D2174">
        <v>5</v>
      </c>
      <c r="E2174">
        <v>1</v>
      </c>
      <c r="F2174" s="16">
        <v>37165.160000000003</v>
      </c>
      <c r="G2174" t="s">
        <v>4698</v>
      </c>
      <c r="H2174" t="s">
        <v>4700</v>
      </c>
      <c r="I2174" t="s">
        <v>4697</v>
      </c>
      <c r="J2174" s="17">
        <f t="shared" si="66"/>
        <v>36774</v>
      </c>
      <c r="K2174">
        <f t="shared" ca="1" si="67"/>
        <v>25</v>
      </c>
    </row>
    <row r="2175" spans="1:11" ht="15.75" customHeight="1">
      <c r="A2175" t="s">
        <v>341</v>
      </c>
      <c r="B2175">
        <v>1990</v>
      </c>
      <c r="C2175" t="s">
        <v>4717</v>
      </c>
      <c r="D2175">
        <v>17</v>
      </c>
      <c r="E2175">
        <v>3</v>
      </c>
      <c r="F2175" s="16">
        <v>37251.22</v>
      </c>
      <c r="G2175" t="s">
        <v>4699</v>
      </c>
      <c r="H2175" t="s">
        <v>4699</v>
      </c>
      <c r="I2175" t="s">
        <v>4718</v>
      </c>
      <c r="J2175" s="17">
        <f t="shared" si="66"/>
        <v>33163</v>
      </c>
      <c r="K2175">
        <f t="shared" ca="1" si="67"/>
        <v>35</v>
      </c>
    </row>
    <row r="2176" spans="1:11" ht="15.75" customHeight="1">
      <c r="A2176" t="s">
        <v>339</v>
      </c>
      <c r="B2176">
        <v>1985</v>
      </c>
      <c r="C2176" t="s">
        <v>4710</v>
      </c>
      <c r="D2176">
        <v>17</v>
      </c>
      <c r="E2176">
        <v>0</v>
      </c>
      <c r="F2176" s="16">
        <v>37270.15</v>
      </c>
      <c r="G2176" t="s">
        <v>4699</v>
      </c>
      <c r="H2176" t="s">
        <v>4698</v>
      </c>
      <c r="I2176" t="s">
        <v>4724</v>
      </c>
      <c r="J2176" s="17">
        <f t="shared" si="66"/>
        <v>31368</v>
      </c>
      <c r="K2176">
        <f t="shared" ca="1" si="67"/>
        <v>40</v>
      </c>
    </row>
    <row r="2177" spans="1:11" ht="15.75" customHeight="1">
      <c r="A2177" t="s">
        <v>337</v>
      </c>
      <c r="B2177">
        <v>1975</v>
      </c>
      <c r="C2177" t="s">
        <v>4710</v>
      </c>
      <c r="D2177">
        <v>9</v>
      </c>
      <c r="E2177">
        <v>1</v>
      </c>
      <c r="F2177" s="16">
        <v>37272.339999999997</v>
      </c>
      <c r="G2177" t="s">
        <v>4699</v>
      </c>
      <c r="H2177" t="s">
        <v>4700</v>
      </c>
      <c r="I2177" t="s">
        <v>4718</v>
      </c>
      <c r="J2177" s="17">
        <f t="shared" si="66"/>
        <v>27707</v>
      </c>
      <c r="K2177">
        <f t="shared" ca="1" si="67"/>
        <v>50</v>
      </c>
    </row>
    <row r="2178" spans="1:11" ht="15.75" customHeight="1">
      <c r="A2178" t="s">
        <v>335</v>
      </c>
      <c r="B2178">
        <v>1969</v>
      </c>
      <c r="C2178" t="s">
        <v>4717</v>
      </c>
      <c r="D2178">
        <v>30</v>
      </c>
      <c r="E2178">
        <v>0</v>
      </c>
      <c r="F2178" s="16">
        <v>37277.269999999997</v>
      </c>
      <c r="G2178" t="s">
        <v>4698</v>
      </c>
      <c r="H2178" t="s">
        <v>4700</v>
      </c>
      <c r="I2178" t="s">
        <v>4718</v>
      </c>
      <c r="J2178" s="17">
        <f t="shared" si="66"/>
        <v>25506</v>
      </c>
      <c r="K2178">
        <f t="shared" ca="1" si="67"/>
        <v>56</v>
      </c>
    </row>
    <row r="2179" spans="1:11" ht="15.75" customHeight="1">
      <c r="A2179" t="s">
        <v>333</v>
      </c>
      <c r="B2179">
        <v>1979</v>
      </c>
      <c r="C2179" t="s">
        <v>4716</v>
      </c>
      <c r="D2179">
        <v>3</v>
      </c>
      <c r="E2179">
        <v>2</v>
      </c>
      <c r="F2179" s="16">
        <v>37425.94</v>
      </c>
      <c r="G2179" t="s">
        <v>4699</v>
      </c>
      <c r="H2179" t="s">
        <v>4698</v>
      </c>
      <c r="I2179" t="s">
        <v>4718</v>
      </c>
      <c r="J2179" s="17">
        <f t="shared" ref="J2179:J2242" si="68">DATEVALUE(D2179&amp;"-"&amp;C2179&amp;" -"&amp;B2179)</f>
        <v>29070</v>
      </c>
      <c r="K2179">
        <f t="shared" ref="K2179:K2242" ca="1" si="69">DATEDIF(J2179,TODAY(),"Y")</f>
        <v>46</v>
      </c>
    </row>
    <row r="2180" spans="1:11" ht="15.75" customHeight="1">
      <c r="A2180" t="s">
        <v>331</v>
      </c>
      <c r="B2180">
        <v>2002</v>
      </c>
      <c r="C2180" t="s">
        <v>4712</v>
      </c>
      <c r="D2180">
        <v>27</v>
      </c>
      <c r="E2180">
        <v>3</v>
      </c>
      <c r="F2180" s="16">
        <v>37465.339999999997</v>
      </c>
      <c r="G2180" t="s">
        <v>4698</v>
      </c>
      <c r="H2180" t="s">
        <v>4699</v>
      </c>
      <c r="I2180" t="s">
        <v>4713</v>
      </c>
      <c r="J2180" s="17">
        <f t="shared" si="68"/>
        <v>37526</v>
      </c>
      <c r="K2180">
        <f t="shared" ca="1" si="69"/>
        <v>23</v>
      </c>
    </row>
    <row r="2181" spans="1:11" ht="15.75" customHeight="1">
      <c r="A2181" t="s">
        <v>329</v>
      </c>
      <c r="B2181">
        <v>2000</v>
      </c>
      <c r="C2181" t="s">
        <v>4717</v>
      </c>
      <c r="D2181">
        <v>12</v>
      </c>
      <c r="E2181">
        <v>2</v>
      </c>
      <c r="F2181" s="16">
        <v>37484.449999999997</v>
      </c>
      <c r="G2181" t="s">
        <v>4698</v>
      </c>
      <c r="H2181" t="s">
        <v>4698</v>
      </c>
      <c r="I2181" t="s">
        <v>4709</v>
      </c>
      <c r="J2181" s="17">
        <f t="shared" si="68"/>
        <v>36811</v>
      </c>
      <c r="K2181">
        <f t="shared" ca="1" si="69"/>
        <v>25</v>
      </c>
    </row>
    <row r="2182" spans="1:11" ht="15.75" customHeight="1">
      <c r="A2182" t="s">
        <v>327</v>
      </c>
      <c r="B2182">
        <v>1990</v>
      </c>
      <c r="C2182" t="s">
        <v>4710</v>
      </c>
      <c r="D2182">
        <v>16</v>
      </c>
      <c r="E2182">
        <v>1</v>
      </c>
      <c r="F2182" s="16">
        <v>37607.53</v>
      </c>
      <c r="G2182" t="s">
        <v>4698</v>
      </c>
      <c r="H2182" t="s">
        <v>4699</v>
      </c>
      <c r="I2182" t="s">
        <v>4720</v>
      </c>
      <c r="J2182" s="17">
        <f t="shared" si="68"/>
        <v>33193</v>
      </c>
      <c r="K2182">
        <f t="shared" ca="1" si="69"/>
        <v>35</v>
      </c>
    </row>
    <row r="2183" spans="1:11" ht="15.75" customHeight="1">
      <c r="A2183" t="s">
        <v>325</v>
      </c>
      <c r="B2183">
        <v>1982</v>
      </c>
      <c r="C2183" t="s">
        <v>4711</v>
      </c>
      <c r="D2183">
        <v>20</v>
      </c>
      <c r="E2183">
        <v>3</v>
      </c>
      <c r="F2183" s="16">
        <v>37650.74</v>
      </c>
      <c r="G2183" t="s">
        <v>4699</v>
      </c>
      <c r="H2183" t="s">
        <v>4699</v>
      </c>
      <c r="I2183" t="s">
        <v>4713</v>
      </c>
      <c r="J2183" s="17">
        <f t="shared" si="68"/>
        <v>30122</v>
      </c>
      <c r="K2183">
        <f t="shared" ca="1" si="69"/>
        <v>43</v>
      </c>
    </row>
    <row r="2184" spans="1:11" ht="15.75" customHeight="1">
      <c r="A2184" t="s">
        <v>323</v>
      </c>
      <c r="B2184">
        <v>1970</v>
      </c>
      <c r="C2184" t="s">
        <v>4717</v>
      </c>
      <c r="D2184">
        <v>28</v>
      </c>
      <c r="E2184">
        <v>0</v>
      </c>
      <c r="F2184" s="16">
        <v>37675.06</v>
      </c>
      <c r="G2184" t="s">
        <v>4699</v>
      </c>
      <c r="H2184" t="s">
        <v>4700</v>
      </c>
      <c r="I2184" t="s">
        <v>4718</v>
      </c>
      <c r="J2184" s="17">
        <f t="shared" si="68"/>
        <v>25869</v>
      </c>
      <c r="K2184">
        <f t="shared" ca="1" si="69"/>
        <v>55</v>
      </c>
    </row>
    <row r="2185" spans="1:11" ht="15.75" customHeight="1">
      <c r="A2185" t="s">
        <v>321</v>
      </c>
      <c r="B2185">
        <v>1988</v>
      </c>
      <c r="C2185" t="s">
        <v>4717</v>
      </c>
      <c r="D2185">
        <v>10</v>
      </c>
      <c r="E2185">
        <v>1</v>
      </c>
      <c r="F2185" s="16">
        <v>37701.879999999997</v>
      </c>
      <c r="G2185" t="s">
        <v>4699</v>
      </c>
      <c r="H2185" t="s">
        <v>4700</v>
      </c>
      <c r="I2185" t="s">
        <v>4725</v>
      </c>
      <c r="J2185" s="17">
        <f t="shared" si="68"/>
        <v>32426</v>
      </c>
      <c r="K2185">
        <f t="shared" ca="1" si="69"/>
        <v>37</v>
      </c>
    </row>
    <row r="2186" spans="1:11" ht="15.75" customHeight="1">
      <c r="A2186" t="s">
        <v>319</v>
      </c>
      <c r="B2186">
        <v>1976</v>
      </c>
      <c r="C2186" t="s">
        <v>4712</v>
      </c>
      <c r="D2186">
        <v>18</v>
      </c>
      <c r="E2186">
        <v>2</v>
      </c>
      <c r="F2186" s="16">
        <v>37735.199999999997</v>
      </c>
      <c r="G2186" t="s">
        <v>4699</v>
      </c>
      <c r="H2186" t="s">
        <v>4699</v>
      </c>
      <c r="I2186" t="s">
        <v>4718</v>
      </c>
      <c r="J2186" s="17">
        <f t="shared" si="68"/>
        <v>28021</v>
      </c>
      <c r="K2186">
        <f t="shared" ca="1" si="69"/>
        <v>49</v>
      </c>
    </row>
    <row r="2187" spans="1:11" ht="15.75" customHeight="1">
      <c r="A2187" t="s">
        <v>317</v>
      </c>
      <c r="B2187">
        <v>1986</v>
      </c>
      <c r="C2187" t="s">
        <v>4716</v>
      </c>
      <c r="D2187">
        <v>15</v>
      </c>
      <c r="E2187">
        <v>0</v>
      </c>
      <c r="F2187" s="16">
        <v>37742.58</v>
      </c>
      <c r="G2187" t="s">
        <v>4698</v>
      </c>
      <c r="H2187" t="s">
        <v>4698</v>
      </c>
      <c r="I2187" t="s">
        <v>4709</v>
      </c>
      <c r="J2187" s="17">
        <f t="shared" si="68"/>
        <v>31639</v>
      </c>
      <c r="K2187">
        <f t="shared" ca="1" si="69"/>
        <v>39</v>
      </c>
    </row>
    <row r="2188" spans="1:11" ht="15.75" customHeight="1">
      <c r="A2188" t="s">
        <v>315</v>
      </c>
      <c r="B2188">
        <v>1983</v>
      </c>
      <c r="C2188" t="s">
        <v>4708</v>
      </c>
      <c r="D2188">
        <v>26</v>
      </c>
      <c r="E2188">
        <v>3</v>
      </c>
      <c r="F2188" s="16">
        <v>37800.980000000003</v>
      </c>
      <c r="G2188" t="s">
        <v>4699</v>
      </c>
      <c r="H2188" t="s">
        <v>4699</v>
      </c>
      <c r="I2188" t="s">
        <v>4718</v>
      </c>
      <c r="J2188" s="17">
        <f t="shared" si="68"/>
        <v>30523</v>
      </c>
      <c r="K2188">
        <f t="shared" ca="1" si="69"/>
        <v>42</v>
      </c>
    </row>
    <row r="2189" spans="1:11" ht="15.75" customHeight="1">
      <c r="A2189" t="s">
        <v>313</v>
      </c>
      <c r="B2189">
        <v>1979</v>
      </c>
      <c r="C2189" t="s">
        <v>4712</v>
      </c>
      <c r="D2189">
        <v>9</v>
      </c>
      <c r="E2189">
        <v>0</v>
      </c>
      <c r="F2189" s="16">
        <v>37829.72</v>
      </c>
      <c r="G2189" t="s">
        <v>4698</v>
      </c>
      <c r="H2189" t="s">
        <v>4699</v>
      </c>
      <c r="I2189" t="s">
        <v>4718</v>
      </c>
      <c r="J2189" s="17">
        <f t="shared" si="68"/>
        <v>29107</v>
      </c>
      <c r="K2189">
        <f t="shared" ca="1" si="69"/>
        <v>46</v>
      </c>
    </row>
    <row r="2190" spans="1:11" ht="15.75" customHeight="1">
      <c r="A2190" t="s">
        <v>311</v>
      </c>
      <c r="B2190">
        <v>1998</v>
      </c>
      <c r="C2190" t="s">
        <v>4708</v>
      </c>
      <c r="D2190">
        <v>29</v>
      </c>
      <c r="E2190">
        <v>0</v>
      </c>
      <c r="F2190" s="16">
        <v>38126.25</v>
      </c>
      <c r="G2190" t="s">
        <v>4698</v>
      </c>
      <c r="H2190" t="s">
        <v>4700</v>
      </c>
      <c r="I2190" t="s">
        <v>4709</v>
      </c>
      <c r="J2190" s="17">
        <f t="shared" si="68"/>
        <v>36005</v>
      </c>
      <c r="K2190">
        <f t="shared" ca="1" si="69"/>
        <v>27</v>
      </c>
    </row>
    <row r="2191" spans="1:11" ht="15.75" customHeight="1">
      <c r="A2191" t="s">
        <v>309</v>
      </c>
      <c r="B2191">
        <v>1972</v>
      </c>
      <c r="C2191" t="s">
        <v>4710</v>
      </c>
      <c r="D2191">
        <v>19</v>
      </c>
      <c r="E2191">
        <v>0</v>
      </c>
      <c r="F2191" s="16">
        <v>38189.1</v>
      </c>
      <c r="G2191" t="s">
        <v>4699</v>
      </c>
      <c r="H2191" t="s">
        <v>4699</v>
      </c>
      <c r="I2191" t="s">
        <v>4718</v>
      </c>
      <c r="J2191" s="17">
        <f t="shared" si="68"/>
        <v>26622</v>
      </c>
      <c r="K2191">
        <f t="shared" ca="1" si="69"/>
        <v>53</v>
      </c>
    </row>
    <row r="2192" spans="1:11" ht="15.75" customHeight="1">
      <c r="A2192" t="s">
        <v>307</v>
      </c>
      <c r="B2192">
        <v>1989</v>
      </c>
      <c r="C2192" t="s">
        <v>4712</v>
      </c>
      <c r="D2192">
        <v>8</v>
      </c>
      <c r="E2192">
        <v>3</v>
      </c>
      <c r="F2192" s="16">
        <v>38237.339999999997</v>
      </c>
      <c r="G2192" t="s">
        <v>4699</v>
      </c>
      <c r="H2192" t="s">
        <v>4700</v>
      </c>
      <c r="I2192" t="s">
        <v>4718</v>
      </c>
      <c r="J2192" s="17">
        <f t="shared" si="68"/>
        <v>32759</v>
      </c>
      <c r="K2192">
        <f t="shared" ca="1" si="69"/>
        <v>36</v>
      </c>
    </row>
    <row r="2193" spans="1:11" ht="15.75" customHeight="1">
      <c r="A2193" t="s">
        <v>305</v>
      </c>
      <c r="B2193">
        <v>1964</v>
      </c>
      <c r="C2193" t="s">
        <v>4711</v>
      </c>
      <c r="D2193">
        <v>16</v>
      </c>
      <c r="E2193">
        <v>0</v>
      </c>
      <c r="F2193" s="16">
        <v>38241.74</v>
      </c>
      <c r="G2193" t="s">
        <v>4699</v>
      </c>
      <c r="H2193" t="s">
        <v>4700</v>
      </c>
      <c r="I2193" t="s">
        <v>4718</v>
      </c>
      <c r="J2193" s="17">
        <f t="shared" si="68"/>
        <v>23544</v>
      </c>
      <c r="K2193">
        <f t="shared" ca="1" si="69"/>
        <v>61</v>
      </c>
    </row>
    <row r="2194" spans="1:11" ht="15.75" customHeight="1">
      <c r="A2194" t="s">
        <v>303</v>
      </c>
      <c r="B2194">
        <v>1980</v>
      </c>
      <c r="C2194" t="s">
        <v>4716</v>
      </c>
      <c r="D2194">
        <v>16</v>
      </c>
      <c r="E2194">
        <v>1</v>
      </c>
      <c r="F2194" s="16">
        <v>38245.589999999997</v>
      </c>
      <c r="G2194" t="s">
        <v>4698</v>
      </c>
      <c r="H2194" t="s">
        <v>4699</v>
      </c>
      <c r="I2194" t="s">
        <v>4709</v>
      </c>
      <c r="J2194" s="17">
        <f t="shared" si="68"/>
        <v>29449</v>
      </c>
      <c r="K2194">
        <f t="shared" ca="1" si="69"/>
        <v>45</v>
      </c>
    </row>
    <row r="2195" spans="1:11" ht="15.75" customHeight="1">
      <c r="A2195" t="s">
        <v>301</v>
      </c>
      <c r="B2195">
        <v>1989</v>
      </c>
      <c r="C2195" t="s">
        <v>4717</v>
      </c>
      <c r="D2195">
        <v>30</v>
      </c>
      <c r="E2195">
        <v>1</v>
      </c>
      <c r="F2195" s="16">
        <v>38282.75</v>
      </c>
      <c r="G2195" t="s">
        <v>4698</v>
      </c>
      <c r="H2195" t="s">
        <v>4699</v>
      </c>
      <c r="I2195" t="s">
        <v>4709</v>
      </c>
      <c r="J2195" s="17">
        <f t="shared" si="68"/>
        <v>32811</v>
      </c>
      <c r="K2195">
        <f t="shared" ca="1" si="69"/>
        <v>36</v>
      </c>
    </row>
    <row r="2196" spans="1:11" ht="15.75" customHeight="1">
      <c r="A2196" t="s">
        <v>299</v>
      </c>
      <c r="B2196">
        <v>1980</v>
      </c>
      <c r="C2196" t="s">
        <v>4711</v>
      </c>
      <c r="D2196">
        <v>12</v>
      </c>
      <c r="E2196">
        <v>2</v>
      </c>
      <c r="F2196" s="16">
        <v>38313.129999999997</v>
      </c>
      <c r="G2196" t="s">
        <v>4698</v>
      </c>
      <c r="H2196" t="s">
        <v>4700</v>
      </c>
      <c r="I2196" t="s">
        <v>4718</v>
      </c>
      <c r="J2196" s="17">
        <f t="shared" si="68"/>
        <v>29384</v>
      </c>
      <c r="K2196">
        <f t="shared" ca="1" si="69"/>
        <v>45</v>
      </c>
    </row>
    <row r="2197" spans="1:11" ht="15.75" customHeight="1">
      <c r="A2197" t="s">
        <v>297</v>
      </c>
      <c r="B2197">
        <v>2002</v>
      </c>
      <c r="C2197" t="s">
        <v>4712</v>
      </c>
      <c r="D2197">
        <v>17</v>
      </c>
      <c r="E2197">
        <v>2</v>
      </c>
      <c r="F2197" s="16">
        <v>38344.57</v>
      </c>
      <c r="G2197" t="s">
        <v>4698</v>
      </c>
      <c r="H2197" t="s">
        <v>4700</v>
      </c>
      <c r="I2197" t="s">
        <v>4718</v>
      </c>
      <c r="J2197" s="17">
        <f t="shared" si="68"/>
        <v>37516</v>
      </c>
      <c r="K2197">
        <f t="shared" ca="1" si="69"/>
        <v>23</v>
      </c>
    </row>
    <row r="2198" spans="1:11" ht="15.75" customHeight="1">
      <c r="A2198" t="s">
        <v>295</v>
      </c>
      <c r="B2198">
        <v>1970</v>
      </c>
      <c r="C2198" t="s">
        <v>4716</v>
      </c>
      <c r="D2198">
        <v>22</v>
      </c>
      <c r="E2198">
        <v>0</v>
      </c>
      <c r="F2198" s="16">
        <v>38389.79</v>
      </c>
      <c r="G2198" t="s">
        <v>4699</v>
      </c>
      <c r="H2198" t="s">
        <v>4700</v>
      </c>
      <c r="I2198" t="s">
        <v>4718</v>
      </c>
      <c r="J2198" s="17">
        <f t="shared" si="68"/>
        <v>25802</v>
      </c>
      <c r="K2198">
        <f t="shared" ca="1" si="69"/>
        <v>55</v>
      </c>
    </row>
    <row r="2199" spans="1:11" ht="15.75" customHeight="1">
      <c r="A2199" t="s">
        <v>293</v>
      </c>
      <c r="B2199">
        <v>1971</v>
      </c>
      <c r="C2199" t="s">
        <v>4714</v>
      </c>
      <c r="D2199">
        <v>23</v>
      </c>
      <c r="E2199">
        <v>0</v>
      </c>
      <c r="F2199" s="16">
        <v>38405.26</v>
      </c>
      <c r="G2199" t="s">
        <v>4699</v>
      </c>
      <c r="H2199" t="s">
        <v>4698</v>
      </c>
      <c r="I2199" t="s">
        <v>4718</v>
      </c>
      <c r="J2199" s="17">
        <f t="shared" si="68"/>
        <v>26290</v>
      </c>
      <c r="K2199">
        <f t="shared" ca="1" si="69"/>
        <v>53</v>
      </c>
    </row>
    <row r="2200" spans="1:11" ht="15.75" customHeight="1">
      <c r="A2200" t="s">
        <v>291</v>
      </c>
      <c r="B2200">
        <v>1986</v>
      </c>
      <c r="C2200" t="s">
        <v>4711</v>
      </c>
      <c r="D2200">
        <v>21</v>
      </c>
      <c r="E2200">
        <v>2</v>
      </c>
      <c r="F2200" s="16">
        <v>38415.47</v>
      </c>
      <c r="G2200" t="s">
        <v>4698</v>
      </c>
      <c r="H2200" t="s">
        <v>4699</v>
      </c>
      <c r="I2200" t="s">
        <v>4718</v>
      </c>
      <c r="J2200" s="17">
        <f t="shared" si="68"/>
        <v>31584</v>
      </c>
      <c r="K2200">
        <f t="shared" ca="1" si="69"/>
        <v>39</v>
      </c>
    </row>
    <row r="2201" spans="1:11" ht="15.75" customHeight="1">
      <c r="A2201" t="s">
        <v>289</v>
      </c>
      <c r="B2201">
        <v>1999</v>
      </c>
      <c r="C2201" t="s">
        <v>4710</v>
      </c>
      <c r="D2201">
        <v>12</v>
      </c>
      <c r="E2201">
        <v>2</v>
      </c>
      <c r="F2201" s="16">
        <v>38511.629999999997</v>
      </c>
      <c r="G2201" t="s">
        <v>4699</v>
      </c>
      <c r="H2201" t="s">
        <v>4699</v>
      </c>
      <c r="I2201" t="s">
        <v>4724</v>
      </c>
      <c r="J2201" s="17">
        <f t="shared" si="68"/>
        <v>36476</v>
      </c>
      <c r="K2201">
        <f t="shared" ca="1" si="69"/>
        <v>26</v>
      </c>
    </row>
    <row r="2202" spans="1:11" ht="15.75" customHeight="1">
      <c r="A2202" t="s">
        <v>287</v>
      </c>
      <c r="B2202">
        <v>1990</v>
      </c>
      <c r="C2202" t="s">
        <v>4708</v>
      </c>
      <c r="D2202">
        <v>13</v>
      </c>
      <c r="E2202">
        <v>3</v>
      </c>
      <c r="F2202" s="16">
        <v>38652.089999999997</v>
      </c>
      <c r="G2202" t="s">
        <v>4699</v>
      </c>
      <c r="H2202" t="s">
        <v>4699</v>
      </c>
      <c r="I2202" t="s">
        <v>4718</v>
      </c>
      <c r="J2202" s="17">
        <f t="shared" si="68"/>
        <v>33067</v>
      </c>
      <c r="K2202">
        <f t="shared" ca="1" si="69"/>
        <v>35</v>
      </c>
    </row>
    <row r="2203" spans="1:11" ht="15.75" customHeight="1">
      <c r="A2203" t="s">
        <v>285</v>
      </c>
      <c r="B2203">
        <v>1986</v>
      </c>
      <c r="C2203" t="s">
        <v>4708</v>
      </c>
      <c r="D2203">
        <v>20</v>
      </c>
      <c r="E2203">
        <v>1</v>
      </c>
      <c r="F2203" s="16">
        <v>38709.18</v>
      </c>
      <c r="G2203" t="s">
        <v>4698</v>
      </c>
      <c r="H2203" t="s">
        <v>4700</v>
      </c>
      <c r="I2203" t="s">
        <v>4709</v>
      </c>
      <c r="J2203" s="17">
        <f t="shared" si="68"/>
        <v>31613</v>
      </c>
      <c r="K2203">
        <f t="shared" ca="1" si="69"/>
        <v>39</v>
      </c>
    </row>
    <row r="2204" spans="1:11" ht="15.75" customHeight="1">
      <c r="A2204" t="s">
        <v>4697</v>
      </c>
      <c r="B2204">
        <v>1991</v>
      </c>
      <c r="C2204" t="s">
        <v>4710</v>
      </c>
      <c r="D2204">
        <v>22</v>
      </c>
      <c r="E2204">
        <v>2</v>
      </c>
      <c r="F2204" s="16">
        <v>38711</v>
      </c>
      <c r="G2204" t="s">
        <v>4698</v>
      </c>
      <c r="H2204" t="s">
        <v>4700</v>
      </c>
      <c r="I2204" t="s">
        <v>4718</v>
      </c>
      <c r="J2204" s="17">
        <f t="shared" si="68"/>
        <v>33564</v>
      </c>
      <c r="K2204">
        <f t="shared" ca="1" si="69"/>
        <v>34</v>
      </c>
    </row>
    <row r="2205" spans="1:11" ht="15.75" customHeight="1">
      <c r="A2205" t="s">
        <v>283</v>
      </c>
      <c r="B2205">
        <v>1991</v>
      </c>
      <c r="C2205" t="s">
        <v>4710</v>
      </c>
      <c r="D2205">
        <v>2</v>
      </c>
      <c r="E2205">
        <v>2</v>
      </c>
      <c r="F2205" s="16">
        <v>38711</v>
      </c>
      <c r="G2205" t="s">
        <v>4699</v>
      </c>
      <c r="H2205" t="s">
        <v>4699</v>
      </c>
      <c r="I2205" t="s">
        <v>4718</v>
      </c>
      <c r="J2205" s="17">
        <f t="shared" si="68"/>
        <v>33544</v>
      </c>
      <c r="K2205">
        <f t="shared" ca="1" si="69"/>
        <v>34</v>
      </c>
    </row>
    <row r="2206" spans="1:11" ht="15.75" customHeight="1">
      <c r="A2206" t="s">
        <v>281</v>
      </c>
      <c r="B2206">
        <v>1976</v>
      </c>
      <c r="C2206" t="s">
        <v>4711</v>
      </c>
      <c r="D2206">
        <v>15</v>
      </c>
      <c r="E2206">
        <v>2</v>
      </c>
      <c r="F2206" s="16">
        <v>38740.120000000003</v>
      </c>
      <c r="G2206" t="s">
        <v>4699</v>
      </c>
      <c r="H2206" t="s">
        <v>4699</v>
      </c>
      <c r="I2206" t="s">
        <v>4713</v>
      </c>
      <c r="J2206" s="17">
        <f t="shared" si="68"/>
        <v>27926</v>
      </c>
      <c r="K2206">
        <f t="shared" ca="1" si="69"/>
        <v>49</v>
      </c>
    </row>
    <row r="2207" spans="1:11" ht="15.75" customHeight="1">
      <c r="A2207" t="s">
        <v>279</v>
      </c>
      <c r="B2207">
        <v>1991</v>
      </c>
      <c r="C2207" t="s">
        <v>4710</v>
      </c>
      <c r="D2207">
        <v>8</v>
      </c>
      <c r="E2207">
        <v>3</v>
      </c>
      <c r="F2207" s="16">
        <v>38746.36</v>
      </c>
      <c r="G2207" t="s">
        <v>4698</v>
      </c>
      <c r="H2207" t="s">
        <v>4699</v>
      </c>
      <c r="I2207" t="s">
        <v>4713</v>
      </c>
      <c r="J2207" s="17">
        <f t="shared" si="68"/>
        <v>33550</v>
      </c>
      <c r="K2207">
        <f t="shared" ca="1" si="69"/>
        <v>34</v>
      </c>
    </row>
    <row r="2208" spans="1:11" ht="15.75" customHeight="1">
      <c r="A2208" t="s">
        <v>277</v>
      </c>
      <c r="B2208">
        <v>2004</v>
      </c>
      <c r="C2208" t="s">
        <v>4714</v>
      </c>
      <c r="D2208">
        <v>5</v>
      </c>
      <c r="E2208">
        <v>0</v>
      </c>
      <c r="F2208" s="16">
        <v>38792.69</v>
      </c>
      <c r="G2208" t="s">
        <v>4699</v>
      </c>
      <c r="H2208" t="s">
        <v>4699</v>
      </c>
      <c r="I2208" t="s">
        <v>4709</v>
      </c>
      <c r="J2208" s="17">
        <f t="shared" si="68"/>
        <v>38326</v>
      </c>
      <c r="K2208">
        <f t="shared" ca="1" si="69"/>
        <v>20</v>
      </c>
    </row>
    <row r="2209" spans="1:11" ht="15.75" customHeight="1">
      <c r="A2209" t="s">
        <v>275</v>
      </c>
      <c r="B2209">
        <v>1979</v>
      </c>
      <c r="C2209" t="s">
        <v>4714</v>
      </c>
      <c r="D2209">
        <v>3</v>
      </c>
      <c r="E2209">
        <v>2</v>
      </c>
      <c r="F2209" s="16">
        <v>38836.980000000003</v>
      </c>
      <c r="G2209" t="s">
        <v>4699</v>
      </c>
      <c r="H2209" t="s">
        <v>4698</v>
      </c>
      <c r="I2209" t="s">
        <v>4718</v>
      </c>
      <c r="J2209" s="17">
        <f t="shared" si="68"/>
        <v>29192</v>
      </c>
      <c r="K2209">
        <f t="shared" ca="1" si="69"/>
        <v>45</v>
      </c>
    </row>
    <row r="2210" spans="1:11" ht="15.75" customHeight="1">
      <c r="A2210" t="s">
        <v>273</v>
      </c>
      <c r="B2210">
        <v>1964</v>
      </c>
      <c r="C2210" t="s">
        <v>4711</v>
      </c>
      <c r="D2210">
        <v>6</v>
      </c>
      <c r="E2210">
        <v>0</v>
      </c>
      <c r="F2210" s="16">
        <v>38869.25</v>
      </c>
      <c r="G2210" t="s">
        <v>4699</v>
      </c>
      <c r="H2210" t="s">
        <v>4699</v>
      </c>
      <c r="I2210" t="s">
        <v>4718</v>
      </c>
      <c r="J2210" s="17">
        <f t="shared" si="68"/>
        <v>23534</v>
      </c>
      <c r="K2210">
        <f t="shared" ca="1" si="69"/>
        <v>61</v>
      </c>
    </row>
    <row r="2211" spans="1:11" ht="15.75" customHeight="1">
      <c r="A2211" t="s">
        <v>271</v>
      </c>
      <c r="B2211">
        <v>1967</v>
      </c>
      <c r="C2211" t="s">
        <v>4708</v>
      </c>
      <c r="D2211">
        <v>30</v>
      </c>
      <c r="E2211">
        <v>0</v>
      </c>
      <c r="F2211" s="16">
        <v>38893.360000000001</v>
      </c>
      <c r="G2211" t="s">
        <v>4698</v>
      </c>
      <c r="H2211" t="s">
        <v>4699</v>
      </c>
      <c r="I2211" t="s">
        <v>4718</v>
      </c>
      <c r="J2211" s="17">
        <f t="shared" si="68"/>
        <v>24683</v>
      </c>
      <c r="K2211">
        <f t="shared" ca="1" si="69"/>
        <v>58</v>
      </c>
    </row>
    <row r="2212" spans="1:11" ht="15.75" customHeight="1">
      <c r="A2212" t="s">
        <v>269</v>
      </c>
      <c r="B2212">
        <v>1987</v>
      </c>
      <c r="C2212" t="s">
        <v>4711</v>
      </c>
      <c r="D2212">
        <v>16</v>
      </c>
      <c r="E2212">
        <v>3</v>
      </c>
      <c r="F2212" s="16">
        <v>38924.04</v>
      </c>
      <c r="G2212" t="s">
        <v>4699</v>
      </c>
      <c r="H2212" t="s">
        <v>4699</v>
      </c>
      <c r="I2212" t="s">
        <v>4718</v>
      </c>
      <c r="J2212" s="17">
        <f t="shared" si="68"/>
        <v>31944</v>
      </c>
      <c r="K2212">
        <f t="shared" ca="1" si="69"/>
        <v>38</v>
      </c>
    </row>
    <row r="2213" spans="1:11" ht="15.75" customHeight="1">
      <c r="A2213" t="s">
        <v>267</v>
      </c>
      <c r="B2213">
        <v>1976</v>
      </c>
      <c r="C2213" t="s">
        <v>4714</v>
      </c>
      <c r="D2213">
        <v>15</v>
      </c>
      <c r="E2213">
        <v>2</v>
      </c>
      <c r="F2213" s="16">
        <v>38932.559999999998</v>
      </c>
      <c r="G2213" t="s">
        <v>4699</v>
      </c>
      <c r="H2213" t="s">
        <v>4700</v>
      </c>
      <c r="I2213" t="s">
        <v>4718</v>
      </c>
      <c r="J2213" s="17">
        <f t="shared" si="68"/>
        <v>28109</v>
      </c>
      <c r="K2213">
        <f t="shared" ca="1" si="69"/>
        <v>48</v>
      </c>
    </row>
    <row r="2214" spans="1:11" ht="15.75" customHeight="1">
      <c r="A2214" t="s">
        <v>265</v>
      </c>
      <c r="B2214">
        <v>1980</v>
      </c>
      <c r="C2214" t="s">
        <v>4712</v>
      </c>
      <c r="D2214">
        <v>24</v>
      </c>
      <c r="E2214">
        <v>2</v>
      </c>
      <c r="F2214" s="16">
        <v>38947.43</v>
      </c>
      <c r="G2214" t="s">
        <v>4699</v>
      </c>
      <c r="H2214" t="s">
        <v>4700</v>
      </c>
      <c r="I2214" t="s">
        <v>4718</v>
      </c>
      <c r="J2214" s="17">
        <f t="shared" si="68"/>
        <v>29488</v>
      </c>
      <c r="K2214">
        <f t="shared" ca="1" si="69"/>
        <v>45</v>
      </c>
    </row>
    <row r="2215" spans="1:11" ht="15.75" customHeight="1">
      <c r="A2215" t="s">
        <v>263</v>
      </c>
      <c r="B2215">
        <v>1978</v>
      </c>
      <c r="C2215" t="s">
        <v>4717</v>
      </c>
      <c r="D2215">
        <v>12</v>
      </c>
      <c r="E2215">
        <v>2</v>
      </c>
      <c r="F2215" s="16">
        <v>38998.550000000003</v>
      </c>
      <c r="G2215" t="s">
        <v>4698</v>
      </c>
      <c r="H2215" t="s">
        <v>4698</v>
      </c>
      <c r="I2215" t="s">
        <v>4718</v>
      </c>
      <c r="J2215" s="17">
        <f t="shared" si="68"/>
        <v>28775</v>
      </c>
      <c r="K2215">
        <f t="shared" ca="1" si="69"/>
        <v>47</v>
      </c>
    </row>
    <row r="2216" spans="1:11" ht="15.75" customHeight="1">
      <c r="A2216" t="s">
        <v>261</v>
      </c>
      <c r="B2216">
        <v>1985</v>
      </c>
      <c r="C2216" t="s">
        <v>4712</v>
      </c>
      <c r="D2216">
        <v>20</v>
      </c>
      <c r="E2216">
        <v>1</v>
      </c>
      <c r="F2216" s="16">
        <v>39047.29</v>
      </c>
      <c r="G2216" t="s">
        <v>4698</v>
      </c>
      <c r="H2216" t="s">
        <v>4700</v>
      </c>
      <c r="I2216" t="s">
        <v>4728</v>
      </c>
      <c r="J2216" s="17">
        <f t="shared" si="68"/>
        <v>31310</v>
      </c>
      <c r="K2216">
        <f t="shared" ca="1" si="69"/>
        <v>40</v>
      </c>
    </row>
    <row r="2217" spans="1:11" ht="15.75" customHeight="1">
      <c r="A2217" t="s">
        <v>259</v>
      </c>
      <c r="B2217">
        <v>1982</v>
      </c>
      <c r="C2217" t="s">
        <v>4716</v>
      </c>
      <c r="D2217">
        <v>4</v>
      </c>
      <c r="E2217">
        <v>1</v>
      </c>
      <c r="F2217" s="16">
        <v>39125.33</v>
      </c>
      <c r="G2217" t="s">
        <v>4698</v>
      </c>
      <c r="H2217" t="s">
        <v>4698</v>
      </c>
      <c r="I2217" t="s">
        <v>4721</v>
      </c>
      <c r="J2217" s="17">
        <f t="shared" si="68"/>
        <v>30167</v>
      </c>
      <c r="K2217">
        <f t="shared" ca="1" si="69"/>
        <v>43</v>
      </c>
    </row>
    <row r="2218" spans="1:11" ht="15.75" customHeight="1">
      <c r="A2218" t="s">
        <v>257</v>
      </c>
      <c r="B2218">
        <v>1962</v>
      </c>
      <c r="C2218" t="s">
        <v>4708</v>
      </c>
      <c r="D2218">
        <v>7</v>
      </c>
      <c r="E2218">
        <v>0</v>
      </c>
      <c r="F2218" s="16">
        <v>39221.120000000003</v>
      </c>
      <c r="G2218" t="s">
        <v>4699</v>
      </c>
      <c r="H2218" t="s">
        <v>4698</v>
      </c>
      <c r="I2218" t="s">
        <v>4718</v>
      </c>
      <c r="J2218" s="17">
        <f t="shared" si="68"/>
        <v>22834</v>
      </c>
      <c r="K2218">
        <f t="shared" ca="1" si="69"/>
        <v>63</v>
      </c>
    </row>
    <row r="2219" spans="1:11" ht="15.75" customHeight="1">
      <c r="A2219" t="s">
        <v>255</v>
      </c>
      <c r="B2219">
        <v>1992</v>
      </c>
      <c r="C2219" t="s">
        <v>4710</v>
      </c>
      <c r="D2219">
        <v>30</v>
      </c>
      <c r="E2219">
        <v>2</v>
      </c>
      <c r="F2219" s="16">
        <v>39241.440000000002</v>
      </c>
      <c r="G2219" t="s">
        <v>4698</v>
      </c>
      <c r="H2219" t="s">
        <v>4700</v>
      </c>
      <c r="I2219" t="s">
        <v>4718</v>
      </c>
      <c r="J2219" s="17">
        <f t="shared" si="68"/>
        <v>33938</v>
      </c>
      <c r="K2219">
        <f t="shared" ca="1" si="69"/>
        <v>32</v>
      </c>
    </row>
    <row r="2220" spans="1:11" ht="15.75" customHeight="1">
      <c r="A2220" t="s">
        <v>253</v>
      </c>
      <c r="B2220">
        <v>1982</v>
      </c>
      <c r="C2220" t="s">
        <v>4716</v>
      </c>
      <c r="D2220">
        <v>16</v>
      </c>
      <c r="E2220">
        <v>3</v>
      </c>
      <c r="F2220" s="16">
        <v>39315.279999999999</v>
      </c>
      <c r="G2220" t="s">
        <v>4699</v>
      </c>
      <c r="H2220" t="s">
        <v>4700</v>
      </c>
      <c r="I2220" t="s">
        <v>4718</v>
      </c>
      <c r="J2220" s="17">
        <f t="shared" si="68"/>
        <v>30179</v>
      </c>
      <c r="K2220">
        <f t="shared" ca="1" si="69"/>
        <v>43</v>
      </c>
    </row>
    <row r="2221" spans="1:11" ht="15.75" customHeight="1">
      <c r="A2221" t="s">
        <v>251</v>
      </c>
      <c r="B2221">
        <v>1978</v>
      </c>
      <c r="C2221" t="s">
        <v>4716</v>
      </c>
      <c r="D2221">
        <v>5</v>
      </c>
      <c r="E2221">
        <v>2</v>
      </c>
      <c r="F2221" s="16">
        <v>39352.6</v>
      </c>
      <c r="G2221" t="s">
        <v>4699</v>
      </c>
      <c r="H2221" t="s">
        <v>4700</v>
      </c>
      <c r="I2221" t="s">
        <v>4718</v>
      </c>
      <c r="J2221" s="17">
        <f t="shared" si="68"/>
        <v>28707</v>
      </c>
      <c r="K2221">
        <f t="shared" ca="1" si="69"/>
        <v>47</v>
      </c>
    </row>
    <row r="2222" spans="1:11" ht="15.75" customHeight="1">
      <c r="A2222" t="s">
        <v>249</v>
      </c>
      <c r="B2222">
        <v>1966</v>
      </c>
      <c r="C2222" t="s">
        <v>4711</v>
      </c>
      <c r="D2222">
        <v>24</v>
      </c>
      <c r="E2222">
        <v>0</v>
      </c>
      <c r="F2222" s="16">
        <v>39396.86</v>
      </c>
      <c r="G2222" t="s">
        <v>4699</v>
      </c>
      <c r="H2222" t="s">
        <v>4699</v>
      </c>
      <c r="I2222" t="s">
        <v>4718</v>
      </c>
      <c r="J2222" s="17">
        <f t="shared" si="68"/>
        <v>24282</v>
      </c>
      <c r="K2222">
        <f t="shared" ca="1" si="69"/>
        <v>59</v>
      </c>
    </row>
    <row r="2223" spans="1:11" ht="15.75" customHeight="1">
      <c r="A2223" t="s">
        <v>247</v>
      </c>
      <c r="B2223">
        <v>1978</v>
      </c>
      <c r="C2223" t="s">
        <v>4708</v>
      </c>
      <c r="D2223">
        <v>12</v>
      </c>
      <c r="E2223">
        <v>1</v>
      </c>
      <c r="F2223" s="16">
        <v>39556.49</v>
      </c>
      <c r="G2223" t="s">
        <v>4698</v>
      </c>
      <c r="H2223" t="s">
        <v>4699</v>
      </c>
      <c r="I2223" t="s">
        <v>4719</v>
      </c>
      <c r="J2223" s="17">
        <f t="shared" si="68"/>
        <v>28683</v>
      </c>
      <c r="K2223">
        <f t="shared" ca="1" si="69"/>
        <v>47</v>
      </c>
    </row>
    <row r="2224" spans="1:11" ht="15.75" customHeight="1">
      <c r="A2224" t="s">
        <v>245</v>
      </c>
      <c r="B2224">
        <v>1981</v>
      </c>
      <c r="C2224" t="s">
        <v>4708</v>
      </c>
      <c r="D2224">
        <v>5</v>
      </c>
      <c r="E2224">
        <v>3</v>
      </c>
      <c r="F2224" s="16">
        <v>39597.410000000003</v>
      </c>
      <c r="G2224" t="s">
        <v>4698</v>
      </c>
      <c r="H2224" t="s">
        <v>4699</v>
      </c>
      <c r="I2224" t="s">
        <v>4728</v>
      </c>
      <c r="J2224" s="17">
        <f t="shared" si="68"/>
        <v>29772</v>
      </c>
      <c r="K2224">
        <f t="shared" ca="1" si="69"/>
        <v>44</v>
      </c>
    </row>
    <row r="2225" spans="1:11" ht="15.75" customHeight="1">
      <c r="A2225" t="s">
        <v>243</v>
      </c>
      <c r="B2225">
        <v>1995</v>
      </c>
      <c r="C2225" t="s">
        <v>4716</v>
      </c>
      <c r="D2225">
        <v>7</v>
      </c>
      <c r="E2225">
        <v>0</v>
      </c>
      <c r="F2225" s="16">
        <v>39611.760000000002</v>
      </c>
      <c r="G2225" t="s">
        <v>4698</v>
      </c>
      <c r="H2225" t="s">
        <v>4700</v>
      </c>
      <c r="I2225" t="s">
        <v>4709</v>
      </c>
      <c r="J2225" s="17">
        <f t="shared" si="68"/>
        <v>34918</v>
      </c>
      <c r="K2225">
        <f t="shared" ca="1" si="69"/>
        <v>30</v>
      </c>
    </row>
    <row r="2226" spans="1:11" ht="15.75" customHeight="1">
      <c r="A2226" t="s">
        <v>241</v>
      </c>
      <c r="B2226">
        <v>1977</v>
      </c>
      <c r="C2226" t="s">
        <v>4714</v>
      </c>
      <c r="D2226">
        <v>17</v>
      </c>
      <c r="E2226">
        <v>2</v>
      </c>
      <c r="F2226" s="16">
        <v>39670.44</v>
      </c>
      <c r="G2226" t="s">
        <v>4699</v>
      </c>
      <c r="H2226" t="s">
        <v>4698</v>
      </c>
      <c r="I2226" t="s">
        <v>4713</v>
      </c>
      <c r="J2226" s="17">
        <f t="shared" si="68"/>
        <v>28476</v>
      </c>
      <c r="K2226">
        <f t="shared" ca="1" si="69"/>
        <v>47</v>
      </c>
    </row>
    <row r="2227" spans="1:11" ht="15.75" customHeight="1">
      <c r="A2227" t="s">
        <v>239</v>
      </c>
      <c r="B2227">
        <v>1968</v>
      </c>
      <c r="C2227" t="s">
        <v>4712</v>
      </c>
      <c r="D2227">
        <v>29</v>
      </c>
      <c r="E2227">
        <v>0</v>
      </c>
      <c r="F2227" s="16">
        <v>39721.93</v>
      </c>
      <c r="G2227" t="s">
        <v>4699</v>
      </c>
      <c r="H2227" t="s">
        <v>4699</v>
      </c>
      <c r="I2227" t="s">
        <v>4718</v>
      </c>
      <c r="J2227" s="17">
        <f t="shared" si="68"/>
        <v>25110</v>
      </c>
      <c r="K2227">
        <f t="shared" ca="1" si="69"/>
        <v>57</v>
      </c>
    </row>
    <row r="2228" spans="1:11" ht="15.75" customHeight="1">
      <c r="A2228" t="s">
        <v>237</v>
      </c>
      <c r="B2228">
        <v>2003</v>
      </c>
      <c r="C2228" t="s">
        <v>4708</v>
      </c>
      <c r="D2228">
        <v>16</v>
      </c>
      <c r="E2228">
        <v>0</v>
      </c>
      <c r="F2228" s="16">
        <v>39722.75</v>
      </c>
      <c r="G2228" t="s">
        <v>4698</v>
      </c>
      <c r="H2228" t="s">
        <v>4698</v>
      </c>
      <c r="I2228" t="s">
        <v>4709</v>
      </c>
      <c r="J2228" s="17">
        <f t="shared" si="68"/>
        <v>37818</v>
      </c>
      <c r="K2228">
        <f t="shared" ca="1" si="69"/>
        <v>22</v>
      </c>
    </row>
    <row r="2229" spans="1:11" ht="15.75" customHeight="1">
      <c r="A2229" t="s">
        <v>235</v>
      </c>
      <c r="B2229">
        <v>1977</v>
      </c>
      <c r="C2229" t="s">
        <v>4716</v>
      </c>
      <c r="D2229">
        <v>12</v>
      </c>
      <c r="E2229">
        <v>1</v>
      </c>
      <c r="F2229" s="16">
        <v>39725.519999999997</v>
      </c>
      <c r="G2229" t="s">
        <v>4699</v>
      </c>
      <c r="H2229" t="s">
        <v>4698</v>
      </c>
      <c r="I2229" t="s">
        <v>4713</v>
      </c>
      <c r="J2229" s="17">
        <f t="shared" si="68"/>
        <v>28349</v>
      </c>
      <c r="K2229">
        <f t="shared" ca="1" si="69"/>
        <v>48</v>
      </c>
    </row>
    <row r="2230" spans="1:11" ht="15.75" customHeight="1">
      <c r="A2230" t="s">
        <v>233</v>
      </c>
      <c r="B2230">
        <v>1973</v>
      </c>
      <c r="C2230" t="s">
        <v>4714</v>
      </c>
      <c r="D2230">
        <v>17</v>
      </c>
      <c r="E2230">
        <v>0</v>
      </c>
      <c r="F2230" s="16">
        <v>39727.61</v>
      </c>
      <c r="G2230" t="s">
        <v>4698</v>
      </c>
      <c r="H2230" t="s">
        <v>4699</v>
      </c>
      <c r="I2230" t="s">
        <v>4718</v>
      </c>
      <c r="J2230" s="17">
        <f t="shared" si="68"/>
        <v>27015</v>
      </c>
      <c r="K2230">
        <f t="shared" ca="1" si="69"/>
        <v>51</v>
      </c>
    </row>
    <row r="2231" spans="1:11" ht="15.75" customHeight="1">
      <c r="A2231" t="s">
        <v>231</v>
      </c>
      <c r="B2231">
        <v>1987</v>
      </c>
      <c r="C2231" t="s">
        <v>4708</v>
      </c>
      <c r="D2231">
        <v>24</v>
      </c>
      <c r="E2231">
        <v>1</v>
      </c>
      <c r="F2231" s="16">
        <v>39774.28</v>
      </c>
      <c r="G2231" t="s">
        <v>4698</v>
      </c>
      <c r="H2231" t="s">
        <v>4698</v>
      </c>
      <c r="I2231" t="s">
        <v>4726</v>
      </c>
      <c r="J2231" s="17">
        <f t="shared" si="68"/>
        <v>31982</v>
      </c>
      <c r="K2231">
        <f t="shared" ca="1" si="69"/>
        <v>38</v>
      </c>
    </row>
    <row r="2232" spans="1:11" ht="15.75" customHeight="1">
      <c r="A2232" t="s">
        <v>229</v>
      </c>
      <c r="B2232">
        <v>1985</v>
      </c>
      <c r="C2232" t="s">
        <v>4708</v>
      </c>
      <c r="D2232">
        <v>17</v>
      </c>
      <c r="E2232">
        <v>2</v>
      </c>
      <c r="F2232" s="16">
        <v>39836.519999999997</v>
      </c>
      <c r="G2232" t="s">
        <v>4699</v>
      </c>
      <c r="H2232" t="s">
        <v>4698</v>
      </c>
      <c r="I2232" t="s">
        <v>4718</v>
      </c>
      <c r="J2232" s="17">
        <f t="shared" si="68"/>
        <v>31245</v>
      </c>
      <c r="K2232">
        <f t="shared" ca="1" si="69"/>
        <v>40</v>
      </c>
    </row>
    <row r="2233" spans="1:11" ht="15.75" customHeight="1">
      <c r="A2233" t="s">
        <v>227</v>
      </c>
      <c r="B2233">
        <v>1983</v>
      </c>
      <c r="C2233" t="s">
        <v>4711</v>
      </c>
      <c r="D2233">
        <v>1</v>
      </c>
      <c r="E2233">
        <v>3</v>
      </c>
      <c r="F2233" s="16">
        <v>39865.699999999997</v>
      </c>
      <c r="G2233" t="s">
        <v>4699</v>
      </c>
      <c r="H2233" t="s">
        <v>4699</v>
      </c>
      <c r="I2233" t="s">
        <v>4718</v>
      </c>
      <c r="J2233" s="17">
        <f t="shared" si="68"/>
        <v>30468</v>
      </c>
      <c r="K2233">
        <f t="shared" ca="1" si="69"/>
        <v>42</v>
      </c>
    </row>
    <row r="2234" spans="1:11" ht="15.75" customHeight="1">
      <c r="A2234" t="s">
        <v>225</v>
      </c>
      <c r="B2234">
        <v>1985</v>
      </c>
      <c r="C2234" t="s">
        <v>4716</v>
      </c>
      <c r="D2234">
        <v>22</v>
      </c>
      <c r="E2234">
        <v>1</v>
      </c>
      <c r="F2234" s="16">
        <v>39871.699999999997</v>
      </c>
      <c r="G2234" t="s">
        <v>4698</v>
      </c>
      <c r="H2234" t="s">
        <v>4699</v>
      </c>
      <c r="I2234" t="s">
        <v>4709</v>
      </c>
      <c r="J2234" s="17">
        <f t="shared" si="68"/>
        <v>31281</v>
      </c>
      <c r="K2234">
        <f t="shared" ca="1" si="69"/>
        <v>40</v>
      </c>
    </row>
    <row r="2235" spans="1:11" ht="15.75" customHeight="1">
      <c r="A2235" t="s">
        <v>223</v>
      </c>
      <c r="B2235">
        <v>1975</v>
      </c>
      <c r="C2235" t="s">
        <v>4714</v>
      </c>
      <c r="D2235">
        <v>2</v>
      </c>
      <c r="E2235">
        <v>1</v>
      </c>
      <c r="F2235" s="16">
        <v>39963.120000000003</v>
      </c>
      <c r="G2235" t="s">
        <v>4699</v>
      </c>
      <c r="H2235" t="s">
        <v>4699</v>
      </c>
      <c r="I2235" t="s">
        <v>4718</v>
      </c>
      <c r="J2235" s="17">
        <f t="shared" si="68"/>
        <v>27730</v>
      </c>
      <c r="K2235">
        <f t="shared" ca="1" si="69"/>
        <v>49</v>
      </c>
    </row>
    <row r="2236" spans="1:11" ht="15.75" customHeight="1">
      <c r="A2236" t="s">
        <v>221</v>
      </c>
      <c r="B2236">
        <v>1987</v>
      </c>
      <c r="C2236" t="s">
        <v>4716</v>
      </c>
      <c r="D2236">
        <v>8</v>
      </c>
      <c r="E2236">
        <v>3</v>
      </c>
      <c r="F2236" s="16">
        <v>39983.43</v>
      </c>
      <c r="G2236" t="s">
        <v>4699</v>
      </c>
      <c r="H2236" t="s">
        <v>4700</v>
      </c>
      <c r="I2236" t="s">
        <v>4713</v>
      </c>
      <c r="J2236" s="17">
        <f t="shared" si="68"/>
        <v>31997</v>
      </c>
      <c r="K2236">
        <f t="shared" ca="1" si="69"/>
        <v>38</v>
      </c>
    </row>
    <row r="2237" spans="1:11" ht="15.75" customHeight="1">
      <c r="A2237" t="s">
        <v>219</v>
      </c>
      <c r="B2237">
        <v>1982</v>
      </c>
      <c r="C2237" t="s">
        <v>4714</v>
      </c>
      <c r="D2237">
        <v>25</v>
      </c>
      <c r="E2237">
        <v>2</v>
      </c>
      <c r="F2237" s="16">
        <v>40003.33</v>
      </c>
      <c r="G2237" t="s">
        <v>4698</v>
      </c>
      <c r="H2237" t="s">
        <v>4698</v>
      </c>
      <c r="I2237" t="s">
        <v>4713</v>
      </c>
      <c r="J2237" s="17">
        <f t="shared" si="68"/>
        <v>30310</v>
      </c>
      <c r="K2237">
        <f t="shared" ca="1" si="69"/>
        <v>42</v>
      </c>
    </row>
    <row r="2238" spans="1:11" ht="15.75" customHeight="1">
      <c r="A2238" t="s">
        <v>217</v>
      </c>
      <c r="B2238">
        <v>1978</v>
      </c>
      <c r="C2238" t="s">
        <v>4714</v>
      </c>
      <c r="D2238">
        <v>20</v>
      </c>
      <c r="E2238">
        <v>2</v>
      </c>
      <c r="F2238" s="16">
        <v>40054.730000000003</v>
      </c>
      <c r="G2238" t="s">
        <v>4698</v>
      </c>
      <c r="H2238" t="s">
        <v>4700</v>
      </c>
      <c r="I2238" t="s">
        <v>4718</v>
      </c>
      <c r="J2238" s="17">
        <f t="shared" si="68"/>
        <v>28844</v>
      </c>
      <c r="K2238">
        <f t="shared" ca="1" si="69"/>
        <v>46</v>
      </c>
    </row>
    <row r="2239" spans="1:11" ht="15.75" customHeight="1">
      <c r="A2239" t="s">
        <v>215</v>
      </c>
      <c r="B2239">
        <v>1966</v>
      </c>
      <c r="C2239" t="s">
        <v>4716</v>
      </c>
      <c r="D2239">
        <v>12</v>
      </c>
      <c r="E2239">
        <v>0</v>
      </c>
      <c r="F2239" s="16">
        <v>40069.440000000002</v>
      </c>
      <c r="G2239" t="s">
        <v>4698</v>
      </c>
      <c r="H2239" t="s">
        <v>4700</v>
      </c>
      <c r="I2239" t="s">
        <v>4718</v>
      </c>
      <c r="J2239" s="17">
        <f t="shared" si="68"/>
        <v>24331</v>
      </c>
      <c r="K2239">
        <f t="shared" ca="1" si="69"/>
        <v>59</v>
      </c>
    </row>
    <row r="2240" spans="1:11" ht="15.75" customHeight="1">
      <c r="A2240" t="s">
        <v>213</v>
      </c>
      <c r="B2240">
        <v>1983</v>
      </c>
      <c r="C2240" t="s">
        <v>4717</v>
      </c>
      <c r="D2240">
        <v>14</v>
      </c>
      <c r="E2240">
        <v>2</v>
      </c>
      <c r="F2240" s="16">
        <v>40103.89</v>
      </c>
      <c r="G2240" t="s">
        <v>4698</v>
      </c>
      <c r="H2240" t="s">
        <v>4699</v>
      </c>
      <c r="I2240" t="s">
        <v>4718</v>
      </c>
      <c r="J2240" s="17">
        <f t="shared" si="68"/>
        <v>30603</v>
      </c>
      <c r="K2240">
        <f t="shared" ca="1" si="69"/>
        <v>42</v>
      </c>
    </row>
    <row r="2241" spans="1:11" ht="15.75" customHeight="1">
      <c r="A2241" t="s">
        <v>211</v>
      </c>
      <c r="B2241">
        <v>1985</v>
      </c>
      <c r="C2241" t="s">
        <v>4717</v>
      </c>
      <c r="D2241">
        <v>21</v>
      </c>
      <c r="E2241">
        <v>4</v>
      </c>
      <c r="F2241" s="16">
        <v>40182.25</v>
      </c>
      <c r="G2241" t="s">
        <v>4698</v>
      </c>
      <c r="H2241" t="s">
        <v>4699</v>
      </c>
      <c r="I2241" t="s">
        <v>4718</v>
      </c>
      <c r="J2241" s="17">
        <f t="shared" si="68"/>
        <v>31341</v>
      </c>
      <c r="K2241">
        <f t="shared" ca="1" si="69"/>
        <v>40</v>
      </c>
    </row>
    <row r="2242" spans="1:11" ht="15.75" customHeight="1">
      <c r="A2242" t="s">
        <v>209</v>
      </c>
      <c r="B2242">
        <v>1979</v>
      </c>
      <c r="C2242" t="s">
        <v>4716</v>
      </c>
      <c r="D2242">
        <v>18</v>
      </c>
      <c r="E2242">
        <v>2</v>
      </c>
      <c r="F2242" s="16">
        <v>40204.83</v>
      </c>
      <c r="G2242" t="s">
        <v>4698</v>
      </c>
      <c r="H2242" t="s">
        <v>4700</v>
      </c>
      <c r="I2242" t="s">
        <v>4713</v>
      </c>
      <c r="J2242" s="17">
        <f t="shared" si="68"/>
        <v>29085</v>
      </c>
      <c r="K2242">
        <f t="shared" ca="1" si="69"/>
        <v>46</v>
      </c>
    </row>
    <row r="2243" spans="1:11" ht="15.75" customHeight="1">
      <c r="A2243" t="s">
        <v>207</v>
      </c>
      <c r="B2243">
        <v>1981</v>
      </c>
      <c r="C2243" t="s">
        <v>4708</v>
      </c>
      <c r="D2243">
        <v>28</v>
      </c>
      <c r="E2243">
        <v>1</v>
      </c>
      <c r="F2243" s="16">
        <v>40208.559999999998</v>
      </c>
      <c r="G2243" t="s">
        <v>4698</v>
      </c>
      <c r="H2243" t="s">
        <v>4699</v>
      </c>
      <c r="I2243" t="s">
        <v>4718</v>
      </c>
      <c r="J2243" s="17">
        <f t="shared" ref="J2243:J2306" si="70">DATEVALUE(D2243&amp;"-"&amp;C2243&amp;" -"&amp;B2243)</f>
        <v>29795</v>
      </c>
      <c r="K2243">
        <f t="shared" ref="K2243:K2306" ca="1" si="71">DATEDIF(J2243,TODAY(),"Y")</f>
        <v>44</v>
      </c>
    </row>
    <row r="2244" spans="1:11" ht="15.75" customHeight="1">
      <c r="A2244" t="s">
        <v>205</v>
      </c>
      <c r="B2244">
        <v>1981</v>
      </c>
      <c r="C2244" t="s">
        <v>4717</v>
      </c>
      <c r="D2244">
        <v>4</v>
      </c>
      <c r="E2244">
        <v>1</v>
      </c>
      <c r="F2244" s="16">
        <v>40273.65</v>
      </c>
      <c r="G2244" t="s">
        <v>4698</v>
      </c>
      <c r="H2244" t="s">
        <v>4700</v>
      </c>
      <c r="I2244" t="s">
        <v>4709</v>
      </c>
      <c r="J2244" s="17">
        <f t="shared" si="70"/>
        <v>29863</v>
      </c>
      <c r="K2244">
        <f t="shared" ca="1" si="71"/>
        <v>44</v>
      </c>
    </row>
    <row r="2245" spans="1:11" ht="15.75" customHeight="1">
      <c r="A2245" t="s">
        <v>203</v>
      </c>
      <c r="B2245">
        <v>1977</v>
      </c>
      <c r="C2245" t="s">
        <v>4711</v>
      </c>
      <c r="D2245">
        <v>27</v>
      </c>
      <c r="E2245">
        <v>2</v>
      </c>
      <c r="F2245" s="16">
        <v>40284.379999999997</v>
      </c>
      <c r="G2245" t="s">
        <v>4698</v>
      </c>
      <c r="H2245" t="s">
        <v>4700</v>
      </c>
      <c r="I2245" t="s">
        <v>4713</v>
      </c>
      <c r="J2245" s="17">
        <f t="shared" si="70"/>
        <v>28303</v>
      </c>
      <c r="K2245">
        <f t="shared" ca="1" si="71"/>
        <v>48</v>
      </c>
    </row>
    <row r="2246" spans="1:11" ht="15.75" customHeight="1">
      <c r="A2246" t="s">
        <v>201</v>
      </c>
      <c r="B2246">
        <v>1962</v>
      </c>
      <c r="C2246" t="s">
        <v>4712</v>
      </c>
      <c r="D2246">
        <v>4</v>
      </c>
      <c r="E2246">
        <v>0</v>
      </c>
      <c r="F2246" s="16">
        <v>40309.93</v>
      </c>
      <c r="G2246" t="s">
        <v>4698</v>
      </c>
      <c r="H2246" t="s">
        <v>4700</v>
      </c>
      <c r="I2246" t="s">
        <v>4718</v>
      </c>
      <c r="J2246" s="17">
        <f t="shared" si="70"/>
        <v>22893</v>
      </c>
      <c r="K2246">
        <f t="shared" ca="1" si="71"/>
        <v>63</v>
      </c>
    </row>
    <row r="2247" spans="1:11" ht="15.75" customHeight="1">
      <c r="A2247" t="s">
        <v>199</v>
      </c>
      <c r="B2247">
        <v>1966</v>
      </c>
      <c r="C2247" t="s">
        <v>4716</v>
      </c>
      <c r="D2247">
        <v>12</v>
      </c>
      <c r="E2247">
        <v>0</v>
      </c>
      <c r="F2247" s="16">
        <v>40373.74</v>
      </c>
      <c r="G2247" t="s">
        <v>4698</v>
      </c>
      <c r="H2247" t="s">
        <v>4700</v>
      </c>
      <c r="I2247" t="s">
        <v>4718</v>
      </c>
      <c r="J2247" s="17">
        <f t="shared" si="70"/>
        <v>24331</v>
      </c>
      <c r="K2247">
        <f t="shared" ca="1" si="71"/>
        <v>59</v>
      </c>
    </row>
    <row r="2248" spans="1:11" ht="15.75" customHeight="1">
      <c r="A2248" t="s">
        <v>197</v>
      </c>
      <c r="B2248">
        <v>1985</v>
      </c>
      <c r="C2248" t="s">
        <v>4710</v>
      </c>
      <c r="D2248">
        <v>3</v>
      </c>
      <c r="E2248">
        <v>0</v>
      </c>
      <c r="F2248" s="16">
        <v>40419.019999999997</v>
      </c>
      <c r="G2248" t="s">
        <v>4698</v>
      </c>
      <c r="H2248" t="s">
        <v>4699</v>
      </c>
      <c r="I2248" t="s">
        <v>4709</v>
      </c>
      <c r="J2248" s="17">
        <f t="shared" si="70"/>
        <v>31354</v>
      </c>
      <c r="K2248">
        <f t="shared" ca="1" si="71"/>
        <v>40</v>
      </c>
    </row>
    <row r="2249" spans="1:11" ht="15.75" customHeight="1">
      <c r="A2249" t="s">
        <v>195</v>
      </c>
      <c r="B2249">
        <v>1975</v>
      </c>
      <c r="C2249" t="s">
        <v>4708</v>
      </c>
      <c r="D2249">
        <v>10</v>
      </c>
      <c r="E2249">
        <v>1</v>
      </c>
      <c r="F2249" s="16">
        <v>40590.550000000003</v>
      </c>
      <c r="G2249" t="s">
        <v>4698</v>
      </c>
      <c r="H2249" t="s">
        <v>4700</v>
      </c>
      <c r="I2249" t="s">
        <v>4713</v>
      </c>
      <c r="J2249" s="17">
        <f t="shared" si="70"/>
        <v>27585</v>
      </c>
      <c r="K2249">
        <f t="shared" ca="1" si="71"/>
        <v>50</v>
      </c>
    </row>
    <row r="2250" spans="1:11" ht="15.75" customHeight="1">
      <c r="A2250" t="s">
        <v>193</v>
      </c>
      <c r="B2250">
        <v>1970</v>
      </c>
      <c r="C2250" t="s">
        <v>4712</v>
      </c>
      <c r="D2250">
        <v>25</v>
      </c>
      <c r="E2250">
        <v>0</v>
      </c>
      <c r="F2250" s="16">
        <v>40692.910000000003</v>
      </c>
      <c r="G2250" t="s">
        <v>4698</v>
      </c>
      <c r="H2250" t="s">
        <v>4698</v>
      </c>
      <c r="I2250" t="s">
        <v>4718</v>
      </c>
      <c r="J2250" s="17">
        <f t="shared" si="70"/>
        <v>25836</v>
      </c>
      <c r="K2250">
        <f t="shared" ca="1" si="71"/>
        <v>55</v>
      </c>
    </row>
    <row r="2251" spans="1:11" ht="15.75" customHeight="1">
      <c r="A2251" t="s">
        <v>191</v>
      </c>
      <c r="B2251">
        <v>1976</v>
      </c>
      <c r="C2251" t="s">
        <v>4714</v>
      </c>
      <c r="D2251">
        <v>26</v>
      </c>
      <c r="E2251">
        <v>3</v>
      </c>
      <c r="F2251" s="16">
        <v>40720.550000000003</v>
      </c>
      <c r="G2251" t="s">
        <v>4698</v>
      </c>
      <c r="H2251" t="s">
        <v>4700</v>
      </c>
      <c r="I2251" t="s">
        <v>4713</v>
      </c>
      <c r="J2251" s="17">
        <f t="shared" si="70"/>
        <v>28120</v>
      </c>
      <c r="K2251">
        <f t="shared" ca="1" si="71"/>
        <v>48</v>
      </c>
    </row>
    <row r="2252" spans="1:11" ht="15.75" customHeight="1">
      <c r="A2252" t="s">
        <v>189</v>
      </c>
      <c r="B2252">
        <v>1972</v>
      </c>
      <c r="C2252" t="s">
        <v>4711</v>
      </c>
      <c r="D2252">
        <v>10</v>
      </c>
      <c r="E2252">
        <v>0</v>
      </c>
      <c r="F2252" s="16">
        <v>40817.85</v>
      </c>
      <c r="G2252" t="s">
        <v>4698</v>
      </c>
      <c r="H2252" t="s">
        <v>4700</v>
      </c>
      <c r="I2252" t="s">
        <v>4718</v>
      </c>
      <c r="J2252" s="17">
        <f t="shared" si="70"/>
        <v>26460</v>
      </c>
      <c r="K2252">
        <f t="shared" ca="1" si="71"/>
        <v>53</v>
      </c>
    </row>
    <row r="2253" spans="1:11" ht="15.75" customHeight="1">
      <c r="A2253" t="s">
        <v>187</v>
      </c>
      <c r="B2253">
        <v>1999</v>
      </c>
      <c r="C2253" t="s">
        <v>4708</v>
      </c>
      <c r="D2253">
        <v>2</v>
      </c>
      <c r="E2253">
        <v>1</v>
      </c>
      <c r="F2253" s="16">
        <v>40904.199999999997</v>
      </c>
      <c r="G2253" t="s">
        <v>4698</v>
      </c>
      <c r="H2253" t="s">
        <v>4698</v>
      </c>
      <c r="I2253" t="s">
        <v>4724</v>
      </c>
      <c r="J2253" s="17">
        <f t="shared" si="70"/>
        <v>36343</v>
      </c>
      <c r="K2253">
        <f t="shared" ca="1" si="71"/>
        <v>26</v>
      </c>
    </row>
    <row r="2254" spans="1:11" ht="15.75" customHeight="1">
      <c r="A2254" t="s">
        <v>185</v>
      </c>
      <c r="B2254">
        <v>1992</v>
      </c>
      <c r="C2254" t="s">
        <v>4716</v>
      </c>
      <c r="D2254">
        <v>4</v>
      </c>
      <c r="E2254">
        <v>3</v>
      </c>
      <c r="F2254" s="16">
        <v>40932.43</v>
      </c>
      <c r="G2254" t="s">
        <v>4698</v>
      </c>
      <c r="H2254" t="s">
        <v>4699</v>
      </c>
      <c r="I2254" t="s">
        <v>4709</v>
      </c>
      <c r="J2254" s="17">
        <f t="shared" si="70"/>
        <v>33820</v>
      </c>
      <c r="K2254">
        <f t="shared" ca="1" si="71"/>
        <v>33</v>
      </c>
    </row>
    <row r="2255" spans="1:11" ht="15.75" customHeight="1">
      <c r="A2255" t="s">
        <v>183</v>
      </c>
      <c r="B2255">
        <v>1979</v>
      </c>
      <c r="C2255" t="s">
        <v>4712</v>
      </c>
      <c r="D2255">
        <v>16</v>
      </c>
      <c r="E2255">
        <v>3</v>
      </c>
      <c r="F2255" s="16">
        <v>40941.29</v>
      </c>
      <c r="G2255" t="s">
        <v>4698</v>
      </c>
      <c r="H2255" t="s">
        <v>4699</v>
      </c>
      <c r="I2255" t="s">
        <v>4709</v>
      </c>
      <c r="J2255" s="17">
        <f t="shared" si="70"/>
        <v>29114</v>
      </c>
      <c r="K2255">
        <f t="shared" ca="1" si="71"/>
        <v>46</v>
      </c>
    </row>
    <row r="2256" spans="1:11" ht="15.75" customHeight="1">
      <c r="A2256" t="s">
        <v>181</v>
      </c>
      <c r="B2256">
        <v>1983</v>
      </c>
      <c r="C2256" t="s">
        <v>4712</v>
      </c>
      <c r="D2256">
        <v>8</v>
      </c>
      <c r="E2256">
        <v>3</v>
      </c>
      <c r="F2256" s="16">
        <v>40961.29</v>
      </c>
      <c r="G2256" t="s">
        <v>4698</v>
      </c>
      <c r="H2256" t="s">
        <v>4699</v>
      </c>
      <c r="I2256" t="s">
        <v>4718</v>
      </c>
      <c r="J2256" s="17">
        <f t="shared" si="70"/>
        <v>30567</v>
      </c>
      <c r="K2256">
        <f t="shared" ca="1" si="71"/>
        <v>42</v>
      </c>
    </row>
    <row r="2257" spans="1:11" ht="15.75" customHeight="1">
      <c r="A2257" t="s">
        <v>179</v>
      </c>
      <c r="B2257">
        <v>1974</v>
      </c>
      <c r="C2257" t="s">
        <v>4711</v>
      </c>
      <c r="D2257">
        <v>5</v>
      </c>
      <c r="E2257">
        <v>0</v>
      </c>
      <c r="F2257" s="16">
        <v>40974.160000000003</v>
      </c>
      <c r="G2257" t="s">
        <v>4698</v>
      </c>
      <c r="H2257" t="s">
        <v>4699</v>
      </c>
      <c r="I2257" t="s">
        <v>4709</v>
      </c>
      <c r="J2257" s="17">
        <f t="shared" si="70"/>
        <v>27185</v>
      </c>
      <c r="K2257">
        <f t="shared" ca="1" si="71"/>
        <v>51</v>
      </c>
    </row>
    <row r="2258" spans="1:11" ht="15.75" customHeight="1">
      <c r="A2258" t="s">
        <v>177</v>
      </c>
      <c r="B2258">
        <v>1979</v>
      </c>
      <c r="C2258" t="s">
        <v>4717</v>
      </c>
      <c r="D2258">
        <v>11</v>
      </c>
      <c r="E2258">
        <v>1</v>
      </c>
      <c r="F2258" s="16">
        <v>41034.22</v>
      </c>
      <c r="G2258" t="s">
        <v>4698</v>
      </c>
      <c r="H2258" t="s">
        <v>4700</v>
      </c>
      <c r="I2258" t="s">
        <v>4728</v>
      </c>
      <c r="J2258" s="17">
        <f t="shared" si="70"/>
        <v>29139</v>
      </c>
      <c r="K2258">
        <f t="shared" ca="1" si="71"/>
        <v>46</v>
      </c>
    </row>
    <row r="2259" spans="1:11" ht="15.75" customHeight="1">
      <c r="A2259" t="s">
        <v>175</v>
      </c>
      <c r="B2259">
        <v>1972</v>
      </c>
      <c r="C2259" t="s">
        <v>4716</v>
      </c>
      <c r="D2259">
        <v>12</v>
      </c>
      <c r="E2259">
        <v>0</v>
      </c>
      <c r="F2259" s="16">
        <v>41055.29</v>
      </c>
      <c r="G2259" t="s">
        <v>4698</v>
      </c>
      <c r="H2259" t="s">
        <v>4699</v>
      </c>
      <c r="I2259" t="s">
        <v>4718</v>
      </c>
      <c r="J2259" s="17">
        <f t="shared" si="70"/>
        <v>26523</v>
      </c>
      <c r="K2259">
        <f t="shared" ca="1" si="71"/>
        <v>53</v>
      </c>
    </row>
    <row r="2260" spans="1:11" ht="15.75" customHeight="1">
      <c r="A2260" t="s">
        <v>173</v>
      </c>
      <c r="B2260">
        <v>1972</v>
      </c>
      <c r="C2260" t="s">
        <v>4712</v>
      </c>
      <c r="D2260">
        <v>6</v>
      </c>
      <c r="E2260">
        <v>0</v>
      </c>
      <c r="F2260" s="16">
        <v>41097.160000000003</v>
      </c>
      <c r="G2260" t="s">
        <v>4698</v>
      </c>
      <c r="H2260" t="s">
        <v>4700</v>
      </c>
      <c r="I2260" t="s">
        <v>4721</v>
      </c>
      <c r="J2260" s="17">
        <f t="shared" si="70"/>
        <v>26548</v>
      </c>
      <c r="K2260">
        <f t="shared" ca="1" si="71"/>
        <v>53</v>
      </c>
    </row>
    <row r="2261" spans="1:11" ht="15.75" customHeight="1">
      <c r="A2261" t="s">
        <v>171</v>
      </c>
      <c r="B2261">
        <v>1969</v>
      </c>
      <c r="C2261" t="s">
        <v>4716</v>
      </c>
      <c r="D2261">
        <v>8</v>
      </c>
      <c r="E2261">
        <v>0</v>
      </c>
      <c r="F2261" s="16">
        <v>41191.57</v>
      </c>
      <c r="G2261" t="s">
        <v>4698</v>
      </c>
      <c r="H2261" t="s">
        <v>4699</v>
      </c>
      <c r="I2261" t="s">
        <v>4718</v>
      </c>
      <c r="J2261" s="17">
        <f t="shared" si="70"/>
        <v>25423</v>
      </c>
      <c r="K2261">
        <f t="shared" ca="1" si="71"/>
        <v>56</v>
      </c>
    </row>
    <row r="2262" spans="1:11" ht="15.75" customHeight="1">
      <c r="A2262" t="s">
        <v>169</v>
      </c>
      <c r="B2262">
        <v>1964</v>
      </c>
      <c r="C2262" t="s">
        <v>4711</v>
      </c>
      <c r="D2262">
        <v>6</v>
      </c>
      <c r="E2262">
        <v>0</v>
      </c>
      <c r="F2262" s="16">
        <v>41250.39</v>
      </c>
      <c r="G2262" t="s">
        <v>4698</v>
      </c>
      <c r="H2262" t="s">
        <v>4700</v>
      </c>
      <c r="I2262" t="s">
        <v>4718</v>
      </c>
      <c r="J2262" s="17">
        <f t="shared" si="70"/>
        <v>23534</v>
      </c>
      <c r="K2262">
        <f t="shared" ca="1" si="71"/>
        <v>61</v>
      </c>
    </row>
    <row r="2263" spans="1:11" ht="15.75" customHeight="1">
      <c r="A2263" t="s">
        <v>167</v>
      </c>
      <c r="B2263">
        <v>1977</v>
      </c>
      <c r="C2263" t="s">
        <v>4716</v>
      </c>
      <c r="D2263">
        <v>27</v>
      </c>
      <c r="E2263">
        <v>2</v>
      </c>
      <c r="F2263" s="16">
        <v>41271.5</v>
      </c>
      <c r="G2263" t="s">
        <v>4698</v>
      </c>
      <c r="H2263" t="s">
        <v>4699</v>
      </c>
      <c r="I2263" t="s">
        <v>4718</v>
      </c>
      <c r="J2263" s="17">
        <f t="shared" si="70"/>
        <v>28364</v>
      </c>
      <c r="K2263">
        <f t="shared" ca="1" si="71"/>
        <v>48</v>
      </c>
    </row>
    <row r="2264" spans="1:11" ht="15.75" customHeight="1">
      <c r="A2264" t="s">
        <v>165</v>
      </c>
      <c r="B2264">
        <v>1964</v>
      </c>
      <c r="C2264" t="s">
        <v>4717</v>
      </c>
      <c r="D2264">
        <v>7</v>
      </c>
      <c r="E2264">
        <v>0</v>
      </c>
      <c r="F2264" s="16">
        <v>41331.79</v>
      </c>
      <c r="G2264" t="s">
        <v>4698</v>
      </c>
      <c r="H2264" t="s">
        <v>4699</v>
      </c>
      <c r="I2264" t="s">
        <v>4718</v>
      </c>
      <c r="J2264" s="17">
        <f t="shared" si="70"/>
        <v>23657</v>
      </c>
      <c r="K2264">
        <f t="shared" ca="1" si="71"/>
        <v>61</v>
      </c>
    </row>
    <row r="2265" spans="1:11" ht="15.75" customHeight="1">
      <c r="A2265" t="s">
        <v>163</v>
      </c>
      <c r="B2265">
        <v>1971</v>
      </c>
      <c r="C2265" t="s">
        <v>4717</v>
      </c>
      <c r="D2265">
        <v>16</v>
      </c>
      <c r="E2265">
        <v>0</v>
      </c>
      <c r="F2265" s="16">
        <v>41351.879999999997</v>
      </c>
      <c r="G2265" t="s">
        <v>4698</v>
      </c>
      <c r="H2265" t="s">
        <v>4699</v>
      </c>
      <c r="I2265" t="s">
        <v>4718</v>
      </c>
      <c r="J2265" s="17">
        <f t="shared" si="70"/>
        <v>26222</v>
      </c>
      <c r="K2265">
        <f t="shared" ca="1" si="71"/>
        <v>54</v>
      </c>
    </row>
    <row r="2266" spans="1:11" ht="15.75" customHeight="1">
      <c r="A2266" t="s">
        <v>161</v>
      </c>
      <c r="B2266">
        <v>1967</v>
      </c>
      <c r="C2266" t="s">
        <v>4714</v>
      </c>
      <c r="D2266">
        <v>22</v>
      </c>
      <c r="E2266">
        <v>0</v>
      </c>
      <c r="F2266" s="16">
        <v>41505.15</v>
      </c>
      <c r="G2266" t="s">
        <v>4698</v>
      </c>
      <c r="H2266" t="s">
        <v>4699</v>
      </c>
      <c r="I2266" t="s">
        <v>4718</v>
      </c>
      <c r="J2266" s="17">
        <f t="shared" si="70"/>
        <v>24828</v>
      </c>
      <c r="K2266">
        <f t="shared" ca="1" si="71"/>
        <v>57</v>
      </c>
    </row>
    <row r="2267" spans="1:11" ht="15.75" customHeight="1">
      <c r="A2267" t="s">
        <v>159</v>
      </c>
      <c r="B2267">
        <v>1974</v>
      </c>
      <c r="C2267" t="s">
        <v>4710</v>
      </c>
      <c r="D2267">
        <v>24</v>
      </c>
      <c r="E2267">
        <v>0</v>
      </c>
      <c r="F2267" s="16">
        <v>41636.199999999997</v>
      </c>
      <c r="G2267" t="s">
        <v>4698</v>
      </c>
      <c r="H2267" t="s">
        <v>4698</v>
      </c>
      <c r="I2267" t="s">
        <v>4718</v>
      </c>
      <c r="J2267" s="17">
        <f t="shared" si="70"/>
        <v>27357</v>
      </c>
      <c r="K2267">
        <f t="shared" ca="1" si="71"/>
        <v>51</v>
      </c>
    </row>
    <row r="2268" spans="1:11" ht="15.75" customHeight="1">
      <c r="A2268" t="s">
        <v>157</v>
      </c>
      <c r="B2268">
        <v>1976</v>
      </c>
      <c r="C2268" t="s">
        <v>4717</v>
      </c>
      <c r="D2268">
        <v>29</v>
      </c>
      <c r="E2268">
        <v>1</v>
      </c>
      <c r="F2268" s="16">
        <v>41661.599999999999</v>
      </c>
      <c r="G2268" t="s">
        <v>4698</v>
      </c>
      <c r="H2268" t="s">
        <v>4700</v>
      </c>
      <c r="I2268" t="s">
        <v>4718</v>
      </c>
      <c r="J2268" s="17">
        <f t="shared" si="70"/>
        <v>28062</v>
      </c>
      <c r="K2268">
        <f t="shared" ca="1" si="71"/>
        <v>49</v>
      </c>
    </row>
    <row r="2269" spans="1:11" ht="15.75" customHeight="1">
      <c r="A2269" t="s">
        <v>155</v>
      </c>
      <c r="B2269">
        <v>1975</v>
      </c>
      <c r="C2269" t="s">
        <v>4710</v>
      </c>
      <c r="D2269">
        <v>14</v>
      </c>
      <c r="E2269">
        <v>0</v>
      </c>
      <c r="F2269" s="16">
        <v>41676.080000000002</v>
      </c>
      <c r="G2269" t="s">
        <v>4698</v>
      </c>
      <c r="H2269" t="s">
        <v>4699</v>
      </c>
      <c r="I2269" t="s">
        <v>4709</v>
      </c>
      <c r="J2269" s="17">
        <f t="shared" si="70"/>
        <v>27712</v>
      </c>
      <c r="K2269">
        <f t="shared" ca="1" si="71"/>
        <v>50</v>
      </c>
    </row>
    <row r="2270" spans="1:11" ht="15.75" customHeight="1">
      <c r="A2270" t="s">
        <v>153</v>
      </c>
      <c r="B2270">
        <v>1975</v>
      </c>
      <c r="C2270" t="s">
        <v>4712</v>
      </c>
      <c r="D2270">
        <v>29</v>
      </c>
      <c r="E2270">
        <v>1</v>
      </c>
      <c r="F2270" s="16">
        <v>41681.86</v>
      </c>
      <c r="G2270" t="s">
        <v>4698</v>
      </c>
      <c r="H2270" t="s">
        <v>4698</v>
      </c>
      <c r="I2270" t="s">
        <v>4718</v>
      </c>
      <c r="J2270" s="17">
        <f t="shared" si="70"/>
        <v>27666</v>
      </c>
      <c r="K2270">
        <f t="shared" ca="1" si="71"/>
        <v>50</v>
      </c>
    </row>
    <row r="2271" spans="1:11" ht="15.75" customHeight="1">
      <c r="A2271" t="s">
        <v>151</v>
      </c>
      <c r="B2271">
        <v>1962</v>
      </c>
      <c r="C2271" t="s">
        <v>4712</v>
      </c>
      <c r="D2271">
        <v>22</v>
      </c>
      <c r="E2271">
        <v>0</v>
      </c>
      <c r="F2271" s="16">
        <v>41794.629999999997</v>
      </c>
      <c r="G2271" t="s">
        <v>4698</v>
      </c>
      <c r="H2271" t="s">
        <v>4700</v>
      </c>
      <c r="I2271" t="s">
        <v>4718</v>
      </c>
      <c r="J2271" s="17">
        <f t="shared" si="70"/>
        <v>22911</v>
      </c>
      <c r="K2271">
        <f t="shared" ca="1" si="71"/>
        <v>63</v>
      </c>
    </row>
    <row r="2272" spans="1:11" ht="15.75" customHeight="1">
      <c r="A2272" t="s">
        <v>149</v>
      </c>
      <c r="B2272">
        <v>1966</v>
      </c>
      <c r="C2272" t="s">
        <v>4712</v>
      </c>
      <c r="D2272">
        <v>21</v>
      </c>
      <c r="E2272">
        <v>0</v>
      </c>
      <c r="F2272" s="16">
        <v>41886.54</v>
      </c>
      <c r="G2272" t="s">
        <v>4698</v>
      </c>
      <c r="H2272" t="s">
        <v>4700</v>
      </c>
      <c r="I2272" t="s">
        <v>4718</v>
      </c>
      <c r="J2272" s="17">
        <f t="shared" si="70"/>
        <v>24371</v>
      </c>
      <c r="K2272">
        <f t="shared" ca="1" si="71"/>
        <v>59</v>
      </c>
    </row>
    <row r="2273" spans="1:11" ht="15.75" customHeight="1">
      <c r="A2273" t="s">
        <v>147</v>
      </c>
      <c r="B2273">
        <v>1972</v>
      </c>
      <c r="C2273" t="s">
        <v>4711</v>
      </c>
      <c r="D2273">
        <v>8</v>
      </c>
      <c r="E2273">
        <v>1</v>
      </c>
      <c r="F2273" s="16">
        <v>41919.1</v>
      </c>
      <c r="G2273" t="s">
        <v>4698</v>
      </c>
      <c r="H2273" t="s">
        <v>4698</v>
      </c>
      <c r="I2273" t="s">
        <v>4721</v>
      </c>
      <c r="J2273" s="17">
        <f t="shared" si="70"/>
        <v>26458</v>
      </c>
      <c r="K2273">
        <f t="shared" ca="1" si="71"/>
        <v>53</v>
      </c>
    </row>
    <row r="2274" spans="1:11" ht="15.75" customHeight="1">
      <c r="A2274" t="s">
        <v>145</v>
      </c>
      <c r="B2274">
        <v>1984</v>
      </c>
      <c r="C2274" t="s">
        <v>4710</v>
      </c>
      <c r="D2274">
        <v>10</v>
      </c>
      <c r="E2274">
        <v>3</v>
      </c>
      <c r="F2274" s="16">
        <v>41949.24</v>
      </c>
      <c r="G2274" t="s">
        <v>4698</v>
      </c>
      <c r="H2274" t="s">
        <v>4698</v>
      </c>
      <c r="I2274" t="s">
        <v>4709</v>
      </c>
      <c r="J2274" s="17">
        <f t="shared" si="70"/>
        <v>30996</v>
      </c>
      <c r="K2274">
        <f t="shared" ca="1" si="71"/>
        <v>41</v>
      </c>
    </row>
    <row r="2275" spans="1:11" ht="15.75" customHeight="1">
      <c r="A2275" t="s">
        <v>143</v>
      </c>
      <c r="B2275">
        <v>1968</v>
      </c>
      <c r="C2275" t="s">
        <v>4714</v>
      </c>
      <c r="D2275">
        <v>19</v>
      </c>
      <c r="E2275">
        <v>1</v>
      </c>
      <c r="F2275" s="16">
        <v>41999.519999999997</v>
      </c>
      <c r="G2275" t="s">
        <v>4698</v>
      </c>
      <c r="H2275" t="s">
        <v>4700</v>
      </c>
      <c r="I2275" t="s">
        <v>4709</v>
      </c>
      <c r="J2275" s="17">
        <f t="shared" si="70"/>
        <v>25191</v>
      </c>
      <c r="K2275">
        <f t="shared" ca="1" si="71"/>
        <v>56</v>
      </c>
    </row>
    <row r="2276" spans="1:11" ht="15.75" customHeight="1">
      <c r="A2276" t="s">
        <v>141</v>
      </c>
      <c r="B2276">
        <v>1976</v>
      </c>
      <c r="C2276" t="s">
        <v>4710</v>
      </c>
      <c r="D2276">
        <v>28</v>
      </c>
      <c r="E2276">
        <v>0</v>
      </c>
      <c r="F2276" s="16">
        <v>42111.66</v>
      </c>
      <c r="G2276" t="s">
        <v>4698</v>
      </c>
      <c r="H2276" t="s">
        <v>4698</v>
      </c>
      <c r="I2276" t="s">
        <v>4724</v>
      </c>
      <c r="J2276" s="17">
        <f t="shared" si="70"/>
        <v>28092</v>
      </c>
      <c r="K2276">
        <f t="shared" ca="1" si="71"/>
        <v>48</v>
      </c>
    </row>
    <row r="2277" spans="1:11" ht="15.75" customHeight="1">
      <c r="A2277" t="s">
        <v>139</v>
      </c>
      <c r="B2277">
        <v>1997</v>
      </c>
      <c r="C2277" t="s">
        <v>4714</v>
      </c>
      <c r="D2277">
        <v>9</v>
      </c>
      <c r="E2277">
        <v>2</v>
      </c>
      <c r="F2277" s="16">
        <v>42112.24</v>
      </c>
      <c r="G2277" t="s">
        <v>4698</v>
      </c>
      <c r="H2277" t="s">
        <v>4700</v>
      </c>
      <c r="I2277" t="s">
        <v>4709</v>
      </c>
      <c r="J2277" s="17">
        <f t="shared" si="70"/>
        <v>35773</v>
      </c>
      <c r="K2277">
        <f t="shared" ca="1" si="71"/>
        <v>27</v>
      </c>
    </row>
    <row r="2278" spans="1:11" ht="15.75" customHeight="1">
      <c r="A2278" t="s">
        <v>137</v>
      </c>
      <c r="B2278">
        <v>1979</v>
      </c>
      <c r="C2278" t="s">
        <v>4708</v>
      </c>
      <c r="D2278">
        <v>3</v>
      </c>
      <c r="E2278">
        <v>3</v>
      </c>
      <c r="F2278" s="16">
        <v>42124.52</v>
      </c>
      <c r="G2278" t="s">
        <v>4698</v>
      </c>
      <c r="H2278" t="s">
        <v>4698</v>
      </c>
      <c r="I2278" t="s">
        <v>4709</v>
      </c>
      <c r="J2278" s="17">
        <f t="shared" si="70"/>
        <v>29039</v>
      </c>
      <c r="K2278">
        <f t="shared" ca="1" si="71"/>
        <v>46</v>
      </c>
    </row>
    <row r="2279" spans="1:11" ht="15.75" customHeight="1">
      <c r="A2279" t="s">
        <v>135</v>
      </c>
      <c r="B2279">
        <v>1973</v>
      </c>
      <c r="C2279" t="s">
        <v>4712</v>
      </c>
      <c r="D2279">
        <v>18</v>
      </c>
      <c r="E2279">
        <v>0</v>
      </c>
      <c r="F2279" s="16">
        <v>42188.15</v>
      </c>
      <c r="G2279" t="s">
        <v>4698</v>
      </c>
      <c r="H2279" t="s">
        <v>4698</v>
      </c>
      <c r="I2279" t="s">
        <v>4718</v>
      </c>
      <c r="J2279" s="17">
        <f t="shared" si="70"/>
        <v>26925</v>
      </c>
      <c r="K2279">
        <f t="shared" ca="1" si="71"/>
        <v>52</v>
      </c>
    </row>
    <row r="2280" spans="1:11" ht="15.75" customHeight="1">
      <c r="A2280" t="s">
        <v>133</v>
      </c>
      <c r="B2280">
        <v>1975</v>
      </c>
      <c r="C2280" t="s">
        <v>4716</v>
      </c>
      <c r="D2280">
        <v>15</v>
      </c>
      <c r="E2280">
        <v>1</v>
      </c>
      <c r="F2280" s="16">
        <v>42211.14</v>
      </c>
      <c r="G2280" t="s">
        <v>4698</v>
      </c>
      <c r="H2280" t="s">
        <v>4700</v>
      </c>
      <c r="I2280" t="s">
        <v>4709</v>
      </c>
      <c r="J2280" s="17">
        <f t="shared" si="70"/>
        <v>27621</v>
      </c>
      <c r="K2280">
        <f t="shared" ca="1" si="71"/>
        <v>50</v>
      </c>
    </row>
    <row r="2281" spans="1:11" ht="15.75" customHeight="1">
      <c r="A2281" t="s">
        <v>131</v>
      </c>
      <c r="B2281">
        <v>1967</v>
      </c>
      <c r="C2281" t="s">
        <v>4711</v>
      </c>
      <c r="D2281">
        <v>28</v>
      </c>
      <c r="E2281">
        <v>0</v>
      </c>
      <c r="F2281" s="16">
        <v>42303.69</v>
      </c>
      <c r="G2281" t="s">
        <v>4698</v>
      </c>
      <c r="H2281" t="s">
        <v>4699</v>
      </c>
      <c r="I2281" t="s">
        <v>4721</v>
      </c>
      <c r="J2281" s="17">
        <f t="shared" si="70"/>
        <v>24651</v>
      </c>
      <c r="K2281">
        <f t="shared" ca="1" si="71"/>
        <v>58</v>
      </c>
    </row>
    <row r="2282" spans="1:11" ht="15.75" customHeight="1">
      <c r="A2282" t="s">
        <v>129</v>
      </c>
      <c r="B2282">
        <v>1968</v>
      </c>
      <c r="C2282" t="s">
        <v>4716</v>
      </c>
      <c r="D2282">
        <v>3</v>
      </c>
      <c r="E2282">
        <v>0</v>
      </c>
      <c r="F2282" s="16">
        <v>42478.6</v>
      </c>
      <c r="G2282" t="s">
        <v>4698</v>
      </c>
      <c r="H2282" t="s">
        <v>4699</v>
      </c>
      <c r="I2282" t="s">
        <v>4718</v>
      </c>
      <c r="J2282" s="17">
        <f t="shared" si="70"/>
        <v>25053</v>
      </c>
      <c r="K2282">
        <f t="shared" ca="1" si="71"/>
        <v>57</v>
      </c>
    </row>
    <row r="2283" spans="1:11" ht="15.75" customHeight="1">
      <c r="A2283" t="s">
        <v>127</v>
      </c>
      <c r="B2283">
        <v>1967</v>
      </c>
      <c r="C2283" t="s">
        <v>4711</v>
      </c>
      <c r="D2283">
        <v>27</v>
      </c>
      <c r="E2283">
        <v>0</v>
      </c>
      <c r="F2283" s="16">
        <v>42538.720000000001</v>
      </c>
      <c r="G2283" t="s">
        <v>4698</v>
      </c>
      <c r="H2283" t="s">
        <v>4700</v>
      </c>
      <c r="I2283" t="s">
        <v>4718</v>
      </c>
      <c r="J2283" s="17">
        <f t="shared" si="70"/>
        <v>24650</v>
      </c>
      <c r="K2283">
        <f t="shared" ca="1" si="71"/>
        <v>58</v>
      </c>
    </row>
    <row r="2284" spans="1:11" ht="15.75" customHeight="1">
      <c r="A2284" t="s">
        <v>125</v>
      </c>
      <c r="B2284">
        <v>1979</v>
      </c>
      <c r="C2284" t="s">
        <v>4714</v>
      </c>
      <c r="D2284">
        <v>27</v>
      </c>
      <c r="E2284">
        <v>2</v>
      </c>
      <c r="F2284" s="16">
        <v>42560.43</v>
      </c>
      <c r="G2284" t="s">
        <v>4698</v>
      </c>
      <c r="H2284" t="s">
        <v>4700</v>
      </c>
      <c r="I2284" t="s">
        <v>4709</v>
      </c>
      <c r="J2284" s="17">
        <f t="shared" si="70"/>
        <v>29216</v>
      </c>
      <c r="K2284">
        <f t="shared" ca="1" si="71"/>
        <v>45</v>
      </c>
    </row>
    <row r="2285" spans="1:11" ht="15.75" customHeight="1">
      <c r="A2285" t="s">
        <v>123</v>
      </c>
      <c r="B2285">
        <v>1971</v>
      </c>
      <c r="C2285" t="s">
        <v>4710</v>
      </c>
      <c r="D2285">
        <v>3</v>
      </c>
      <c r="E2285">
        <v>0</v>
      </c>
      <c r="F2285" s="16">
        <v>42644.2</v>
      </c>
      <c r="G2285" t="s">
        <v>4698</v>
      </c>
      <c r="H2285" t="s">
        <v>4700</v>
      </c>
      <c r="I2285" t="s">
        <v>4718</v>
      </c>
      <c r="J2285" s="17">
        <f t="shared" si="70"/>
        <v>26240</v>
      </c>
      <c r="K2285">
        <f t="shared" ca="1" si="71"/>
        <v>54</v>
      </c>
    </row>
    <row r="2286" spans="1:11" ht="15.75" customHeight="1">
      <c r="A2286" t="s">
        <v>121</v>
      </c>
      <c r="B2286">
        <v>1977</v>
      </c>
      <c r="C2286" t="s">
        <v>4717</v>
      </c>
      <c r="D2286">
        <v>21</v>
      </c>
      <c r="E2286">
        <v>2</v>
      </c>
      <c r="F2286" s="16">
        <v>42760.5</v>
      </c>
      <c r="G2286" t="s">
        <v>4698</v>
      </c>
      <c r="H2286" t="s">
        <v>4699</v>
      </c>
      <c r="I2286" t="s">
        <v>4713</v>
      </c>
      <c r="J2286" s="17">
        <f t="shared" si="70"/>
        <v>28419</v>
      </c>
      <c r="K2286">
        <f t="shared" ca="1" si="71"/>
        <v>48</v>
      </c>
    </row>
    <row r="2287" spans="1:11" ht="15.75" customHeight="1">
      <c r="A2287" t="s">
        <v>119</v>
      </c>
      <c r="B2287">
        <v>1965</v>
      </c>
      <c r="C2287" t="s">
        <v>4717</v>
      </c>
      <c r="D2287">
        <v>29</v>
      </c>
      <c r="E2287">
        <v>0</v>
      </c>
      <c r="F2287" s="16">
        <v>42764.12</v>
      </c>
      <c r="G2287" t="s">
        <v>4698</v>
      </c>
      <c r="H2287" t="s">
        <v>4699</v>
      </c>
      <c r="I2287" t="s">
        <v>4718</v>
      </c>
      <c r="J2287" s="17">
        <f t="shared" si="70"/>
        <v>24044</v>
      </c>
      <c r="K2287">
        <f t="shared" ca="1" si="71"/>
        <v>60</v>
      </c>
    </row>
    <row r="2288" spans="1:11" ht="15.75" customHeight="1">
      <c r="A2288" t="s">
        <v>117</v>
      </c>
      <c r="B2288">
        <v>1972</v>
      </c>
      <c r="C2288" t="s">
        <v>4712</v>
      </c>
      <c r="D2288">
        <v>10</v>
      </c>
      <c r="E2288">
        <v>2</v>
      </c>
      <c r="F2288" s="16">
        <v>42856.84</v>
      </c>
      <c r="G2288" t="s">
        <v>4698</v>
      </c>
      <c r="H2288" t="s">
        <v>4698</v>
      </c>
      <c r="I2288" t="s">
        <v>4718</v>
      </c>
      <c r="J2288" s="17">
        <f t="shared" si="70"/>
        <v>26552</v>
      </c>
      <c r="K2288">
        <f t="shared" ca="1" si="71"/>
        <v>53</v>
      </c>
    </row>
    <row r="2289" spans="1:11" ht="15.75" customHeight="1">
      <c r="A2289" t="s">
        <v>115</v>
      </c>
      <c r="B2289">
        <v>1975</v>
      </c>
      <c r="C2289" t="s">
        <v>4717</v>
      </c>
      <c r="D2289">
        <v>23</v>
      </c>
      <c r="E2289">
        <v>1</v>
      </c>
      <c r="F2289" s="16">
        <v>42969.85</v>
      </c>
      <c r="G2289" t="s">
        <v>4698</v>
      </c>
      <c r="H2289" t="s">
        <v>4700</v>
      </c>
      <c r="I2289" t="s">
        <v>4709</v>
      </c>
      <c r="J2289" s="17">
        <f t="shared" si="70"/>
        <v>27690</v>
      </c>
      <c r="K2289">
        <f t="shared" ca="1" si="71"/>
        <v>50</v>
      </c>
    </row>
    <row r="2290" spans="1:11" ht="15.75" customHeight="1">
      <c r="A2290" t="s">
        <v>113</v>
      </c>
      <c r="B2290">
        <v>1978</v>
      </c>
      <c r="C2290" t="s">
        <v>4710</v>
      </c>
      <c r="D2290">
        <v>4</v>
      </c>
      <c r="E2290">
        <v>0</v>
      </c>
      <c r="F2290" s="16">
        <v>42983.46</v>
      </c>
      <c r="G2290" t="s">
        <v>4698</v>
      </c>
      <c r="H2290" t="s">
        <v>4699</v>
      </c>
      <c r="I2290" t="s">
        <v>4713</v>
      </c>
      <c r="J2290" s="17">
        <f t="shared" si="70"/>
        <v>28798</v>
      </c>
      <c r="K2290">
        <f t="shared" ca="1" si="71"/>
        <v>47</v>
      </c>
    </row>
    <row r="2291" spans="1:11" ht="15.75" customHeight="1">
      <c r="A2291" t="s">
        <v>111</v>
      </c>
      <c r="B2291">
        <v>1965</v>
      </c>
      <c r="C2291" t="s">
        <v>4710</v>
      </c>
      <c r="D2291">
        <v>29</v>
      </c>
      <c r="E2291">
        <v>0</v>
      </c>
      <c r="F2291" s="16">
        <v>43073.760000000002</v>
      </c>
      <c r="G2291" t="s">
        <v>4699</v>
      </c>
      <c r="H2291" t="s">
        <v>4699</v>
      </c>
      <c r="I2291" t="s">
        <v>4718</v>
      </c>
      <c r="J2291" s="17">
        <f t="shared" si="70"/>
        <v>24075</v>
      </c>
      <c r="K2291">
        <f t="shared" ca="1" si="71"/>
        <v>59</v>
      </c>
    </row>
    <row r="2292" spans="1:11" ht="15.75" customHeight="1">
      <c r="A2292" t="s">
        <v>109</v>
      </c>
      <c r="B2292">
        <v>1969</v>
      </c>
      <c r="C2292" t="s">
        <v>4714</v>
      </c>
      <c r="D2292">
        <v>3</v>
      </c>
      <c r="E2292">
        <v>0</v>
      </c>
      <c r="F2292" s="16">
        <v>43254.42</v>
      </c>
      <c r="G2292" t="s">
        <v>4699</v>
      </c>
      <c r="H2292" t="s">
        <v>4699</v>
      </c>
      <c r="I2292" t="s">
        <v>4721</v>
      </c>
      <c r="J2292" s="17">
        <f t="shared" si="70"/>
        <v>25540</v>
      </c>
      <c r="K2292">
        <f t="shared" ca="1" si="71"/>
        <v>55</v>
      </c>
    </row>
    <row r="2293" spans="1:11" ht="15.75" customHeight="1">
      <c r="A2293" t="s">
        <v>107</v>
      </c>
      <c r="B2293">
        <v>1965</v>
      </c>
      <c r="C2293" t="s">
        <v>4716</v>
      </c>
      <c r="D2293">
        <v>22</v>
      </c>
      <c r="E2293">
        <v>0</v>
      </c>
      <c r="F2293" s="16">
        <v>43578.94</v>
      </c>
      <c r="G2293" t="s">
        <v>4699</v>
      </c>
      <c r="H2293" t="s">
        <v>4699</v>
      </c>
      <c r="I2293" t="s">
        <v>4713</v>
      </c>
      <c r="J2293" s="17">
        <f t="shared" si="70"/>
        <v>23976</v>
      </c>
      <c r="K2293">
        <f t="shared" ca="1" si="71"/>
        <v>60</v>
      </c>
    </row>
    <row r="2294" spans="1:11" ht="15.75" customHeight="1">
      <c r="A2294" t="s">
        <v>105</v>
      </c>
      <c r="B2294">
        <v>1986</v>
      </c>
      <c r="C2294" t="s">
        <v>4714</v>
      </c>
      <c r="D2294">
        <v>29</v>
      </c>
      <c r="E2294">
        <v>3</v>
      </c>
      <c r="F2294" s="16">
        <v>43753.34</v>
      </c>
      <c r="G2294" t="s">
        <v>4699</v>
      </c>
      <c r="H2294" t="s">
        <v>4698</v>
      </c>
      <c r="I2294" t="s">
        <v>4719</v>
      </c>
      <c r="J2294" s="17">
        <f t="shared" si="70"/>
        <v>31775</v>
      </c>
      <c r="K2294">
        <f t="shared" ca="1" si="71"/>
        <v>38</v>
      </c>
    </row>
    <row r="2295" spans="1:11" ht="15.75" customHeight="1">
      <c r="A2295" t="s">
        <v>103</v>
      </c>
      <c r="B2295">
        <v>1966</v>
      </c>
      <c r="C2295" t="s">
        <v>4717</v>
      </c>
      <c r="D2295">
        <v>25</v>
      </c>
      <c r="E2295">
        <v>2</v>
      </c>
      <c r="F2295" s="16">
        <v>43813.87</v>
      </c>
      <c r="G2295" t="s">
        <v>4699</v>
      </c>
      <c r="H2295" t="s">
        <v>4699</v>
      </c>
      <c r="I2295" t="s">
        <v>4709</v>
      </c>
      <c r="J2295" s="17">
        <f t="shared" si="70"/>
        <v>24405</v>
      </c>
      <c r="K2295">
        <f t="shared" ca="1" si="71"/>
        <v>59</v>
      </c>
    </row>
    <row r="2296" spans="1:11" ht="15.75" customHeight="1">
      <c r="A2296" t="s">
        <v>101</v>
      </c>
      <c r="B2296">
        <v>1966</v>
      </c>
      <c r="C2296" t="s">
        <v>4708</v>
      </c>
      <c r="D2296">
        <v>2</v>
      </c>
      <c r="E2296">
        <v>0</v>
      </c>
      <c r="F2296" s="16">
        <v>43817.45</v>
      </c>
      <c r="G2296" t="s">
        <v>4699</v>
      </c>
      <c r="H2296" t="s">
        <v>4700</v>
      </c>
      <c r="I2296" t="s">
        <v>4713</v>
      </c>
      <c r="J2296" s="17">
        <f t="shared" si="70"/>
        <v>24290</v>
      </c>
      <c r="K2296">
        <f t="shared" ca="1" si="71"/>
        <v>59</v>
      </c>
    </row>
    <row r="2297" spans="1:11" ht="15.75" customHeight="1">
      <c r="A2297" t="s">
        <v>99</v>
      </c>
      <c r="B2297">
        <v>1980</v>
      </c>
      <c r="C2297" t="s">
        <v>4710</v>
      </c>
      <c r="D2297">
        <v>10</v>
      </c>
      <c r="E2297">
        <v>2</v>
      </c>
      <c r="F2297" s="16">
        <v>43896.38</v>
      </c>
      <c r="G2297" t="s">
        <v>4699</v>
      </c>
      <c r="H2297" t="s">
        <v>4698</v>
      </c>
      <c r="I2297" t="s">
        <v>4709</v>
      </c>
      <c r="J2297" s="17">
        <f t="shared" si="70"/>
        <v>29535</v>
      </c>
      <c r="K2297">
        <f t="shared" ca="1" si="71"/>
        <v>45</v>
      </c>
    </row>
    <row r="2298" spans="1:11" ht="15.75" customHeight="1">
      <c r="A2298" t="s">
        <v>97</v>
      </c>
      <c r="B2298">
        <v>1966</v>
      </c>
      <c r="C2298" t="s">
        <v>4717</v>
      </c>
      <c r="D2298">
        <v>5</v>
      </c>
      <c r="E2298">
        <v>0</v>
      </c>
      <c r="F2298" s="16">
        <v>43921.18</v>
      </c>
      <c r="G2298" t="s">
        <v>4699</v>
      </c>
      <c r="H2298" t="s">
        <v>4699</v>
      </c>
      <c r="I2298" t="s">
        <v>4713</v>
      </c>
      <c r="J2298" s="17">
        <f t="shared" si="70"/>
        <v>24385</v>
      </c>
      <c r="K2298">
        <f t="shared" ca="1" si="71"/>
        <v>59</v>
      </c>
    </row>
    <row r="2299" spans="1:11" ht="15.75" customHeight="1">
      <c r="A2299" t="s">
        <v>95</v>
      </c>
      <c r="B2299">
        <v>1988</v>
      </c>
      <c r="C2299" t="s">
        <v>4708</v>
      </c>
      <c r="D2299">
        <v>16</v>
      </c>
      <c r="E2299">
        <v>1</v>
      </c>
      <c r="F2299" s="16">
        <v>43943.88</v>
      </c>
      <c r="G2299" t="s">
        <v>4699</v>
      </c>
      <c r="H2299" t="s">
        <v>4698</v>
      </c>
      <c r="I2299" t="s">
        <v>4713</v>
      </c>
      <c r="J2299" s="17">
        <f t="shared" si="70"/>
        <v>32340</v>
      </c>
      <c r="K2299">
        <f t="shared" ca="1" si="71"/>
        <v>37</v>
      </c>
    </row>
    <row r="2300" spans="1:11" ht="15.75" customHeight="1">
      <c r="A2300" t="s">
        <v>93</v>
      </c>
      <c r="B2300">
        <v>1975</v>
      </c>
      <c r="C2300" t="s">
        <v>4711</v>
      </c>
      <c r="D2300">
        <v>1</v>
      </c>
      <c r="E2300">
        <v>2</v>
      </c>
      <c r="F2300" s="16">
        <v>44202.65</v>
      </c>
      <c r="G2300" t="s">
        <v>4699</v>
      </c>
      <c r="H2300" t="s">
        <v>4699</v>
      </c>
      <c r="I2300" t="s">
        <v>4709</v>
      </c>
      <c r="J2300" s="17">
        <f t="shared" si="70"/>
        <v>27546</v>
      </c>
      <c r="K2300">
        <f t="shared" ca="1" si="71"/>
        <v>50</v>
      </c>
    </row>
    <row r="2301" spans="1:11" ht="15.75" customHeight="1">
      <c r="A2301" t="s">
        <v>91</v>
      </c>
      <c r="B2301">
        <v>1968</v>
      </c>
      <c r="C2301" t="s">
        <v>4710</v>
      </c>
      <c r="D2301">
        <v>24</v>
      </c>
      <c r="E2301">
        <v>2</v>
      </c>
      <c r="F2301" s="16">
        <v>44260.75</v>
      </c>
      <c r="G2301" t="s">
        <v>4699</v>
      </c>
      <c r="H2301" t="s">
        <v>4698</v>
      </c>
      <c r="I2301" t="s">
        <v>4709</v>
      </c>
      <c r="J2301" s="17">
        <f t="shared" si="70"/>
        <v>25166</v>
      </c>
      <c r="K2301">
        <f t="shared" ca="1" si="71"/>
        <v>57</v>
      </c>
    </row>
    <row r="2302" spans="1:11" ht="15.75" customHeight="1">
      <c r="A2302" t="s">
        <v>89</v>
      </c>
      <c r="B2302">
        <v>1971</v>
      </c>
      <c r="C2302" t="s">
        <v>4717</v>
      </c>
      <c r="D2302">
        <v>29</v>
      </c>
      <c r="E2302">
        <v>0</v>
      </c>
      <c r="F2302" s="16">
        <v>44400.41</v>
      </c>
      <c r="G2302" t="s">
        <v>4699</v>
      </c>
      <c r="H2302" t="s">
        <v>4699</v>
      </c>
      <c r="I2302" t="s">
        <v>4709</v>
      </c>
      <c r="J2302" s="17">
        <f t="shared" si="70"/>
        <v>26235</v>
      </c>
      <c r="K2302">
        <f t="shared" ca="1" si="71"/>
        <v>54</v>
      </c>
    </row>
    <row r="2303" spans="1:11" ht="15.75" customHeight="1">
      <c r="A2303" t="s">
        <v>87</v>
      </c>
      <c r="B2303">
        <v>1967</v>
      </c>
      <c r="C2303" t="s">
        <v>4712</v>
      </c>
      <c r="D2303">
        <v>14</v>
      </c>
      <c r="E2303">
        <v>0</v>
      </c>
      <c r="F2303" s="16">
        <v>44423.8</v>
      </c>
      <c r="G2303" t="s">
        <v>4699</v>
      </c>
      <c r="H2303" t="s">
        <v>4700</v>
      </c>
      <c r="I2303" t="s">
        <v>4709</v>
      </c>
      <c r="J2303" s="17">
        <f t="shared" si="70"/>
        <v>24729</v>
      </c>
      <c r="K2303">
        <f t="shared" ca="1" si="71"/>
        <v>58</v>
      </c>
    </row>
    <row r="2304" spans="1:11" ht="15.75" customHeight="1">
      <c r="A2304" t="s">
        <v>85</v>
      </c>
      <c r="B2304">
        <v>2000</v>
      </c>
      <c r="C2304" t="s">
        <v>4716</v>
      </c>
      <c r="D2304">
        <v>2</v>
      </c>
      <c r="E2304">
        <v>1</v>
      </c>
      <c r="F2304" s="16">
        <v>44501.4</v>
      </c>
      <c r="G2304" t="s">
        <v>4699</v>
      </c>
      <c r="H2304" t="s">
        <v>4700</v>
      </c>
      <c r="I2304" t="s">
        <v>4709</v>
      </c>
      <c r="J2304" s="17">
        <f t="shared" si="70"/>
        <v>36740</v>
      </c>
      <c r="K2304">
        <f t="shared" ca="1" si="71"/>
        <v>25</v>
      </c>
    </row>
    <row r="2305" spans="1:11" ht="15.75" customHeight="1">
      <c r="A2305" t="s">
        <v>83</v>
      </c>
      <c r="B2305">
        <v>1993</v>
      </c>
      <c r="C2305" t="s">
        <v>4717</v>
      </c>
      <c r="D2305">
        <v>11</v>
      </c>
      <c r="E2305">
        <v>2</v>
      </c>
      <c r="F2305" s="16">
        <v>44585.46</v>
      </c>
      <c r="G2305" t="s">
        <v>4699</v>
      </c>
      <c r="H2305" t="s">
        <v>4699</v>
      </c>
      <c r="I2305" t="s">
        <v>4718</v>
      </c>
      <c r="J2305" s="17">
        <f t="shared" si="70"/>
        <v>34253</v>
      </c>
      <c r="K2305">
        <f t="shared" ca="1" si="71"/>
        <v>32</v>
      </c>
    </row>
    <row r="2306" spans="1:11" ht="15.75" customHeight="1">
      <c r="A2306" t="s">
        <v>81</v>
      </c>
      <c r="B2306">
        <v>1971</v>
      </c>
      <c r="C2306" t="s">
        <v>4716</v>
      </c>
      <c r="D2306">
        <v>13</v>
      </c>
      <c r="E2306">
        <v>2</v>
      </c>
      <c r="F2306" s="16">
        <v>44641.2</v>
      </c>
      <c r="G2306" t="s">
        <v>4699</v>
      </c>
      <c r="H2306" t="s">
        <v>4700</v>
      </c>
      <c r="I2306" t="s">
        <v>4724</v>
      </c>
      <c r="J2306" s="17">
        <f t="shared" si="70"/>
        <v>26158</v>
      </c>
      <c r="K2306">
        <f t="shared" ca="1" si="71"/>
        <v>54</v>
      </c>
    </row>
    <row r="2307" spans="1:11" ht="15.75" customHeight="1">
      <c r="A2307" t="s">
        <v>79</v>
      </c>
      <c r="B2307">
        <v>1962</v>
      </c>
      <c r="C2307" t="s">
        <v>4714</v>
      </c>
      <c r="D2307">
        <v>17</v>
      </c>
      <c r="E2307">
        <v>0</v>
      </c>
      <c r="F2307" s="16">
        <v>45008.959999999999</v>
      </c>
      <c r="G2307" t="s">
        <v>4699</v>
      </c>
      <c r="H2307" t="s">
        <v>4699</v>
      </c>
      <c r="I2307" t="s">
        <v>4709</v>
      </c>
      <c r="J2307" s="17">
        <f t="shared" ref="J2307:J2344" si="72">DATEVALUE(D2307&amp;"-"&amp;C2307&amp;" -"&amp;B2307)</f>
        <v>22997</v>
      </c>
      <c r="K2307">
        <f t="shared" ref="K2307:K2344" ca="1" si="73">DATEDIF(J2307,TODAY(),"Y")</f>
        <v>62</v>
      </c>
    </row>
    <row r="2308" spans="1:11" ht="15.75" customHeight="1">
      <c r="A2308" t="s">
        <v>77</v>
      </c>
      <c r="B2308">
        <v>1974</v>
      </c>
      <c r="C2308" t="s">
        <v>4716</v>
      </c>
      <c r="D2308">
        <v>9</v>
      </c>
      <c r="E2308">
        <v>2</v>
      </c>
      <c r="F2308" s="16">
        <v>45702.02</v>
      </c>
      <c r="G2308" t="s">
        <v>4699</v>
      </c>
      <c r="H2308" t="s">
        <v>4699</v>
      </c>
      <c r="I2308" t="s">
        <v>4713</v>
      </c>
      <c r="J2308" s="17">
        <f t="shared" si="72"/>
        <v>27250</v>
      </c>
      <c r="K2308">
        <f t="shared" ca="1" si="73"/>
        <v>51</v>
      </c>
    </row>
    <row r="2309" spans="1:11" ht="15.75" customHeight="1">
      <c r="A2309" t="s">
        <v>75</v>
      </c>
      <c r="B2309">
        <v>1960</v>
      </c>
      <c r="C2309" t="s">
        <v>4714</v>
      </c>
      <c r="D2309">
        <v>21</v>
      </c>
      <c r="E2309">
        <v>0</v>
      </c>
      <c r="F2309" s="16">
        <v>45710.21</v>
      </c>
      <c r="G2309" t="s">
        <v>4699</v>
      </c>
      <c r="H2309" t="s">
        <v>4699</v>
      </c>
      <c r="I2309" t="s">
        <v>4721</v>
      </c>
      <c r="J2309" s="17">
        <f t="shared" si="72"/>
        <v>22271</v>
      </c>
      <c r="K2309">
        <f t="shared" ca="1" si="73"/>
        <v>64</v>
      </c>
    </row>
    <row r="2310" spans="1:11" ht="15.75" customHeight="1">
      <c r="A2310" t="s">
        <v>73</v>
      </c>
      <c r="B2310">
        <v>1979</v>
      </c>
      <c r="C2310" t="s">
        <v>4716</v>
      </c>
      <c r="D2310">
        <v>12</v>
      </c>
      <c r="E2310">
        <v>0</v>
      </c>
      <c r="F2310" s="16">
        <v>45863.21</v>
      </c>
      <c r="G2310" t="s">
        <v>4699</v>
      </c>
      <c r="H2310" t="s">
        <v>4698</v>
      </c>
      <c r="I2310" t="s">
        <v>4709</v>
      </c>
      <c r="J2310" s="17">
        <f t="shared" si="72"/>
        <v>29079</v>
      </c>
      <c r="K2310">
        <f t="shared" ca="1" si="73"/>
        <v>46</v>
      </c>
    </row>
    <row r="2311" spans="1:11" ht="15.75" customHeight="1">
      <c r="A2311" t="s">
        <v>71</v>
      </c>
      <c r="B2311">
        <v>1985</v>
      </c>
      <c r="C2311" t="s">
        <v>4712</v>
      </c>
      <c r="D2311">
        <v>30</v>
      </c>
      <c r="E2311">
        <v>2</v>
      </c>
      <c r="F2311" s="16">
        <v>46113.51</v>
      </c>
      <c r="G2311" t="s">
        <v>4699</v>
      </c>
      <c r="H2311" t="s">
        <v>4700</v>
      </c>
      <c r="I2311" t="s">
        <v>4718</v>
      </c>
      <c r="J2311" s="17">
        <f t="shared" si="72"/>
        <v>31320</v>
      </c>
      <c r="K2311">
        <f t="shared" ca="1" si="73"/>
        <v>40</v>
      </c>
    </row>
    <row r="2312" spans="1:11" ht="15.75" customHeight="1">
      <c r="A2312" t="s">
        <v>69</v>
      </c>
      <c r="B2312">
        <v>1962</v>
      </c>
      <c r="C2312" t="s">
        <v>4714</v>
      </c>
      <c r="D2312">
        <v>4</v>
      </c>
      <c r="E2312">
        <v>3</v>
      </c>
      <c r="F2312" s="16">
        <v>46130.53</v>
      </c>
      <c r="G2312" t="s">
        <v>4698</v>
      </c>
      <c r="H2312" t="s">
        <v>4698</v>
      </c>
      <c r="I2312" t="s">
        <v>4713</v>
      </c>
      <c r="J2312" s="17">
        <f t="shared" si="72"/>
        <v>22984</v>
      </c>
      <c r="K2312">
        <f t="shared" ca="1" si="73"/>
        <v>62</v>
      </c>
    </row>
    <row r="2313" spans="1:11" ht="15.75" customHeight="1">
      <c r="A2313" t="s">
        <v>67</v>
      </c>
      <c r="B2313">
        <v>1976</v>
      </c>
      <c r="C2313" t="s">
        <v>4714</v>
      </c>
      <c r="D2313">
        <v>2</v>
      </c>
      <c r="E2313">
        <v>3</v>
      </c>
      <c r="F2313" s="16">
        <v>46151.12</v>
      </c>
      <c r="G2313" t="s">
        <v>4698</v>
      </c>
      <c r="H2313" t="s">
        <v>4700</v>
      </c>
      <c r="I2313" t="s">
        <v>4709</v>
      </c>
      <c r="J2313" s="17">
        <f t="shared" si="72"/>
        <v>28096</v>
      </c>
      <c r="K2313">
        <f t="shared" ca="1" si="73"/>
        <v>48</v>
      </c>
    </row>
    <row r="2314" spans="1:11" ht="15.75" customHeight="1">
      <c r="A2314" t="s">
        <v>65</v>
      </c>
      <c r="B2314">
        <v>1978</v>
      </c>
      <c r="C2314" t="s">
        <v>4716</v>
      </c>
      <c r="D2314">
        <v>17</v>
      </c>
      <c r="E2314">
        <v>2</v>
      </c>
      <c r="F2314" s="16">
        <v>46200.99</v>
      </c>
      <c r="G2314" t="s">
        <v>4698</v>
      </c>
      <c r="H2314" t="s">
        <v>4698</v>
      </c>
      <c r="I2314" t="s">
        <v>4709</v>
      </c>
      <c r="J2314" s="17">
        <f t="shared" si="72"/>
        <v>28719</v>
      </c>
      <c r="K2314">
        <f t="shared" ca="1" si="73"/>
        <v>47</v>
      </c>
    </row>
    <row r="2315" spans="1:11" ht="15.75" customHeight="1">
      <c r="A2315" t="s">
        <v>63</v>
      </c>
      <c r="B2315">
        <v>1971</v>
      </c>
      <c r="C2315" t="s">
        <v>4714</v>
      </c>
      <c r="D2315">
        <v>6</v>
      </c>
      <c r="E2315">
        <v>3</v>
      </c>
      <c r="F2315" s="16">
        <v>46255.11</v>
      </c>
      <c r="G2315" t="s">
        <v>4698</v>
      </c>
      <c r="H2315" t="s">
        <v>4700</v>
      </c>
      <c r="I2315" t="s">
        <v>4724</v>
      </c>
      <c r="J2315" s="17">
        <f t="shared" si="72"/>
        <v>26273</v>
      </c>
      <c r="K2315">
        <f t="shared" ca="1" si="73"/>
        <v>53</v>
      </c>
    </row>
    <row r="2316" spans="1:11" ht="15.75" customHeight="1">
      <c r="A2316" t="s">
        <v>61</v>
      </c>
      <c r="B2316">
        <v>1961</v>
      </c>
      <c r="C2316" t="s">
        <v>4716</v>
      </c>
      <c r="D2316">
        <v>8</v>
      </c>
      <c r="E2316">
        <v>0</v>
      </c>
      <c r="F2316" s="16">
        <v>46599.11</v>
      </c>
      <c r="G2316" t="s">
        <v>4698</v>
      </c>
      <c r="H2316" t="s">
        <v>4698</v>
      </c>
      <c r="I2316" t="s">
        <v>4709</v>
      </c>
      <c r="J2316" s="17">
        <f t="shared" si="72"/>
        <v>22501</v>
      </c>
      <c r="K2316">
        <f t="shared" ca="1" si="73"/>
        <v>64</v>
      </c>
    </row>
    <row r="2317" spans="1:11" ht="15.75" customHeight="1">
      <c r="A2317" t="s">
        <v>59</v>
      </c>
      <c r="B2317">
        <v>1969</v>
      </c>
      <c r="C2317" t="s">
        <v>4711</v>
      </c>
      <c r="D2317">
        <v>23</v>
      </c>
      <c r="E2317">
        <v>3</v>
      </c>
      <c r="F2317" s="16">
        <v>46661.440000000002</v>
      </c>
      <c r="G2317" t="s">
        <v>4698</v>
      </c>
      <c r="H2317" t="s">
        <v>4700</v>
      </c>
      <c r="I2317" t="s">
        <v>4713</v>
      </c>
      <c r="J2317" s="17">
        <f t="shared" si="72"/>
        <v>25377</v>
      </c>
      <c r="K2317">
        <f t="shared" ca="1" si="73"/>
        <v>56</v>
      </c>
    </row>
    <row r="2318" spans="1:11" ht="15.75" customHeight="1">
      <c r="A2318" t="s">
        <v>57</v>
      </c>
      <c r="B2318">
        <v>1960</v>
      </c>
      <c r="C2318" t="s">
        <v>4710</v>
      </c>
      <c r="D2318">
        <v>17</v>
      </c>
      <c r="E2318">
        <v>3</v>
      </c>
      <c r="F2318" s="16">
        <v>46718.16</v>
      </c>
      <c r="G2318" t="s">
        <v>4698</v>
      </c>
      <c r="H2318" t="s">
        <v>4698</v>
      </c>
      <c r="I2318" t="s">
        <v>4713</v>
      </c>
      <c r="J2318" s="17">
        <f t="shared" si="72"/>
        <v>22237</v>
      </c>
      <c r="K2318">
        <f t="shared" ca="1" si="73"/>
        <v>65</v>
      </c>
    </row>
    <row r="2319" spans="1:11" ht="15.75" customHeight="1">
      <c r="A2319" t="s">
        <v>55</v>
      </c>
      <c r="B2319">
        <v>1958</v>
      </c>
      <c r="C2319" t="s">
        <v>4712</v>
      </c>
      <c r="D2319">
        <v>15</v>
      </c>
      <c r="E2319">
        <v>0</v>
      </c>
      <c r="F2319" s="16">
        <v>46889.26</v>
      </c>
      <c r="G2319" t="s">
        <v>4699</v>
      </c>
      <c r="H2319" t="s">
        <v>4700</v>
      </c>
      <c r="I2319" t="s">
        <v>4709</v>
      </c>
      <c r="J2319" s="17">
        <f t="shared" si="72"/>
        <v>21443</v>
      </c>
      <c r="K2319">
        <f t="shared" ca="1" si="73"/>
        <v>67</v>
      </c>
    </row>
    <row r="2320" spans="1:11" ht="15.75" customHeight="1">
      <c r="A2320" t="s">
        <v>53</v>
      </c>
      <c r="B2320">
        <v>1959</v>
      </c>
      <c r="C2320" t="s">
        <v>4708</v>
      </c>
      <c r="D2320">
        <v>14</v>
      </c>
      <c r="E2320">
        <v>0</v>
      </c>
      <c r="F2320" s="16">
        <v>47055.53</v>
      </c>
      <c r="G2320" t="s">
        <v>4699</v>
      </c>
      <c r="H2320" t="s">
        <v>4698</v>
      </c>
      <c r="I2320" t="s">
        <v>4709</v>
      </c>
      <c r="J2320" s="17">
        <f t="shared" si="72"/>
        <v>21745</v>
      </c>
      <c r="K2320">
        <f t="shared" ca="1" si="73"/>
        <v>66</v>
      </c>
    </row>
    <row r="2321" spans="1:11" ht="15.75" customHeight="1">
      <c r="A2321" t="s">
        <v>51</v>
      </c>
      <c r="B2321">
        <v>1970</v>
      </c>
      <c r="C2321" t="s">
        <v>4714</v>
      </c>
      <c r="D2321">
        <v>28</v>
      </c>
      <c r="E2321">
        <v>2</v>
      </c>
      <c r="F2321" s="16">
        <v>47269.85</v>
      </c>
      <c r="G2321" t="s">
        <v>4698</v>
      </c>
      <c r="H2321" t="s">
        <v>4699</v>
      </c>
      <c r="I2321" t="s">
        <v>4709</v>
      </c>
      <c r="J2321" s="17">
        <f t="shared" si="72"/>
        <v>25930</v>
      </c>
      <c r="K2321">
        <f t="shared" ca="1" si="73"/>
        <v>54</v>
      </c>
    </row>
    <row r="2322" spans="1:11" ht="15.75" customHeight="1">
      <c r="A2322" t="s">
        <v>49</v>
      </c>
      <c r="B2322">
        <v>1958</v>
      </c>
      <c r="C2322" t="s">
        <v>4712</v>
      </c>
      <c r="D2322">
        <v>3</v>
      </c>
      <c r="E2322">
        <v>2</v>
      </c>
      <c r="F2322" s="16">
        <v>47291.06</v>
      </c>
      <c r="G2322" t="s">
        <v>4699</v>
      </c>
      <c r="H2322" t="s">
        <v>4698</v>
      </c>
      <c r="I2322" t="s">
        <v>4718</v>
      </c>
      <c r="J2322" s="17">
        <f t="shared" si="72"/>
        <v>21431</v>
      </c>
      <c r="K2322">
        <f t="shared" ca="1" si="73"/>
        <v>67</v>
      </c>
    </row>
    <row r="2323" spans="1:11" ht="15.75" customHeight="1">
      <c r="A2323" t="s">
        <v>47</v>
      </c>
      <c r="B2323">
        <v>1959</v>
      </c>
      <c r="C2323" t="s">
        <v>4717</v>
      </c>
      <c r="D2323">
        <v>4</v>
      </c>
      <c r="E2323">
        <v>2</v>
      </c>
      <c r="F2323" s="16">
        <v>47305.31</v>
      </c>
      <c r="G2323" t="s">
        <v>4699</v>
      </c>
      <c r="H2323" t="s">
        <v>4698</v>
      </c>
      <c r="I2323" t="s">
        <v>4718</v>
      </c>
      <c r="J2323" s="17">
        <f t="shared" si="72"/>
        <v>21827</v>
      </c>
      <c r="K2323">
        <f t="shared" ca="1" si="73"/>
        <v>66</v>
      </c>
    </row>
    <row r="2324" spans="1:11" ht="15.75" customHeight="1">
      <c r="A2324" t="s">
        <v>45</v>
      </c>
      <c r="B2324">
        <v>1961</v>
      </c>
      <c r="C2324" t="s">
        <v>4711</v>
      </c>
      <c r="D2324">
        <v>13</v>
      </c>
      <c r="E2324">
        <v>1</v>
      </c>
      <c r="F2324" s="16">
        <v>47403.88</v>
      </c>
      <c r="G2324" t="s">
        <v>4698</v>
      </c>
      <c r="H2324" t="s">
        <v>4700</v>
      </c>
      <c r="I2324" t="s">
        <v>4718</v>
      </c>
      <c r="J2324" s="17">
        <f t="shared" si="72"/>
        <v>22445</v>
      </c>
      <c r="K2324">
        <f t="shared" ca="1" si="73"/>
        <v>64</v>
      </c>
    </row>
    <row r="2325" spans="1:11" ht="15.75" customHeight="1">
      <c r="A2325" t="s">
        <v>43</v>
      </c>
      <c r="B2325">
        <v>1971</v>
      </c>
      <c r="C2325" t="s">
        <v>4712</v>
      </c>
      <c r="D2325">
        <v>27</v>
      </c>
      <c r="E2325">
        <v>2</v>
      </c>
      <c r="F2325" s="16">
        <v>47462.89</v>
      </c>
      <c r="G2325" t="s">
        <v>4698</v>
      </c>
      <c r="H2325" t="s">
        <v>4699</v>
      </c>
      <c r="I2325" t="s">
        <v>4709</v>
      </c>
      <c r="J2325" s="17">
        <f t="shared" si="72"/>
        <v>26203</v>
      </c>
      <c r="K2325">
        <f t="shared" ca="1" si="73"/>
        <v>54</v>
      </c>
    </row>
    <row r="2326" spans="1:11" ht="15.75" customHeight="1">
      <c r="A2326" t="s">
        <v>41</v>
      </c>
      <c r="B2326">
        <v>1964</v>
      </c>
      <c r="C2326" t="s">
        <v>4710</v>
      </c>
      <c r="D2326">
        <v>7</v>
      </c>
      <c r="E2326">
        <v>2</v>
      </c>
      <c r="F2326" s="16">
        <v>47496.49</v>
      </c>
      <c r="G2326" t="s">
        <v>4698</v>
      </c>
      <c r="H2326" t="s">
        <v>4700</v>
      </c>
      <c r="I2326" t="s">
        <v>4713</v>
      </c>
      <c r="J2326" s="17">
        <f t="shared" si="72"/>
        <v>23688</v>
      </c>
      <c r="K2326">
        <f t="shared" ca="1" si="73"/>
        <v>61</v>
      </c>
    </row>
    <row r="2327" spans="1:11" ht="15.75" customHeight="1">
      <c r="A2327" t="s">
        <v>39</v>
      </c>
      <c r="B2327">
        <v>1963</v>
      </c>
      <c r="C2327" t="s">
        <v>4716</v>
      </c>
      <c r="D2327">
        <v>5</v>
      </c>
      <c r="E2327">
        <v>1</v>
      </c>
      <c r="F2327" s="16">
        <v>47896.79</v>
      </c>
      <c r="G2327" t="s">
        <v>4698</v>
      </c>
      <c r="H2327" t="s">
        <v>4700</v>
      </c>
      <c r="I2327" t="s">
        <v>4724</v>
      </c>
      <c r="J2327" s="17">
        <f t="shared" si="72"/>
        <v>23228</v>
      </c>
      <c r="K2327">
        <f t="shared" ca="1" si="73"/>
        <v>62</v>
      </c>
    </row>
    <row r="2328" spans="1:11" ht="15.75" customHeight="1">
      <c r="A2328" t="s">
        <v>37</v>
      </c>
      <c r="B2328">
        <v>1958</v>
      </c>
      <c r="C2328" t="s">
        <v>4710</v>
      </c>
      <c r="D2328">
        <v>16</v>
      </c>
      <c r="E2328">
        <v>1</v>
      </c>
      <c r="F2328" s="16">
        <v>47928.03</v>
      </c>
      <c r="G2328" t="s">
        <v>4699</v>
      </c>
      <c r="H2328" t="s">
        <v>4700</v>
      </c>
      <c r="I2328" t="s">
        <v>4718</v>
      </c>
      <c r="J2328" s="17">
        <f t="shared" si="72"/>
        <v>21505</v>
      </c>
      <c r="K2328">
        <f t="shared" ca="1" si="73"/>
        <v>67</v>
      </c>
    </row>
    <row r="2329" spans="1:11" ht="15.75" customHeight="1">
      <c r="A2329" t="s">
        <v>35</v>
      </c>
      <c r="B2329">
        <v>1962</v>
      </c>
      <c r="C2329" t="s">
        <v>4716</v>
      </c>
      <c r="D2329">
        <v>27</v>
      </c>
      <c r="E2329">
        <v>0</v>
      </c>
      <c r="F2329" s="16">
        <v>48173.36</v>
      </c>
      <c r="G2329" t="s">
        <v>4698</v>
      </c>
      <c r="H2329" t="s">
        <v>4700</v>
      </c>
      <c r="I2329" t="s">
        <v>4718</v>
      </c>
      <c r="J2329" s="17">
        <f t="shared" si="72"/>
        <v>22885</v>
      </c>
      <c r="K2329">
        <f t="shared" ca="1" si="73"/>
        <v>63</v>
      </c>
    </row>
    <row r="2330" spans="1:11" ht="15.75" customHeight="1">
      <c r="A2330" t="s">
        <v>33</v>
      </c>
      <c r="B2330">
        <v>1961</v>
      </c>
      <c r="C2330" t="s">
        <v>4714</v>
      </c>
      <c r="D2330">
        <v>21</v>
      </c>
      <c r="E2330">
        <v>1</v>
      </c>
      <c r="F2330" s="16">
        <v>48517.56</v>
      </c>
      <c r="G2330" t="s">
        <v>4698</v>
      </c>
      <c r="H2330" t="s">
        <v>4700</v>
      </c>
      <c r="I2330" t="s">
        <v>4724</v>
      </c>
      <c r="J2330" s="17">
        <f t="shared" si="72"/>
        <v>22636</v>
      </c>
      <c r="K2330">
        <f t="shared" ca="1" si="73"/>
        <v>63</v>
      </c>
    </row>
    <row r="2331" spans="1:11" ht="15.75" customHeight="1">
      <c r="A2331" t="s">
        <v>31</v>
      </c>
      <c r="B2331">
        <v>1968</v>
      </c>
      <c r="C2331" t="s">
        <v>4714</v>
      </c>
      <c r="D2331">
        <v>1</v>
      </c>
      <c r="E2331">
        <v>3</v>
      </c>
      <c r="F2331" s="16">
        <v>48549.18</v>
      </c>
      <c r="G2331" t="s">
        <v>4698</v>
      </c>
      <c r="H2331" t="s">
        <v>4700</v>
      </c>
      <c r="I2331" t="s">
        <v>4721</v>
      </c>
      <c r="J2331" s="17">
        <f t="shared" si="72"/>
        <v>25173</v>
      </c>
      <c r="K2331">
        <f t="shared" ca="1" si="73"/>
        <v>56</v>
      </c>
    </row>
    <row r="2332" spans="1:11" ht="15.75" customHeight="1">
      <c r="A2332" t="s">
        <v>29</v>
      </c>
      <c r="B2332">
        <v>1962</v>
      </c>
      <c r="C2332" t="s">
        <v>4717</v>
      </c>
      <c r="D2332">
        <v>11</v>
      </c>
      <c r="E2332">
        <v>0</v>
      </c>
      <c r="F2332" s="16">
        <v>48673.56</v>
      </c>
      <c r="G2332" t="s">
        <v>4698</v>
      </c>
      <c r="H2332" t="s">
        <v>4699</v>
      </c>
      <c r="I2332" t="s">
        <v>4709</v>
      </c>
      <c r="J2332" s="17">
        <f t="shared" si="72"/>
        <v>22930</v>
      </c>
      <c r="K2332">
        <f t="shared" ca="1" si="73"/>
        <v>63</v>
      </c>
    </row>
    <row r="2333" spans="1:11" ht="15.75" customHeight="1">
      <c r="A2333" t="s">
        <v>27</v>
      </c>
      <c r="B2333">
        <v>1965</v>
      </c>
      <c r="C2333" t="s">
        <v>4717</v>
      </c>
      <c r="D2333">
        <v>27</v>
      </c>
      <c r="E2333">
        <v>1</v>
      </c>
      <c r="F2333" s="16">
        <v>48675.519999999997</v>
      </c>
      <c r="G2333" t="s">
        <v>4698</v>
      </c>
      <c r="H2333" t="s">
        <v>4699</v>
      </c>
      <c r="I2333" t="s">
        <v>4709</v>
      </c>
      <c r="J2333" s="17">
        <f t="shared" si="72"/>
        <v>24042</v>
      </c>
      <c r="K2333">
        <f t="shared" ca="1" si="73"/>
        <v>60</v>
      </c>
    </row>
    <row r="2334" spans="1:11" ht="15.75" customHeight="1">
      <c r="A2334" t="s">
        <v>25</v>
      </c>
      <c r="B2334">
        <v>1959</v>
      </c>
      <c r="C2334" t="s">
        <v>4708</v>
      </c>
      <c r="D2334">
        <v>22</v>
      </c>
      <c r="E2334">
        <v>0</v>
      </c>
      <c r="F2334" s="16">
        <v>48824.45</v>
      </c>
      <c r="G2334" t="s">
        <v>4699</v>
      </c>
      <c r="H2334" t="s">
        <v>4698</v>
      </c>
      <c r="I2334" t="s">
        <v>4718</v>
      </c>
      <c r="J2334" s="17">
        <f t="shared" si="72"/>
        <v>21753</v>
      </c>
      <c r="K2334">
        <f t="shared" ca="1" si="73"/>
        <v>66</v>
      </c>
    </row>
    <row r="2335" spans="1:11" ht="15.75" customHeight="1">
      <c r="A2335" t="s">
        <v>23</v>
      </c>
      <c r="B2335">
        <v>1978</v>
      </c>
      <c r="C2335" t="s">
        <v>4714</v>
      </c>
      <c r="D2335">
        <v>29</v>
      </c>
      <c r="E2335">
        <v>0</v>
      </c>
      <c r="F2335" s="16">
        <v>48885.14</v>
      </c>
      <c r="G2335" t="s">
        <v>4698</v>
      </c>
      <c r="H2335" t="s">
        <v>4699</v>
      </c>
      <c r="I2335" t="s">
        <v>4709</v>
      </c>
      <c r="J2335" s="17">
        <f t="shared" si="72"/>
        <v>28853</v>
      </c>
      <c r="K2335">
        <f t="shared" ca="1" si="73"/>
        <v>46</v>
      </c>
    </row>
    <row r="2336" spans="1:11" ht="15.75" customHeight="1">
      <c r="A2336" t="s">
        <v>21</v>
      </c>
      <c r="B2336">
        <v>1963</v>
      </c>
      <c r="C2336" t="s">
        <v>4712</v>
      </c>
      <c r="D2336">
        <v>4</v>
      </c>
      <c r="E2336">
        <v>1</v>
      </c>
      <c r="F2336" s="16">
        <v>48970.25</v>
      </c>
      <c r="G2336" t="s">
        <v>4698</v>
      </c>
      <c r="H2336" t="s">
        <v>4699</v>
      </c>
      <c r="I2336" t="s">
        <v>4709</v>
      </c>
      <c r="J2336" s="17">
        <f t="shared" si="72"/>
        <v>23258</v>
      </c>
      <c r="K2336">
        <f t="shared" ca="1" si="73"/>
        <v>62</v>
      </c>
    </row>
    <row r="2337" spans="1:11" ht="15.75" customHeight="1">
      <c r="A2337" t="s">
        <v>19</v>
      </c>
      <c r="B2337">
        <v>1958</v>
      </c>
      <c r="C2337" t="s">
        <v>4711</v>
      </c>
      <c r="D2337">
        <v>27</v>
      </c>
      <c r="E2337">
        <v>2</v>
      </c>
      <c r="F2337" s="16">
        <v>49577.66</v>
      </c>
      <c r="G2337" t="s">
        <v>4699</v>
      </c>
      <c r="H2337" t="s">
        <v>4699</v>
      </c>
      <c r="I2337" t="s">
        <v>4709</v>
      </c>
      <c r="J2337" s="17">
        <f t="shared" si="72"/>
        <v>21363</v>
      </c>
      <c r="K2337">
        <f t="shared" ca="1" si="73"/>
        <v>67</v>
      </c>
    </row>
    <row r="2338" spans="1:11" ht="15.75" customHeight="1">
      <c r="A2338" t="s">
        <v>17</v>
      </c>
      <c r="B2338">
        <v>1994</v>
      </c>
      <c r="C2338" t="s">
        <v>4717</v>
      </c>
      <c r="D2338">
        <v>27</v>
      </c>
      <c r="E2338">
        <v>1</v>
      </c>
      <c r="F2338" s="16">
        <v>51194.559999999998</v>
      </c>
      <c r="G2338" t="s">
        <v>4698</v>
      </c>
      <c r="H2338" t="s">
        <v>4700</v>
      </c>
      <c r="I2338" t="s">
        <v>4718</v>
      </c>
      <c r="J2338" s="17">
        <f t="shared" si="72"/>
        <v>34634</v>
      </c>
      <c r="K2338">
        <f t="shared" ca="1" si="73"/>
        <v>31</v>
      </c>
    </row>
    <row r="2339" spans="1:11" ht="15.75" customHeight="1">
      <c r="A2339" t="s">
        <v>15</v>
      </c>
      <c r="B2339">
        <v>1962</v>
      </c>
      <c r="C2339" t="s">
        <v>4716</v>
      </c>
      <c r="D2339">
        <v>4</v>
      </c>
      <c r="E2339">
        <v>0</v>
      </c>
      <c r="F2339" s="16">
        <v>52590.83</v>
      </c>
      <c r="G2339" t="s">
        <v>4698</v>
      </c>
      <c r="H2339" t="s">
        <v>4700</v>
      </c>
      <c r="I2339" t="s">
        <v>4718</v>
      </c>
      <c r="J2339" s="17">
        <f t="shared" si="72"/>
        <v>22862</v>
      </c>
      <c r="K2339">
        <f t="shared" ca="1" si="73"/>
        <v>63</v>
      </c>
    </row>
    <row r="2340" spans="1:11" ht="15.75" customHeight="1">
      <c r="A2340" t="s">
        <v>13</v>
      </c>
      <c r="B2340">
        <v>1989</v>
      </c>
      <c r="C2340" t="s">
        <v>4711</v>
      </c>
      <c r="D2340">
        <v>19</v>
      </c>
      <c r="E2340">
        <v>0</v>
      </c>
      <c r="F2340" s="16">
        <v>55135.4</v>
      </c>
      <c r="G2340" t="s">
        <v>4698</v>
      </c>
      <c r="H2340" t="s">
        <v>4699</v>
      </c>
      <c r="I2340" t="s">
        <v>4713</v>
      </c>
      <c r="J2340" s="17">
        <f t="shared" si="72"/>
        <v>32678</v>
      </c>
      <c r="K2340">
        <f t="shared" ca="1" si="73"/>
        <v>36</v>
      </c>
    </row>
    <row r="2341" spans="1:11" ht="15.75" customHeight="1">
      <c r="A2341" t="s">
        <v>11</v>
      </c>
      <c r="B2341">
        <v>1991</v>
      </c>
      <c r="C2341" t="s">
        <v>4711</v>
      </c>
      <c r="D2341">
        <v>6</v>
      </c>
      <c r="E2341">
        <v>1</v>
      </c>
      <c r="F2341" s="16">
        <v>58571.07</v>
      </c>
      <c r="G2341" t="s">
        <v>4698</v>
      </c>
      <c r="H2341" t="s">
        <v>4700</v>
      </c>
      <c r="I2341" t="s">
        <v>4724</v>
      </c>
      <c r="J2341" s="17">
        <f t="shared" si="72"/>
        <v>33395</v>
      </c>
      <c r="K2341">
        <f t="shared" ca="1" si="73"/>
        <v>34</v>
      </c>
    </row>
    <row r="2342" spans="1:11" ht="15.75" customHeight="1">
      <c r="A2342" t="s">
        <v>9</v>
      </c>
      <c r="B2342">
        <v>1970</v>
      </c>
      <c r="C2342" t="s">
        <v>4712</v>
      </c>
      <c r="D2342">
        <v>11</v>
      </c>
      <c r="E2342">
        <v>3</v>
      </c>
      <c r="F2342" s="16">
        <v>60021.4</v>
      </c>
      <c r="G2342" t="s">
        <v>4698</v>
      </c>
      <c r="H2342" t="s">
        <v>4698</v>
      </c>
      <c r="I2342" t="s">
        <v>4713</v>
      </c>
      <c r="J2342" s="17">
        <f t="shared" si="72"/>
        <v>25822</v>
      </c>
      <c r="K2342">
        <f t="shared" ca="1" si="73"/>
        <v>55</v>
      </c>
    </row>
    <row r="2343" spans="1:11" ht="15.75" customHeight="1">
      <c r="A2343" t="s">
        <v>7</v>
      </c>
      <c r="B2343">
        <v>1977</v>
      </c>
      <c r="C2343" t="s">
        <v>4711</v>
      </c>
      <c r="D2343">
        <v>8</v>
      </c>
      <c r="E2343">
        <v>0</v>
      </c>
      <c r="F2343" s="16">
        <v>62592.87</v>
      </c>
      <c r="G2343" t="s">
        <v>4699</v>
      </c>
      <c r="H2343" t="s">
        <v>4700</v>
      </c>
      <c r="I2343" t="s">
        <v>4709</v>
      </c>
      <c r="J2343" s="17">
        <f t="shared" si="72"/>
        <v>28284</v>
      </c>
      <c r="K2343">
        <f t="shared" ca="1" si="73"/>
        <v>48</v>
      </c>
    </row>
    <row r="2344" spans="1:11" ht="15.75" customHeight="1">
      <c r="A2344" t="s">
        <v>5</v>
      </c>
      <c r="B2344">
        <v>1968</v>
      </c>
      <c r="C2344" t="s">
        <v>4717</v>
      </c>
      <c r="D2344">
        <v>12</v>
      </c>
      <c r="E2344">
        <v>0</v>
      </c>
      <c r="F2344" s="16">
        <v>63770.43</v>
      </c>
      <c r="G2344" t="s">
        <v>4698</v>
      </c>
      <c r="H2344" t="s">
        <v>4700</v>
      </c>
      <c r="I2344" t="s">
        <v>4709</v>
      </c>
      <c r="J2344" s="17">
        <f t="shared" si="72"/>
        <v>25123</v>
      </c>
      <c r="K2344">
        <f t="shared" ca="1" si="73"/>
        <v>57</v>
      </c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4.44140625" defaultRowHeight="1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Names</vt:lpstr>
      <vt:lpstr>Medical Examinations</vt:lpstr>
      <vt:lpstr>Pivot-HealthChat</vt:lpstr>
      <vt:lpstr>Hospitalisation Details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2015-06-05T18:17:00Z</dcterms:created>
  <dcterms:modified xsi:type="dcterms:W3CDTF">2025-11-27T11:14:29Z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53D12FBD7901427FB35FEB98485A99CB_13</vt:lpwstr>
  </property>
  <property fmtid="{D5CDD505-2E9C-101B-9397-08002B2CF9AE}" pid="3" name="KSOProductBuildVer">
    <vt:lpwstr>1033-12.2.0.23155</vt:lpwstr>
  </property>
</Properties>
</file>