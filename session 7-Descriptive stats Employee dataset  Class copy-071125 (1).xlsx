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taset" sheetId="1" r:id="rId4"/>
    <sheet state="visible" name="descriptive stats" sheetId="2" r:id="rId5"/>
    <sheet state="visible" name="std explaination" sheetId="3" r:id="rId6"/>
  </sheets>
  <definedNames>
    <definedName name="Total_Cost">#REF!</definedName>
    <definedName name="Product">#REF!</definedName>
    <definedName name="Unit_Price">#REF!</definedName>
    <definedName name="Revenue">#REF!</definedName>
    <definedName name="Fixed_Cost">#REF!</definedName>
    <definedName name="A">#REF!</definedName>
    <definedName name="Variable_Cost_Unit">#REF!</definedName>
    <definedName name="Profit">#REF!</definedName>
    <definedName name="Units_Sold">#REF!</definedName>
    <definedName name="C_">#REF!</definedName>
  </definedNames>
  <calcPr/>
  <extLst>
    <ext uri="GoogleSheetsCustomDataVersion2">
      <go:sheetsCustomData xmlns:go="http://customooxmlschemas.google.com/" r:id="rId7" roundtripDataChecksum="z/0Gh5QPkZ4G4ATaG7TYpRYh+OpXRhEG2OsvbVDk8aA="/>
    </ext>
  </extLst>
</workbook>
</file>

<file path=xl/sharedStrings.xml><?xml version="1.0" encoding="utf-8"?>
<sst xmlns="http://schemas.openxmlformats.org/spreadsheetml/2006/main" count="134" uniqueCount="75">
  <si>
    <t>* Data exploration and summary statistics, 
* Filtering and Sorting data in excel,
* Descriptive Statistics,
* Mean, 
* standard deviation, etc., using Analysis ToolPak,Mean, standard deviation, etc., using Analysis ToolPak</t>
  </si>
  <si>
    <t>EmployeeID</t>
  </si>
  <si>
    <t>JoinDate</t>
  </si>
  <si>
    <t>Name</t>
  </si>
  <si>
    <t>Department</t>
  </si>
  <si>
    <t>Age</t>
  </si>
  <si>
    <t>Salary</t>
  </si>
  <si>
    <t>PerformanceScore</t>
  </si>
  <si>
    <t>John Smith</t>
  </si>
  <si>
    <t>Sales</t>
  </si>
  <si>
    <t>Anna Lee</t>
  </si>
  <si>
    <t>HR</t>
  </si>
  <si>
    <t>Raj Kumar</t>
  </si>
  <si>
    <t>IT</t>
  </si>
  <si>
    <t>Maria Jose</t>
  </si>
  <si>
    <t>Ahmed Ali</t>
  </si>
  <si>
    <t>Finance</t>
  </si>
  <si>
    <t xml:space="preserve">      Priya N</t>
  </si>
  <si>
    <t>James Wong</t>
  </si>
  <si>
    <t>Chen Wei</t>
  </si>
  <si>
    <t>hr</t>
  </si>
  <si>
    <t>Neha Singh</t>
  </si>
  <si>
    <t>peter pan</t>
  </si>
  <si>
    <t xml:space="preserve">         Luis M</t>
  </si>
  <si>
    <t>Sara Khan</t>
  </si>
  <si>
    <t xml:space="preserve"> David Lee</t>
  </si>
  <si>
    <t>finance</t>
  </si>
  <si>
    <t>Aisha Patel</t>
  </si>
  <si>
    <t>John Deo</t>
  </si>
  <si>
    <t xml:space="preserve"> sales </t>
  </si>
  <si>
    <t>Sneha Roy</t>
  </si>
  <si>
    <t>Finace</t>
  </si>
  <si>
    <t>Mark Smith</t>
  </si>
  <si>
    <t>Li Na</t>
  </si>
  <si>
    <t xml:space="preserve"> Tom Cruise</t>
  </si>
  <si>
    <t>Riya Mehta</t>
  </si>
  <si>
    <t>Data exploration and summary statistics, Filtering and Sorting data in excel,Descriptive Statistics,Mean, standard deviation, etc., using Analysis ToolPak,Mean, standard deviation, etc., using Analysis ToolPak</t>
  </si>
  <si>
    <t>Priya N</t>
  </si>
  <si>
    <t>Peter Pan</t>
  </si>
  <si>
    <t>Luis M</t>
  </si>
  <si>
    <t>David Lee</t>
  </si>
  <si>
    <t>Tom Cruise</t>
  </si>
  <si>
    <t>Summary Statistics</t>
  </si>
  <si>
    <t>salary</t>
  </si>
  <si>
    <t>Performance</t>
  </si>
  <si>
    <t>DETAILS</t>
  </si>
  <si>
    <t>FORMULA</t>
  </si>
  <si>
    <t>sum(total)</t>
  </si>
  <si>
    <t>Mean(Average)</t>
  </si>
  <si>
    <t>sum(F6:F24)/20</t>
  </si>
  <si>
    <t>mode</t>
  </si>
  <si>
    <t>mode.sngl(E6:E24)</t>
  </si>
  <si>
    <t>median</t>
  </si>
  <si>
    <t>median(E6:E24)</t>
  </si>
  <si>
    <t>variance
σ² = Σ(xᵢ - μ)² / N</t>
  </si>
  <si>
    <r>
      <rPr>
        <rFont val="Aptos Narrow"/>
        <color rgb="FF000000"/>
        <sz val="11.0"/>
      </rPr>
      <t xml:space="preserve">Std dev
</t>
    </r>
    <r>
      <rPr>
        <rFont val="Aptos Narrow"/>
        <b/>
        <color rgb="FFBD5015"/>
        <sz val="11.0"/>
      </rPr>
      <t xml:space="preserve">(population std)
</t>
    </r>
    <r>
      <rPr>
        <rFont val="Aptos Narrow"/>
        <color rgb="FF000000"/>
        <sz val="11.0"/>
      </rPr>
      <t xml:space="preserve">σ = √[∑(xᵢ - μ)² / N]
</t>
    </r>
    <r>
      <rPr>
        <rFont val="Aptos Narrow"/>
        <b/>
        <color rgb="FFBD5015"/>
        <sz val="11.0"/>
      </rPr>
      <t xml:space="preserve">(sample std)
</t>
    </r>
    <r>
      <rPr>
        <rFont val="Aptos Narrow"/>
        <color rgb="FF000000"/>
        <sz val="11.0"/>
      </rPr>
      <t>s = √[∑(xᵢ - x̄)² / (n - 1)]</t>
    </r>
  </si>
  <si>
    <t>STDEV.P(E6:E24)</t>
  </si>
  <si>
    <t>Std dev
(population std)
σ = √[∑(xᵢ - μ)² / N]
(sample std dev)
s = √[∑(xᵢ - x̄)² / (n - 1)]</t>
  </si>
  <si>
    <t>variance 
σ² = Σ(xᵢ - μ)² / N</t>
  </si>
  <si>
    <t>VAR.P(E6:E24)</t>
  </si>
  <si>
    <t>min</t>
  </si>
  <si>
    <t>MIN(E6:E24)</t>
  </si>
  <si>
    <t>max</t>
  </si>
  <si>
    <t>MAX(E6:E24)</t>
  </si>
  <si>
    <t>count</t>
  </si>
  <si>
    <t>Summary Statistics using Toolpak</t>
  </si>
  <si>
    <t>salary-salarymean(X-Xmean)</t>
  </si>
  <si>
    <t>(x-mean)^2</t>
  </si>
  <si>
    <t>salary-salarymean(X-X-samplemean)</t>
  </si>
  <si>
    <t>(x-xsamplemean)^2</t>
  </si>
  <si>
    <t>Average=</t>
  </si>
  <si>
    <t>sample 10 mean =</t>
  </si>
  <si>
    <t>sum=</t>
  </si>
  <si>
    <t>count-1</t>
  </si>
  <si>
    <t>std dev 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</si>
</sst>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i/>
      <sz val="12.0"/>
      <color theme="8"/>
      <name val="Calibri"/>
    </font>
    <font>
      <sz val="11.0"/>
      <color theme="1"/>
      <name val="Aptos Narrow"/>
    </font>
    <font>
      <b/>
      <sz val="11.0"/>
      <color theme="1"/>
      <name val="Calibri"/>
    </font>
    <font>
      <b/>
      <sz val="11.0"/>
      <color theme="1"/>
      <name val="Aptos Narrow"/>
    </font>
    <font>
      <i/>
      <sz val="11.0"/>
      <color theme="1"/>
      <name val="Aptos Narrow"/>
    </font>
    <font>
      <sz val="11.0"/>
      <color rgb="FF000000"/>
      <name val="Aptos Narrow"/>
    </font>
    <font>
      <b/>
      <i/>
      <sz val="12.0"/>
      <color rgb="FFA02B93"/>
      <name val="Calibri"/>
    </font>
    <font>
      <b/>
      <sz val="14.0"/>
      <color rgb="FF0F4761"/>
      <name val="Aptos Narrow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14" xfId="0" applyFont="1" applyNumberFormat="1"/>
    <xf borderId="0" fillId="0" fontId="3" numFmtId="0" xfId="0" applyAlignment="1" applyFont="1">
      <alignment shrinkToFit="0" wrapText="1"/>
    </xf>
    <xf borderId="0" fillId="0" fontId="2" numFmtId="0" xfId="0" applyFont="1"/>
    <xf borderId="0" fillId="0" fontId="2" numFmtId="14" xfId="0" applyFont="1" applyNumberFormat="1"/>
    <xf borderId="0" fillId="0" fontId="4" numFmtId="0" xfId="0" applyFont="1"/>
    <xf borderId="1" fillId="0" fontId="5" numFmtId="0" xfId="0" applyAlignment="1" applyBorder="1" applyFont="1">
      <alignment horizontal="center"/>
    </xf>
    <xf borderId="2" fillId="0" fontId="2" numFmtId="0" xfId="0" applyBorder="1" applyFont="1"/>
    <xf borderId="0" fillId="0" fontId="2" numFmtId="0" xfId="0" applyAlignment="1" applyFont="1">
      <alignment shrinkToFit="0" wrapText="1"/>
    </xf>
    <xf borderId="3" fillId="2" fontId="6" numFmtId="0" xfId="0" applyBorder="1" applyFill="1" applyFont="1"/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4" numFmtId="1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3" fillId="2" fontId="2" numFmtId="0" xfId="0" applyAlignment="1" applyBorder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3" fillId="2" fontId="2" numFmtId="0" xfId="0" applyAlignment="1" applyBorder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0E4F5"/>
          <bgColor rgb="FFC0E4F5"/>
        </patternFill>
      </fill>
      <border/>
    </dxf>
    <dxf>
      <font/>
      <fill>
        <patternFill patternType="solid">
          <fgColor rgb="FF82CAEB"/>
          <bgColor rgb="FF82CAEB"/>
        </patternFill>
      </fill>
      <border/>
    </dxf>
  </dxfs>
  <tableStyles count="1">
    <tableStyle count="3" pivot="0" name="main 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25" displayName="Table_1" name="Table_1" id="1">
  <tableColumns count="7">
    <tableColumn name="EmployeeID" id="1"/>
    <tableColumn name="JoinDate" id="2"/>
    <tableColumn name="Name" id="3"/>
    <tableColumn name="Department" id="4"/>
    <tableColumn name="Age" id="5"/>
    <tableColumn name="Salary" id="6"/>
    <tableColumn name="PerformanceScore" id="7"/>
  </tableColumns>
  <tableStyleInfo name="main 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7.25"/>
    <col customWidth="1" min="3" max="3" width="25.75"/>
    <col customWidth="1" min="4" max="5" width="8.63"/>
    <col customWidth="1" min="6" max="6" width="19.88"/>
    <col customWidth="1" min="7" max="7" width="10.88"/>
    <col customWidth="1" min="8" max="10" width="8.63"/>
    <col customWidth="1" min="11" max="11" width="30.25"/>
    <col customWidth="1" min="12" max="12" width="13.88"/>
    <col customWidth="1" min="13" max="13" width="18.38"/>
    <col customWidth="1" min="14" max="14" width="25.38"/>
    <col customWidth="1" min="15" max="15" width="14.88"/>
    <col customWidth="1" min="16" max="26" width="8.63"/>
  </cols>
  <sheetData>
    <row r="1" ht="91.5" customHeight="1">
      <c r="A1" s="1" t="s">
        <v>0</v>
      </c>
    </row>
    <row r="2" ht="14.25" customHeight="1">
      <c r="A2" s="2"/>
      <c r="B2" s="3"/>
    </row>
    <row r="3" ht="14.25" customHeight="1">
      <c r="A3" s="2"/>
    </row>
    <row r="4" ht="14.25" customHeight="1"/>
    <row r="5" ht="14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ht="14.25" customHeight="1">
      <c r="A6" s="4">
        <v>101.0</v>
      </c>
      <c r="B6" s="5">
        <v>43595.0</v>
      </c>
      <c r="C6" s="4" t="s">
        <v>8</v>
      </c>
      <c r="D6" s="4" t="s">
        <v>9</v>
      </c>
      <c r="E6" s="4">
        <v>29.0</v>
      </c>
      <c r="F6" s="4">
        <v>52000.0</v>
      </c>
      <c r="G6" s="4">
        <v>85.0</v>
      </c>
    </row>
    <row r="7" ht="14.25" customHeight="1">
      <c r="A7" s="4">
        <v>102.0</v>
      </c>
      <c r="B7" s="5">
        <v>43173.0</v>
      </c>
      <c r="C7" s="4" t="s">
        <v>10</v>
      </c>
      <c r="D7" s="4" t="s">
        <v>11</v>
      </c>
      <c r="E7" s="4">
        <v>34.0</v>
      </c>
      <c r="F7" s="4">
        <v>48000.0</v>
      </c>
      <c r="G7" s="4">
        <v>90.0</v>
      </c>
      <c r="L7" s="6"/>
      <c r="O7" s="6"/>
    </row>
    <row r="8" ht="14.25" customHeight="1">
      <c r="A8" s="4">
        <v>103.0</v>
      </c>
      <c r="B8" s="5">
        <v>44033.0</v>
      </c>
      <c r="C8" s="4" t="s">
        <v>12</v>
      </c>
      <c r="D8" s="4" t="s">
        <v>13</v>
      </c>
      <c r="E8" s="4">
        <v>27.0</v>
      </c>
      <c r="F8" s="4">
        <v>60000.0</v>
      </c>
      <c r="G8" s="4">
        <v>78.0</v>
      </c>
    </row>
    <row r="9" ht="14.25" customHeight="1">
      <c r="A9" s="4">
        <v>104.0</v>
      </c>
      <c r="B9" s="5">
        <v>43726.0</v>
      </c>
      <c r="C9" s="4" t="s">
        <v>14</v>
      </c>
      <c r="D9" s="4" t="s">
        <v>9</v>
      </c>
      <c r="E9" s="4">
        <v>31.0</v>
      </c>
      <c r="F9" s="4">
        <v>55000.0</v>
      </c>
      <c r="G9" s="4">
        <v>88.0</v>
      </c>
    </row>
    <row r="10" ht="14.25" customHeight="1">
      <c r="A10" s="4">
        <v>105.0</v>
      </c>
      <c r="B10" s="5">
        <v>42009.0</v>
      </c>
      <c r="C10" s="4" t="s">
        <v>15</v>
      </c>
      <c r="D10" s="4" t="s">
        <v>16</v>
      </c>
      <c r="E10" s="4">
        <v>45.0</v>
      </c>
      <c r="F10" s="4">
        <v>75000.0</v>
      </c>
      <c r="G10" s="4">
        <v>92.0</v>
      </c>
      <c r="K10" s="7"/>
      <c r="L10" s="7"/>
      <c r="M10" s="7"/>
      <c r="N10" s="7"/>
      <c r="O10" s="7"/>
    </row>
    <row r="11" ht="14.25" customHeight="1">
      <c r="A11" s="4">
        <v>106.0</v>
      </c>
      <c r="B11" s="5">
        <v>44523.0</v>
      </c>
      <c r="C11" s="4" t="s">
        <v>17</v>
      </c>
      <c r="D11" s="4" t="s">
        <v>13</v>
      </c>
      <c r="E11" s="4">
        <v>29.0</v>
      </c>
      <c r="F11" s="4">
        <v>62000.0</v>
      </c>
      <c r="G11" s="4">
        <v>81.0</v>
      </c>
    </row>
    <row r="12" ht="20.25" customHeight="1">
      <c r="A12" s="4">
        <v>107.0</v>
      </c>
      <c r="B12" s="5">
        <v>42837.0</v>
      </c>
      <c r="C12" s="4" t="s">
        <v>18</v>
      </c>
      <c r="D12" s="4" t="s">
        <v>9</v>
      </c>
      <c r="E12" s="4">
        <v>36.0</v>
      </c>
      <c r="F12" s="4">
        <v>0.0</v>
      </c>
      <c r="G12" s="4">
        <v>86.0</v>
      </c>
    </row>
    <row r="13" ht="14.25" customHeight="1">
      <c r="A13" s="4">
        <v>108.0</v>
      </c>
      <c r="B13" s="5">
        <v>42420.0</v>
      </c>
      <c r="C13" s="4" t="s">
        <v>19</v>
      </c>
      <c r="D13" s="4" t="s">
        <v>20</v>
      </c>
      <c r="E13" s="4">
        <v>41.0</v>
      </c>
      <c r="F13" s="4">
        <v>50000.0</v>
      </c>
      <c r="G13" s="4">
        <v>79.0</v>
      </c>
    </row>
    <row r="14" ht="14.25" customHeight="1">
      <c r="A14" s="4">
        <v>109.0</v>
      </c>
      <c r="B14" s="5">
        <v>43342.0</v>
      </c>
      <c r="C14" s="4" t="s">
        <v>21</v>
      </c>
      <c r="D14" s="4" t="s">
        <v>16</v>
      </c>
      <c r="E14" s="4">
        <v>33.0</v>
      </c>
      <c r="F14" s="4">
        <v>72000.0</v>
      </c>
      <c r="G14" s="4">
        <v>95.0</v>
      </c>
    </row>
    <row r="15" ht="14.25" customHeight="1">
      <c r="A15" s="4">
        <v>110.0</v>
      </c>
      <c r="B15" s="5">
        <v>43810.0</v>
      </c>
      <c r="C15" s="4" t="s">
        <v>22</v>
      </c>
      <c r="D15" s="4" t="s">
        <v>13</v>
      </c>
      <c r="E15" s="4">
        <v>38.0</v>
      </c>
      <c r="F15" s="4">
        <v>76000.0</v>
      </c>
      <c r="G15" s="4">
        <v>82.0</v>
      </c>
    </row>
    <row r="16" ht="14.25" customHeight="1">
      <c r="A16" s="4">
        <v>111.0</v>
      </c>
      <c r="B16" s="5">
        <v>44119.0</v>
      </c>
      <c r="C16" s="4" t="s">
        <v>23</v>
      </c>
      <c r="D16" s="4" t="s">
        <v>9</v>
      </c>
      <c r="E16" s="4">
        <v>0.0</v>
      </c>
      <c r="F16" s="4">
        <v>53000.0</v>
      </c>
      <c r="G16" s="4">
        <v>88.0</v>
      </c>
    </row>
    <row r="17" ht="14.25" customHeight="1">
      <c r="A17" s="4">
        <v>112.0</v>
      </c>
      <c r="B17" s="5">
        <v>44221.0</v>
      </c>
      <c r="C17" s="4" t="s">
        <v>24</v>
      </c>
      <c r="D17" s="4" t="s">
        <v>11</v>
      </c>
      <c r="E17" s="4">
        <v>26.0</v>
      </c>
      <c r="F17" s="4">
        <v>47000.0</v>
      </c>
      <c r="G17" s="4">
        <v>0.0</v>
      </c>
    </row>
    <row r="18" ht="14.25" customHeight="1">
      <c r="A18" s="4">
        <v>113.0</v>
      </c>
      <c r="B18" s="5">
        <v>41839.0</v>
      </c>
      <c r="C18" s="4" t="s">
        <v>25</v>
      </c>
      <c r="D18" s="4" t="s">
        <v>26</v>
      </c>
      <c r="E18" s="4">
        <v>44.0</v>
      </c>
      <c r="F18" s="4">
        <v>78000.0</v>
      </c>
      <c r="G18" s="4">
        <v>91.0</v>
      </c>
    </row>
    <row r="19" ht="14.25" customHeight="1">
      <c r="A19" s="4">
        <v>114.0</v>
      </c>
      <c r="B19" s="5">
        <v>44628.0</v>
      </c>
      <c r="C19" s="4" t="s">
        <v>27</v>
      </c>
      <c r="D19" s="4" t="s">
        <v>13</v>
      </c>
      <c r="E19" s="4">
        <v>28.0</v>
      </c>
      <c r="F19" s="4">
        <v>61000.0</v>
      </c>
      <c r="G19" s="4">
        <v>88.0</v>
      </c>
    </row>
    <row r="20" ht="14.25" customHeight="1">
      <c r="A20" s="4">
        <v>115.0</v>
      </c>
      <c r="B20" s="5">
        <v>43622.0</v>
      </c>
      <c r="C20" s="4" t="s">
        <v>28</v>
      </c>
      <c r="D20" s="4" t="s">
        <v>29</v>
      </c>
      <c r="E20" s="4">
        <v>30.0</v>
      </c>
      <c r="F20" s="4">
        <v>54000.0</v>
      </c>
      <c r="G20" s="4">
        <v>87.0</v>
      </c>
    </row>
    <row r="21" ht="14.25" customHeight="1">
      <c r="A21" s="4">
        <v>116.0</v>
      </c>
      <c r="B21" s="5">
        <v>43356.0</v>
      </c>
      <c r="C21" s="4" t="s">
        <v>30</v>
      </c>
      <c r="D21" s="4" t="s">
        <v>31</v>
      </c>
      <c r="E21" s="4">
        <v>32.0</v>
      </c>
      <c r="F21" s="4">
        <v>72000.0</v>
      </c>
      <c r="G21" s="4">
        <v>89.0</v>
      </c>
    </row>
    <row r="22" ht="14.25" customHeight="1">
      <c r="A22" s="4">
        <v>117.0</v>
      </c>
      <c r="B22" s="5">
        <v>43953.0</v>
      </c>
      <c r="C22" s="4" t="s">
        <v>32</v>
      </c>
      <c r="D22" s="4" t="s">
        <v>11</v>
      </c>
      <c r="E22" s="4">
        <v>31.0</v>
      </c>
      <c r="F22" s="4">
        <v>49000.0</v>
      </c>
      <c r="G22" s="4">
        <v>80.0</v>
      </c>
    </row>
    <row r="23" ht="14.25" customHeight="1">
      <c r="A23" s="4">
        <v>118.0</v>
      </c>
      <c r="B23" s="5">
        <v>42975.0</v>
      </c>
      <c r="C23" s="4" t="s">
        <v>33</v>
      </c>
      <c r="D23" s="4" t="s">
        <v>13</v>
      </c>
      <c r="E23" s="4">
        <v>35.0</v>
      </c>
      <c r="F23" s="4">
        <v>64000.0</v>
      </c>
      <c r="G23" s="4">
        <v>93.0</v>
      </c>
    </row>
    <row r="24" ht="14.25" customHeight="1">
      <c r="A24" s="4">
        <v>119.0</v>
      </c>
      <c r="B24" s="5">
        <v>42696.0</v>
      </c>
      <c r="C24" s="4" t="s">
        <v>34</v>
      </c>
      <c r="D24" s="4" t="s">
        <v>9</v>
      </c>
      <c r="E24" s="4">
        <v>39.0</v>
      </c>
      <c r="F24" s="4">
        <v>56000.0</v>
      </c>
      <c r="G24" s="4">
        <v>84.0</v>
      </c>
      <c r="K24" s="8"/>
      <c r="L24" s="8"/>
      <c r="M24" s="8"/>
      <c r="N24" s="8"/>
      <c r="O24" s="8"/>
    </row>
    <row r="25" ht="14.25" customHeight="1">
      <c r="A25" s="4">
        <v>120.0</v>
      </c>
      <c r="B25" s="5">
        <v>42348.0</v>
      </c>
      <c r="C25" s="4" t="s">
        <v>35</v>
      </c>
      <c r="D25" s="4" t="s">
        <v>16</v>
      </c>
      <c r="E25" s="4">
        <v>37.0</v>
      </c>
      <c r="F25" s="4">
        <v>73000.0</v>
      </c>
      <c r="G25" s="4">
        <v>90.0</v>
      </c>
    </row>
    <row r="26" ht="14.25" customHeight="1">
      <c r="K26" s="9"/>
    </row>
    <row r="27" ht="14.25" customHeight="1"/>
    <row r="28" ht="14.25" customHeight="1">
      <c r="K28" s="10"/>
    </row>
    <row r="29" ht="14.25" customHeight="1">
      <c r="K29" s="10"/>
    </row>
    <row r="30" ht="14.25" customHeight="1"/>
    <row r="31" ht="14.25" customHeight="1"/>
    <row r="32" ht="14.25" customHeight="1">
      <c r="A32" s="2"/>
    </row>
    <row r="33" ht="14.25" customHeight="1">
      <c r="A33" s="2"/>
    </row>
    <row r="34" ht="14.25" customHeight="1">
      <c r="A34" s="2"/>
    </row>
    <row r="35" ht="14.25" customHeight="1">
      <c r="A35" s="2"/>
    </row>
    <row r="36" ht="14.25" customHeight="1">
      <c r="A36" s="2"/>
    </row>
    <row r="37" ht="14.25" customHeight="1">
      <c r="A37" s="2"/>
    </row>
    <row r="38" ht="14.25" customHeight="1">
      <c r="A38" s="2"/>
    </row>
    <row r="39" ht="14.25" customHeight="1">
      <c r="A39" s="2"/>
    </row>
    <row r="40" ht="14.25" customHeight="1">
      <c r="A40" s="2"/>
    </row>
    <row r="41" ht="14.25" customHeight="1">
      <c r="A41" s="2"/>
    </row>
    <row r="42" ht="14.25" customHeight="1">
      <c r="A42" s="2"/>
    </row>
    <row r="43" ht="14.25" customHeight="1">
      <c r="A43" s="2"/>
    </row>
    <row r="44" ht="14.25" customHeight="1">
      <c r="A44" s="2"/>
    </row>
    <row r="45" ht="14.25" customHeight="1">
      <c r="A45" s="2"/>
    </row>
    <row r="46" ht="14.25" customHeight="1">
      <c r="A46" s="2"/>
    </row>
    <row r="47" ht="14.25" customHeight="1">
      <c r="A47" s="2"/>
    </row>
    <row r="48" ht="14.25" customHeight="1">
      <c r="A48" s="2"/>
    </row>
    <row r="49" ht="14.25" customHeight="1">
      <c r="A49" s="2"/>
    </row>
    <row r="50" ht="14.25" customHeight="1">
      <c r="A50" s="2"/>
    </row>
    <row r="51" ht="14.25" customHeight="1">
      <c r="A51" s="2"/>
    </row>
    <row r="52" ht="14.25" customHeight="1">
      <c r="A52" s="2"/>
    </row>
    <row r="53" ht="14.25" customHeight="1">
      <c r="A53" s="2"/>
    </row>
    <row r="54" ht="14.25" customHeight="1">
      <c r="A54" s="2"/>
    </row>
    <row r="55" ht="14.25" customHeight="1">
      <c r="A55" s="2"/>
    </row>
    <row r="56" ht="14.25" customHeight="1">
      <c r="A56" s="2"/>
    </row>
    <row r="57" ht="14.25" customHeight="1">
      <c r="A57" s="2"/>
    </row>
    <row r="58" ht="14.25" customHeight="1">
      <c r="A58" s="2"/>
    </row>
    <row r="59" ht="14.25" customHeight="1">
      <c r="A59" s="2"/>
    </row>
    <row r="60" ht="14.25" customHeight="1">
      <c r="A60" s="2"/>
    </row>
    <row r="61" ht="14.25" customHeight="1">
      <c r="A61" s="2"/>
    </row>
    <row r="62" ht="14.25" customHeight="1">
      <c r="A62" s="2"/>
    </row>
    <row r="63" ht="14.25" customHeight="1">
      <c r="A63" s="2"/>
    </row>
    <row r="64" ht="14.25" customHeight="1">
      <c r="A64" s="2"/>
    </row>
    <row r="65" ht="14.25" customHeight="1">
      <c r="A65" s="2"/>
    </row>
    <row r="66" ht="14.25" customHeight="1">
      <c r="A66" s="2"/>
    </row>
    <row r="67" ht="14.25" customHeight="1">
      <c r="A67" s="2"/>
    </row>
    <row r="68" ht="14.25" customHeight="1">
      <c r="A68" s="2"/>
    </row>
    <row r="69" ht="14.25" customHeight="1">
      <c r="A69" s="2"/>
    </row>
    <row r="70" ht="14.25" customHeight="1">
      <c r="A70" s="2"/>
    </row>
    <row r="71" ht="14.25" customHeight="1">
      <c r="A71" s="2"/>
    </row>
    <row r="72" ht="14.25" customHeight="1">
      <c r="A72" s="2"/>
    </row>
    <row r="73" ht="14.25" customHeight="1">
      <c r="A73" s="2"/>
    </row>
    <row r="74" ht="14.25" customHeight="1">
      <c r="A74" s="2"/>
    </row>
    <row r="75" ht="14.25" customHeight="1">
      <c r="A75" s="2"/>
    </row>
    <row r="76" ht="14.25" customHeight="1">
      <c r="A76" s="2"/>
    </row>
    <row r="77" ht="14.25" customHeight="1">
      <c r="A77" s="2"/>
    </row>
    <row r="78" ht="14.25" customHeight="1">
      <c r="A78" s="2"/>
    </row>
    <row r="79" ht="14.25" customHeight="1">
      <c r="A79" s="2"/>
    </row>
    <row r="80" ht="14.25" customHeight="1">
      <c r="A80" s="2"/>
    </row>
    <row r="81" ht="14.25" customHeight="1">
      <c r="A81" s="2"/>
    </row>
    <row r="82" ht="14.25" customHeight="1">
      <c r="A82" s="2"/>
    </row>
    <row r="83" ht="14.25" customHeight="1">
      <c r="A83" s="2"/>
    </row>
    <row r="84" ht="14.25" customHeight="1">
      <c r="A84" s="2"/>
    </row>
    <row r="85" ht="14.25" customHeight="1">
      <c r="A85" s="2"/>
    </row>
    <row r="86" ht="14.25" customHeight="1">
      <c r="A86" s="2"/>
    </row>
    <row r="87" ht="14.25" customHeight="1">
      <c r="A87" s="2"/>
    </row>
    <row r="88" ht="14.25" customHeight="1">
      <c r="A88" s="2"/>
    </row>
    <row r="89" ht="14.25" customHeight="1">
      <c r="A89" s="2"/>
    </row>
    <row r="90" ht="14.25" customHeight="1">
      <c r="A90" s="2"/>
    </row>
    <row r="91" ht="14.25" customHeight="1">
      <c r="A91" s="2"/>
    </row>
    <row r="92" ht="14.25" customHeight="1">
      <c r="A92" s="2"/>
    </row>
    <row r="93" ht="14.25" customHeight="1">
      <c r="A93" s="2"/>
    </row>
    <row r="94" ht="14.25" customHeight="1">
      <c r="A94" s="2"/>
    </row>
    <row r="95" ht="14.25" customHeight="1">
      <c r="A95" s="2"/>
    </row>
    <row r="96" ht="14.25" customHeight="1">
      <c r="A96" s="2"/>
    </row>
    <row r="97" ht="14.25" customHeight="1">
      <c r="A97" s="2"/>
    </row>
    <row r="98" ht="14.25" customHeight="1">
      <c r="A98" s="2"/>
    </row>
    <row r="99" ht="14.25" customHeight="1">
      <c r="A99" s="2"/>
    </row>
    <row r="100" ht="14.25" customHeight="1">
      <c r="A100" s="2"/>
    </row>
    <row r="101" ht="14.25" customHeight="1">
      <c r="A101" s="2"/>
    </row>
    <row r="102" ht="14.25" customHeight="1">
      <c r="A102" s="2"/>
    </row>
    <row r="103" ht="14.25" customHeight="1">
      <c r="A103" s="2"/>
    </row>
    <row r="104" ht="14.25" customHeight="1">
      <c r="A104" s="2"/>
    </row>
    <row r="105" ht="14.25" customHeight="1">
      <c r="A105" s="2"/>
    </row>
    <row r="106" ht="14.25" customHeight="1">
      <c r="A106" s="2"/>
    </row>
    <row r="107" ht="14.25" customHeight="1">
      <c r="A107" s="2"/>
    </row>
    <row r="108" ht="14.25" customHeight="1">
      <c r="A108" s="2"/>
    </row>
    <row r="109" ht="14.25" customHeight="1">
      <c r="A109" s="2"/>
    </row>
    <row r="110" ht="14.25" customHeight="1">
      <c r="A110" s="2"/>
    </row>
    <row r="111" ht="14.25" customHeight="1">
      <c r="A111" s="2"/>
    </row>
    <row r="112" ht="14.25" customHeight="1">
      <c r="A112" s="2"/>
    </row>
    <row r="113" ht="14.25" customHeight="1">
      <c r="A113" s="2"/>
    </row>
    <row r="114" ht="14.25" customHeight="1">
      <c r="A114" s="2"/>
    </row>
    <row r="115" ht="14.25" customHeight="1">
      <c r="A115" s="2"/>
    </row>
    <row r="116" ht="14.25" customHeight="1">
      <c r="A116" s="2"/>
    </row>
    <row r="117" ht="14.25" customHeight="1">
      <c r="A117" s="2"/>
    </row>
    <row r="118" ht="14.25" customHeight="1">
      <c r="A118" s="2"/>
    </row>
    <row r="119" ht="14.25" customHeight="1">
      <c r="A119" s="2"/>
    </row>
    <row r="120" ht="14.25" customHeight="1">
      <c r="A120" s="2"/>
    </row>
    <row r="121" ht="14.25" customHeight="1">
      <c r="A121" s="2"/>
    </row>
    <row r="122" ht="14.25" customHeight="1">
      <c r="A122" s="2"/>
    </row>
    <row r="123" ht="14.25" customHeight="1">
      <c r="A123" s="2"/>
    </row>
    <row r="124" ht="14.25" customHeight="1">
      <c r="A124" s="2"/>
    </row>
    <row r="125" ht="14.25" customHeight="1">
      <c r="A125" s="2"/>
    </row>
    <row r="126" ht="14.25" customHeight="1">
      <c r="A126" s="2"/>
    </row>
    <row r="127" ht="14.25" customHeight="1">
      <c r="A127" s="2"/>
    </row>
    <row r="128" ht="14.25" customHeight="1">
      <c r="A128" s="2"/>
    </row>
    <row r="129" ht="14.25" customHeight="1">
      <c r="A129" s="2"/>
    </row>
    <row r="130" ht="14.25" customHeight="1">
      <c r="A130" s="2"/>
    </row>
    <row r="131" ht="14.25" customHeight="1">
      <c r="A131" s="2"/>
    </row>
    <row r="132" ht="14.25" customHeight="1">
      <c r="A132" s="2"/>
    </row>
    <row r="133" ht="14.25" customHeight="1">
      <c r="A133" s="2"/>
    </row>
    <row r="134" ht="14.25" customHeight="1">
      <c r="A134" s="2"/>
    </row>
    <row r="135" ht="14.25" customHeight="1">
      <c r="A135" s="2"/>
    </row>
    <row r="136" ht="14.25" customHeight="1">
      <c r="A136" s="2"/>
    </row>
    <row r="137" ht="14.25" customHeight="1">
      <c r="A137" s="2"/>
    </row>
    <row r="138" ht="14.25" customHeight="1">
      <c r="A138" s="2"/>
    </row>
    <row r="139" ht="14.25" customHeight="1">
      <c r="A139" s="2"/>
    </row>
    <row r="140" ht="14.25" customHeight="1">
      <c r="A140" s="2"/>
    </row>
    <row r="141" ht="14.25" customHeight="1">
      <c r="A141" s="2"/>
    </row>
    <row r="142" ht="14.25" customHeight="1">
      <c r="A142" s="2"/>
    </row>
    <row r="143" ht="14.25" customHeight="1">
      <c r="A143" s="2"/>
    </row>
    <row r="144" ht="14.25" customHeight="1">
      <c r="A144" s="2"/>
    </row>
    <row r="145" ht="14.25" customHeight="1">
      <c r="A145" s="2"/>
    </row>
    <row r="146" ht="14.25" customHeight="1">
      <c r="A146" s="2"/>
    </row>
    <row r="147" ht="14.25" customHeight="1">
      <c r="A147" s="2"/>
    </row>
    <row r="148" ht="14.25" customHeight="1">
      <c r="A148" s="2"/>
    </row>
    <row r="149" ht="14.25" customHeight="1">
      <c r="A149" s="2"/>
    </row>
    <row r="150" ht="14.25" customHeight="1">
      <c r="A150" s="2"/>
    </row>
    <row r="151" ht="14.25" customHeight="1">
      <c r="A151" s="2"/>
    </row>
    <row r="152" ht="14.25" customHeight="1">
      <c r="A152" s="2"/>
    </row>
    <row r="153" ht="14.25" customHeight="1">
      <c r="A153" s="2"/>
    </row>
    <row r="154" ht="14.25" customHeight="1">
      <c r="A154" s="2"/>
    </row>
    <row r="155" ht="14.25" customHeight="1">
      <c r="A155" s="2"/>
    </row>
    <row r="156" ht="14.25" customHeight="1">
      <c r="A156" s="2"/>
    </row>
    <row r="157" ht="14.25" customHeight="1">
      <c r="A157" s="2"/>
    </row>
    <row r="158" ht="14.25" customHeight="1">
      <c r="A158" s="2"/>
    </row>
    <row r="159" ht="14.25" customHeight="1">
      <c r="A159" s="2"/>
    </row>
    <row r="160" ht="14.25" customHeight="1">
      <c r="A160" s="2"/>
    </row>
    <row r="161" ht="14.25" customHeight="1">
      <c r="A161" s="2"/>
    </row>
    <row r="162" ht="14.25" customHeight="1">
      <c r="A162" s="2"/>
    </row>
    <row r="163" ht="14.25" customHeight="1">
      <c r="A163" s="2"/>
    </row>
    <row r="164" ht="14.25" customHeight="1">
      <c r="A164" s="2"/>
    </row>
    <row r="165" ht="14.25" customHeight="1">
      <c r="A165" s="2"/>
    </row>
    <row r="166" ht="14.25" customHeight="1">
      <c r="A166" s="2"/>
    </row>
    <row r="167" ht="14.25" customHeight="1">
      <c r="A167" s="2"/>
    </row>
    <row r="168" ht="14.25" customHeight="1">
      <c r="A168" s="2"/>
    </row>
    <row r="169" ht="14.25" customHeight="1">
      <c r="A169" s="2"/>
    </row>
    <row r="170" ht="14.25" customHeight="1">
      <c r="A170" s="2"/>
    </row>
    <row r="171" ht="14.25" customHeight="1">
      <c r="A171" s="2"/>
    </row>
    <row r="172" ht="14.25" customHeight="1">
      <c r="A172" s="2"/>
    </row>
    <row r="173" ht="14.25" customHeight="1">
      <c r="A173" s="2"/>
    </row>
    <row r="174" ht="14.25" customHeight="1">
      <c r="A174" s="2"/>
    </row>
    <row r="175" ht="14.25" customHeight="1">
      <c r="A175" s="2"/>
    </row>
    <row r="176" ht="14.25" customHeight="1">
      <c r="A176" s="2"/>
    </row>
    <row r="177" ht="14.25" customHeight="1">
      <c r="A177" s="2"/>
    </row>
    <row r="178" ht="14.25" customHeight="1">
      <c r="A178" s="2"/>
    </row>
    <row r="179" ht="14.25" customHeight="1">
      <c r="A179" s="2"/>
    </row>
    <row r="180" ht="14.25" customHeight="1">
      <c r="A180" s="2"/>
    </row>
    <row r="181" ht="14.25" customHeight="1">
      <c r="A181" s="2"/>
    </row>
    <row r="182" ht="14.25" customHeight="1">
      <c r="A182" s="2"/>
    </row>
    <row r="183" ht="14.25" customHeight="1">
      <c r="A183" s="2"/>
    </row>
    <row r="184" ht="14.25" customHeight="1">
      <c r="A184" s="2"/>
    </row>
    <row r="185" ht="14.25" customHeight="1">
      <c r="A185" s="2"/>
    </row>
    <row r="186" ht="14.25" customHeight="1">
      <c r="A186" s="2"/>
    </row>
    <row r="187" ht="14.25" customHeight="1">
      <c r="A187" s="2"/>
    </row>
    <row r="188" ht="14.25" customHeight="1">
      <c r="A188" s="2"/>
    </row>
    <row r="189" ht="14.25" customHeight="1">
      <c r="A189" s="2"/>
    </row>
    <row r="190" ht="14.25" customHeight="1">
      <c r="A190" s="2"/>
    </row>
    <row r="191" ht="14.25" customHeight="1">
      <c r="A191" s="2"/>
    </row>
    <row r="192" ht="14.25" customHeight="1">
      <c r="A192" s="2"/>
    </row>
    <row r="193" ht="14.25" customHeight="1">
      <c r="A193" s="2"/>
    </row>
    <row r="194" ht="14.25" customHeight="1">
      <c r="A194" s="2"/>
    </row>
    <row r="195" ht="14.25" customHeight="1">
      <c r="A195" s="2"/>
    </row>
    <row r="196" ht="14.25" customHeight="1">
      <c r="A196" s="2"/>
    </row>
    <row r="197" ht="14.25" customHeight="1">
      <c r="A197" s="2"/>
    </row>
    <row r="198" ht="14.25" customHeight="1">
      <c r="A198" s="2"/>
    </row>
    <row r="199" ht="14.25" customHeight="1">
      <c r="A199" s="2"/>
    </row>
    <row r="200" ht="14.25" customHeight="1">
      <c r="A200" s="2"/>
    </row>
    <row r="201" ht="14.25" customHeight="1">
      <c r="A201" s="2"/>
    </row>
    <row r="202" ht="14.25" customHeight="1">
      <c r="A202" s="2"/>
    </row>
    <row r="203" ht="14.25" customHeight="1">
      <c r="A203" s="2"/>
    </row>
    <row r="204" ht="14.25" customHeight="1">
      <c r="A204" s="2"/>
    </row>
    <row r="205" ht="14.25" customHeight="1">
      <c r="A205" s="2"/>
    </row>
    <row r="206" ht="14.25" customHeight="1">
      <c r="A206" s="2"/>
    </row>
    <row r="207" ht="14.25" customHeight="1">
      <c r="A207" s="2"/>
    </row>
    <row r="208" ht="14.25" customHeight="1">
      <c r="A208" s="2"/>
    </row>
    <row r="209" ht="14.25" customHeight="1">
      <c r="A209" s="2"/>
    </row>
    <row r="210" ht="14.25" customHeight="1">
      <c r="A210" s="2"/>
    </row>
    <row r="211" ht="14.25" customHeight="1">
      <c r="A211" s="2"/>
    </row>
    <row r="212" ht="14.25" customHeight="1">
      <c r="A212" s="2"/>
    </row>
    <row r="213" ht="14.25" customHeight="1">
      <c r="A213" s="2"/>
    </row>
    <row r="214" ht="14.25" customHeight="1">
      <c r="A214" s="2"/>
    </row>
    <row r="215" ht="14.25" customHeight="1">
      <c r="A215" s="2"/>
    </row>
    <row r="216" ht="14.25" customHeight="1">
      <c r="A216" s="2"/>
    </row>
    <row r="217" ht="14.25" customHeight="1">
      <c r="A217" s="2"/>
    </row>
    <row r="218" ht="14.25" customHeight="1">
      <c r="A218" s="2"/>
    </row>
    <row r="219" ht="14.25" customHeight="1">
      <c r="A219" s="2"/>
    </row>
    <row r="220" ht="14.25" customHeight="1">
      <c r="A220" s="2"/>
    </row>
    <row r="221" ht="14.25" customHeight="1">
      <c r="A221" s="2"/>
    </row>
    <row r="222" ht="14.25" customHeight="1">
      <c r="A222" s="2"/>
    </row>
    <row r="223" ht="14.25" customHeight="1">
      <c r="A223" s="2"/>
    </row>
    <row r="224" ht="14.25" customHeight="1">
      <c r="A224" s="2"/>
    </row>
    <row r="225" ht="14.25" customHeight="1">
      <c r="A225" s="2"/>
    </row>
    <row r="226" ht="14.25" customHeight="1">
      <c r="A226" s="2"/>
    </row>
    <row r="227" ht="14.25" customHeight="1">
      <c r="A227" s="2"/>
    </row>
    <row r="228" ht="14.25" customHeight="1">
      <c r="A228" s="2"/>
    </row>
    <row r="229" ht="14.25" customHeight="1">
      <c r="A229" s="2"/>
    </row>
    <row r="230" ht="14.25" customHeight="1">
      <c r="A230" s="2"/>
    </row>
    <row r="231" ht="14.25" customHeight="1">
      <c r="A231" s="2"/>
    </row>
    <row r="232" ht="14.25" customHeight="1">
      <c r="A232" s="2"/>
    </row>
    <row r="233" ht="14.25" customHeight="1">
      <c r="A233" s="2"/>
    </row>
    <row r="234" ht="14.25" customHeight="1">
      <c r="A234" s="2"/>
    </row>
    <row r="235" ht="14.25" customHeight="1">
      <c r="A235" s="2"/>
    </row>
    <row r="236" ht="14.25" customHeight="1">
      <c r="A236" s="2"/>
    </row>
    <row r="237" ht="14.25" customHeight="1">
      <c r="A237" s="2"/>
    </row>
    <row r="238" ht="14.25" customHeight="1">
      <c r="A238" s="2"/>
    </row>
    <row r="239" ht="14.25" customHeight="1">
      <c r="A239" s="2"/>
    </row>
    <row r="240" ht="14.25" customHeight="1">
      <c r="A240" s="2"/>
    </row>
    <row r="241" ht="14.25" customHeight="1">
      <c r="A241" s="2"/>
    </row>
    <row r="242" ht="14.25" customHeight="1">
      <c r="A242" s="2"/>
    </row>
    <row r="243" ht="14.25" customHeight="1">
      <c r="A243" s="2"/>
    </row>
    <row r="244" ht="14.25" customHeight="1">
      <c r="A244" s="2"/>
    </row>
    <row r="245" ht="14.25" customHeight="1">
      <c r="A245" s="2"/>
    </row>
    <row r="246" ht="14.25" customHeight="1">
      <c r="A246" s="2"/>
    </row>
    <row r="247" ht="14.25" customHeight="1">
      <c r="A247" s="2"/>
    </row>
    <row r="248" ht="14.25" customHeight="1">
      <c r="A248" s="2"/>
    </row>
    <row r="249" ht="14.25" customHeight="1">
      <c r="A249" s="2"/>
    </row>
    <row r="250" ht="14.25" customHeight="1">
      <c r="A250" s="2"/>
    </row>
    <row r="251" ht="14.25" customHeight="1">
      <c r="A251" s="2"/>
    </row>
    <row r="252" ht="14.25" customHeight="1">
      <c r="A252" s="2"/>
    </row>
    <row r="253" ht="14.25" customHeight="1">
      <c r="A253" s="2"/>
    </row>
    <row r="254" ht="14.25" customHeight="1">
      <c r="A254" s="2"/>
    </row>
    <row r="255" ht="14.25" customHeight="1">
      <c r="A255" s="2"/>
    </row>
    <row r="256" ht="14.25" customHeight="1">
      <c r="A256" s="2"/>
    </row>
    <row r="257" ht="14.25" customHeight="1">
      <c r="A257" s="2"/>
    </row>
    <row r="258" ht="14.25" customHeight="1">
      <c r="A258" s="2"/>
    </row>
    <row r="259" ht="14.25" customHeight="1">
      <c r="A259" s="2"/>
    </row>
    <row r="260" ht="14.25" customHeight="1">
      <c r="A260" s="2"/>
    </row>
    <row r="261" ht="14.25" customHeight="1">
      <c r="A261" s="2"/>
    </row>
    <row r="262" ht="14.25" customHeight="1">
      <c r="A262" s="2"/>
    </row>
    <row r="263" ht="14.25" customHeight="1">
      <c r="A263" s="2"/>
    </row>
    <row r="264" ht="14.25" customHeight="1">
      <c r="A264" s="2"/>
    </row>
    <row r="265" ht="14.25" customHeight="1">
      <c r="A265" s="2"/>
    </row>
    <row r="266" ht="14.25" customHeight="1">
      <c r="A266" s="2"/>
    </row>
    <row r="267" ht="14.25" customHeight="1">
      <c r="A267" s="2"/>
    </row>
    <row r="268" ht="14.25" customHeight="1">
      <c r="A268" s="2"/>
    </row>
    <row r="269" ht="14.25" customHeight="1">
      <c r="A269" s="2"/>
    </row>
    <row r="270" ht="14.25" customHeight="1">
      <c r="A270" s="2"/>
    </row>
    <row r="271" ht="14.25" customHeight="1">
      <c r="A271" s="2"/>
    </row>
    <row r="272" ht="14.25" customHeight="1">
      <c r="A272" s="2"/>
    </row>
    <row r="273" ht="14.25" customHeight="1">
      <c r="A273" s="2"/>
    </row>
    <row r="274" ht="14.25" customHeight="1">
      <c r="A274" s="2"/>
    </row>
    <row r="275" ht="14.25" customHeight="1">
      <c r="A275" s="2"/>
    </row>
    <row r="276" ht="14.25" customHeight="1">
      <c r="A276" s="2"/>
    </row>
    <row r="277" ht="14.25" customHeight="1">
      <c r="A277" s="2"/>
    </row>
    <row r="278" ht="14.25" customHeight="1">
      <c r="A278" s="2"/>
    </row>
    <row r="279" ht="14.25" customHeight="1">
      <c r="A279" s="2"/>
    </row>
    <row r="280" ht="14.25" customHeight="1">
      <c r="A280" s="2"/>
    </row>
    <row r="281" ht="14.25" customHeight="1">
      <c r="A281" s="2"/>
    </row>
    <row r="282" ht="14.25" customHeight="1">
      <c r="A282" s="2"/>
    </row>
    <row r="283" ht="14.25" customHeight="1">
      <c r="A283" s="2"/>
    </row>
    <row r="284" ht="14.25" customHeight="1">
      <c r="A284" s="2"/>
    </row>
    <row r="285" ht="14.25" customHeight="1">
      <c r="A285" s="2"/>
    </row>
    <row r="286" ht="14.25" customHeight="1">
      <c r="A286" s="2"/>
    </row>
    <row r="287" ht="14.25" customHeight="1">
      <c r="A287" s="2"/>
    </row>
    <row r="288" ht="14.25" customHeight="1">
      <c r="A288" s="2"/>
    </row>
    <row r="289" ht="14.25" customHeight="1">
      <c r="A289" s="2"/>
    </row>
    <row r="290" ht="14.25" customHeight="1">
      <c r="A290" s="2"/>
    </row>
    <row r="291" ht="14.25" customHeight="1">
      <c r="A291" s="2"/>
    </row>
    <row r="292" ht="14.25" customHeight="1">
      <c r="A292" s="2"/>
    </row>
    <row r="293" ht="14.25" customHeight="1">
      <c r="A293" s="2"/>
    </row>
    <row r="294" ht="14.25" customHeight="1">
      <c r="A294" s="2"/>
    </row>
    <row r="295" ht="14.25" customHeight="1">
      <c r="A295" s="2"/>
    </row>
    <row r="296" ht="14.25" customHeight="1">
      <c r="A296" s="2"/>
    </row>
    <row r="297" ht="14.25" customHeight="1">
      <c r="A297" s="2"/>
    </row>
    <row r="298" ht="14.25" customHeight="1">
      <c r="A298" s="2"/>
    </row>
    <row r="299" ht="14.25" customHeight="1">
      <c r="A299" s="2"/>
    </row>
    <row r="300" ht="14.25" customHeight="1">
      <c r="A300" s="2"/>
    </row>
    <row r="301" ht="14.25" customHeight="1">
      <c r="A301" s="2"/>
    </row>
    <row r="302" ht="14.25" customHeight="1">
      <c r="A302" s="2"/>
    </row>
    <row r="303" ht="14.25" customHeight="1">
      <c r="A303" s="2"/>
    </row>
    <row r="304" ht="14.25" customHeight="1">
      <c r="A304" s="2"/>
    </row>
    <row r="305" ht="14.25" customHeight="1">
      <c r="A305" s="2"/>
    </row>
    <row r="306" ht="14.25" customHeight="1">
      <c r="A306" s="2"/>
    </row>
    <row r="307" ht="14.25" customHeight="1">
      <c r="A307" s="2"/>
    </row>
    <row r="308" ht="14.25" customHeight="1">
      <c r="A308" s="2"/>
    </row>
    <row r="309" ht="14.25" customHeight="1">
      <c r="A309" s="2"/>
    </row>
    <row r="310" ht="14.25" customHeight="1">
      <c r="A310" s="2"/>
    </row>
    <row r="311" ht="14.25" customHeight="1">
      <c r="A311" s="2"/>
    </row>
    <row r="312" ht="14.25" customHeight="1">
      <c r="A312" s="2"/>
    </row>
    <row r="313" ht="14.25" customHeight="1">
      <c r="A313" s="2"/>
    </row>
    <row r="314" ht="14.25" customHeight="1">
      <c r="A314" s="2"/>
    </row>
    <row r="315" ht="14.25" customHeight="1">
      <c r="A315" s="2"/>
    </row>
    <row r="316" ht="14.25" customHeight="1">
      <c r="A316" s="2"/>
    </row>
    <row r="317" ht="14.25" customHeight="1">
      <c r="A317" s="2"/>
    </row>
    <row r="318" ht="14.25" customHeight="1">
      <c r="A318" s="2"/>
    </row>
    <row r="319" ht="14.25" customHeight="1">
      <c r="A319" s="2"/>
    </row>
    <row r="320" ht="14.25" customHeight="1">
      <c r="A320" s="2"/>
    </row>
    <row r="321" ht="14.25" customHeight="1">
      <c r="A321" s="2"/>
    </row>
    <row r="322" ht="14.25" customHeight="1">
      <c r="A322" s="2"/>
    </row>
    <row r="323" ht="14.25" customHeight="1">
      <c r="A323" s="2"/>
    </row>
    <row r="324" ht="14.25" customHeight="1">
      <c r="A324" s="2"/>
    </row>
    <row r="325" ht="14.25" customHeight="1">
      <c r="A325" s="2"/>
    </row>
    <row r="326" ht="14.25" customHeight="1">
      <c r="A326" s="2"/>
    </row>
    <row r="327" ht="14.25" customHeight="1">
      <c r="A327" s="2"/>
    </row>
    <row r="328" ht="14.25" customHeight="1">
      <c r="A328" s="2"/>
    </row>
    <row r="329" ht="14.25" customHeight="1">
      <c r="A329" s="2"/>
    </row>
    <row r="330" ht="14.25" customHeight="1">
      <c r="A330" s="2"/>
    </row>
    <row r="331" ht="14.25" customHeight="1">
      <c r="A331" s="2"/>
    </row>
    <row r="332" ht="14.25" customHeight="1">
      <c r="A332" s="2"/>
    </row>
    <row r="333" ht="14.25" customHeight="1">
      <c r="A333" s="2"/>
    </row>
    <row r="334" ht="14.25" customHeight="1">
      <c r="A334" s="2"/>
    </row>
    <row r="335" ht="14.25" customHeight="1">
      <c r="A335" s="2"/>
    </row>
    <row r="336" ht="14.25" customHeight="1">
      <c r="A336" s="2"/>
    </row>
    <row r="337" ht="14.25" customHeight="1">
      <c r="A337" s="2"/>
    </row>
    <row r="338" ht="14.25" customHeight="1">
      <c r="A338" s="2"/>
    </row>
    <row r="339" ht="14.25" customHeight="1">
      <c r="A339" s="2"/>
    </row>
    <row r="340" ht="14.25" customHeight="1">
      <c r="A340" s="2"/>
    </row>
    <row r="341" ht="14.25" customHeight="1">
      <c r="A341" s="2"/>
    </row>
    <row r="342" ht="14.25" customHeight="1">
      <c r="A342" s="2"/>
    </row>
    <row r="343" ht="14.25" customHeight="1">
      <c r="A343" s="2"/>
    </row>
    <row r="344" ht="14.25" customHeight="1">
      <c r="A344" s="2"/>
    </row>
    <row r="345" ht="14.25" customHeight="1">
      <c r="A345" s="2"/>
    </row>
    <row r="346" ht="14.25" customHeight="1">
      <c r="A346" s="2"/>
    </row>
    <row r="347" ht="14.25" customHeight="1">
      <c r="A347" s="2"/>
    </row>
    <row r="348" ht="14.25" customHeight="1">
      <c r="A348" s="2"/>
    </row>
    <row r="349" ht="14.25" customHeight="1">
      <c r="A349" s="2"/>
    </row>
    <row r="350" ht="14.25" customHeight="1">
      <c r="A350" s="2"/>
    </row>
    <row r="351" ht="14.25" customHeight="1">
      <c r="A351" s="2"/>
    </row>
    <row r="352" ht="14.25" customHeight="1">
      <c r="A352" s="2"/>
    </row>
    <row r="353" ht="14.25" customHeight="1">
      <c r="A353" s="2"/>
    </row>
    <row r="354" ht="14.25" customHeight="1">
      <c r="A354" s="2"/>
    </row>
    <row r="355" ht="14.25" customHeight="1">
      <c r="A355" s="2"/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  <row r="989" ht="14.25" customHeight="1">
      <c r="A989" s="2"/>
    </row>
    <row r="990" ht="14.25" customHeight="1">
      <c r="A990" s="2"/>
    </row>
    <row r="991" ht="14.25" customHeight="1">
      <c r="A991" s="2"/>
    </row>
    <row r="992" ht="14.25" customHeight="1">
      <c r="A992" s="2"/>
    </row>
    <row r="993" ht="14.25" customHeight="1">
      <c r="A993" s="2"/>
    </row>
    <row r="994" ht="14.25" customHeight="1">
      <c r="A994" s="2"/>
    </row>
    <row r="995" ht="14.25" customHeight="1">
      <c r="A995" s="2"/>
    </row>
    <row r="996" ht="14.25" customHeight="1">
      <c r="A996" s="2"/>
    </row>
    <row r="997" ht="14.25" customHeight="1">
      <c r="A997" s="2"/>
    </row>
    <row r="998" ht="14.25" customHeight="1">
      <c r="A998" s="2"/>
    </row>
    <row r="999" ht="14.25" customHeight="1">
      <c r="A999" s="2"/>
    </row>
    <row r="1000" ht="14.25" customHeight="1">
      <c r="A1000" s="2"/>
    </row>
  </sheetData>
  <mergeCells count="1">
    <mergeCell ref="A1:M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0.0"/>
    <col customWidth="1" min="2" max="2" width="11.5"/>
    <col customWidth="1" min="3" max="3" width="11.63"/>
    <col customWidth="1" min="4" max="4" width="11.13"/>
    <col customWidth="1" min="5" max="5" width="4.5"/>
    <col customWidth="1" min="6" max="6" width="6.5"/>
    <col customWidth="1" min="7" max="7" width="17.25"/>
    <col customWidth="1" min="8" max="9" width="8.63"/>
    <col customWidth="1" min="10" max="10" width="6.63"/>
    <col customWidth="1" min="11" max="11" width="16.25"/>
    <col customWidth="1" min="12" max="12" width="38.88"/>
    <col customWidth="1" min="13" max="14" width="8.63"/>
    <col customWidth="1" min="15" max="15" width="19.38"/>
    <col customWidth="1" min="16" max="16" width="14.0"/>
    <col customWidth="1" min="17" max="17" width="16.63"/>
    <col customWidth="1" min="18" max="26" width="8.63"/>
  </cols>
  <sheetData>
    <row r="1" ht="69.0" customHeight="1">
      <c r="A1" s="11"/>
    </row>
    <row r="2" ht="14.25" customHeight="1">
      <c r="A2" s="12" t="s">
        <v>36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4"/>
      <c r="B3" s="15"/>
      <c r="C3" s="13"/>
      <c r="D3" s="13"/>
      <c r="E3" s="13"/>
      <c r="F3" s="13"/>
      <c r="G3" s="13"/>
      <c r="H3" s="13"/>
      <c r="I3" s="13"/>
      <c r="J3" s="13"/>
      <c r="K3" s="16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4"/>
      <c r="B4" s="13"/>
      <c r="C4" s="13"/>
      <c r="D4" s="13"/>
      <c r="E4" s="13"/>
      <c r="F4" s="13"/>
      <c r="G4" s="13"/>
      <c r="H4" s="13"/>
      <c r="I4" s="13"/>
      <c r="J4" s="13"/>
      <c r="K4" s="16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4"/>
      <c r="B5" s="13"/>
      <c r="C5" s="13"/>
      <c r="D5" s="13"/>
      <c r="E5" s="13"/>
      <c r="F5" s="13"/>
      <c r="G5" s="13"/>
      <c r="H5" s="13"/>
      <c r="I5" s="13"/>
      <c r="J5" s="13"/>
      <c r="K5" s="16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7" t="s">
        <v>2</v>
      </c>
      <c r="B6" s="18" t="s">
        <v>1</v>
      </c>
      <c r="C6" s="18" t="s">
        <v>3</v>
      </c>
      <c r="D6" s="18" t="s">
        <v>4</v>
      </c>
      <c r="E6" s="18" t="s">
        <v>5</v>
      </c>
      <c r="F6" s="18" t="s">
        <v>6</v>
      </c>
      <c r="G6" s="18" t="s">
        <v>7</v>
      </c>
      <c r="H6" s="13"/>
      <c r="I6" s="13"/>
      <c r="J6" s="13"/>
      <c r="K6" s="16"/>
      <c r="L6" s="13"/>
      <c r="M6" s="19">
        <v>29.0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20">
        <v>43595.0</v>
      </c>
      <c r="B7" s="19">
        <v>101.0</v>
      </c>
      <c r="C7" s="15" t="s">
        <v>8</v>
      </c>
      <c r="D7" s="15" t="s">
        <v>9</v>
      </c>
      <c r="E7" s="19">
        <v>29.0</v>
      </c>
      <c r="F7" s="19">
        <v>52000.0</v>
      </c>
      <c r="G7" s="19">
        <v>85.0</v>
      </c>
      <c r="H7" s="13"/>
      <c r="I7" s="13"/>
      <c r="J7" s="13"/>
      <c r="K7" s="16"/>
      <c r="L7" s="13"/>
      <c r="M7" s="19">
        <v>27.0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20">
        <v>44033.0</v>
      </c>
      <c r="B8" s="19">
        <v>103.0</v>
      </c>
      <c r="C8" s="15" t="s">
        <v>12</v>
      </c>
      <c r="D8" s="15" t="s">
        <v>13</v>
      </c>
      <c r="E8" s="19">
        <v>27.0</v>
      </c>
      <c r="F8" s="19">
        <v>60000.0</v>
      </c>
      <c r="G8" s="19">
        <v>78.0</v>
      </c>
      <c r="H8" s="13"/>
      <c r="I8" s="13"/>
      <c r="J8" s="13"/>
      <c r="K8" s="21">
        <f>sum(F7:F25)/20</f>
        <v>58350</v>
      </c>
      <c r="L8" s="13"/>
      <c r="M8" s="19">
        <v>31.0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20">
        <v>43726.0</v>
      </c>
      <c r="B9" s="19">
        <v>104.0</v>
      </c>
      <c r="C9" s="15" t="s">
        <v>14</v>
      </c>
      <c r="D9" s="15" t="s">
        <v>9</v>
      </c>
      <c r="E9" s="19">
        <v>31.0</v>
      </c>
      <c r="F9" s="19">
        <v>55000.0</v>
      </c>
      <c r="G9" s="19">
        <v>88.0</v>
      </c>
      <c r="H9" s="13"/>
      <c r="I9" s="13"/>
      <c r="J9" s="13"/>
      <c r="K9" s="13"/>
      <c r="L9" s="13"/>
      <c r="M9" s="19">
        <v>45.0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20">
        <v>42009.0</v>
      </c>
      <c r="B10" s="19">
        <v>105.0</v>
      </c>
      <c r="C10" s="15" t="s">
        <v>15</v>
      </c>
      <c r="D10" s="15" t="s">
        <v>16</v>
      </c>
      <c r="E10" s="19">
        <v>45.0</v>
      </c>
      <c r="F10" s="19">
        <v>75000.0</v>
      </c>
      <c r="G10" s="19">
        <v>92.0</v>
      </c>
      <c r="H10" s="13"/>
      <c r="I10" s="13"/>
      <c r="J10" s="13"/>
      <c r="K10" s="13"/>
      <c r="L10" s="13"/>
      <c r="M10" s="19">
        <v>29.0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20">
        <v>44523.0</v>
      </c>
      <c r="B11" s="19">
        <v>106.0</v>
      </c>
      <c r="C11" s="15" t="s">
        <v>37</v>
      </c>
      <c r="D11" s="15" t="s">
        <v>13</v>
      </c>
      <c r="E11" s="19">
        <v>29.0</v>
      </c>
      <c r="F11" s="19">
        <v>62000.0</v>
      </c>
      <c r="G11" s="19">
        <v>81.0</v>
      </c>
      <c r="H11" s="13"/>
      <c r="I11" s="13"/>
      <c r="J11" s="13"/>
      <c r="K11" s="13"/>
      <c r="L11" s="13"/>
      <c r="M11" s="19">
        <v>36.0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20">
        <v>42837.0</v>
      </c>
      <c r="B12" s="19">
        <v>107.0</v>
      </c>
      <c r="C12" s="15" t="s">
        <v>18</v>
      </c>
      <c r="D12" s="15" t="s">
        <v>9</v>
      </c>
      <c r="E12" s="19">
        <v>36.0</v>
      </c>
      <c r="F12" s="19">
        <v>58000.0</v>
      </c>
      <c r="G12" s="19">
        <v>86.0</v>
      </c>
      <c r="H12" s="13"/>
      <c r="I12" s="13"/>
      <c r="J12" s="13"/>
      <c r="K12" s="13"/>
      <c r="L12" s="13"/>
      <c r="M12" s="19">
        <v>41.0</v>
      </c>
      <c r="N12" s="13"/>
      <c r="O12" s="2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20">
        <v>42420.0</v>
      </c>
      <c r="B13" s="19">
        <v>108.0</v>
      </c>
      <c r="C13" s="15" t="s">
        <v>19</v>
      </c>
      <c r="D13" s="15" t="s">
        <v>11</v>
      </c>
      <c r="E13" s="19">
        <v>41.0</v>
      </c>
      <c r="F13" s="19">
        <v>50000.0</v>
      </c>
      <c r="G13" s="19">
        <v>79.0</v>
      </c>
      <c r="H13" s="13"/>
      <c r="I13" s="13"/>
      <c r="J13" s="13"/>
      <c r="K13" s="13"/>
      <c r="L13" s="13"/>
      <c r="M13" s="19">
        <v>33.0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20">
        <v>43342.0</v>
      </c>
      <c r="B14" s="19">
        <v>109.0</v>
      </c>
      <c r="C14" s="15" t="s">
        <v>21</v>
      </c>
      <c r="D14" s="15" t="s">
        <v>16</v>
      </c>
      <c r="E14" s="19">
        <v>33.0</v>
      </c>
      <c r="F14" s="19">
        <v>72000.0</v>
      </c>
      <c r="G14" s="19">
        <v>95.0</v>
      </c>
      <c r="H14" s="13"/>
      <c r="I14" s="13"/>
      <c r="J14" s="13"/>
      <c r="K14" s="13"/>
      <c r="L14" s="13"/>
      <c r="M14" s="19">
        <v>38.0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20">
        <v>43810.0</v>
      </c>
      <c r="B15" s="19">
        <v>110.0</v>
      </c>
      <c r="C15" s="15" t="s">
        <v>38</v>
      </c>
      <c r="D15" s="15" t="s">
        <v>13</v>
      </c>
      <c r="E15" s="19">
        <v>38.0</v>
      </c>
      <c r="F15" s="19">
        <v>76000.0</v>
      </c>
      <c r="G15" s="19">
        <v>82.0</v>
      </c>
      <c r="H15" s="13"/>
      <c r="I15" s="13"/>
      <c r="J15" s="13"/>
      <c r="K15" s="13"/>
      <c r="L15" s="13"/>
      <c r="M15" s="19">
        <v>29.0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20">
        <v>44119.0</v>
      </c>
      <c r="B16" s="19">
        <v>111.0</v>
      </c>
      <c r="C16" s="15" t="s">
        <v>39</v>
      </c>
      <c r="D16" s="15" t="s">
        <v>9</v>
      </c>
      <c r="E16" s="19">
        <v>29.0</v>
      </c>
      <c r="F16" s="19">
        <v>53000.0</v>
      </c>
      <c r="G16" s="19">
        <v>88.0</v>
      </c>
      <c r="H16" s="13"/>
      <c r="I16" s="13"/>
      <c r="J16" s="13"/>
      <c r="K16" s="13"/>
      <c r="L16" s="13"/>
      <c r="M16" s="19">
        <v>26.0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20">
        <v>44221.0</v>
      </c>
      <c r="B17" s="19">
        <v>112.0</v>
      </c>
      <c r="C17" s="15" t="s">
        <v>24</v>
      </c>
      <c r="D17" s="15" t="s">
        <v>11</v>
      </c>
      <c r="E17" s="19">
        <v>26.0</v>
      </c>
      <c r="F17" s="19">
        <v>47000.0</v>
      </c>
      <c r="G17" s="19">
        <v>77.0</v>
      </c>
      <c r="H17" s="13"/>
      <c r="I17" s="13"/>
      <c r="J17" s="13"/>
      <c r="K17" s="13"/>
      <c r="L17" s="13"/>
      <c r="M17" s="19">
        <v>44.0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20">
        <v>41839.0</v>
      </c>
      <c r="B18" s="19">
        <v>113.0</v>
      </c>
      <c r="C18" s="15" t="s">
        <v>40</v>
      </c>
      <c r="D18" s="15" t="s">
        <v>16</v>
      </c>
      <c r="E18" s="19">
        <v>44.0</v>
      </c>
      <c r="F18" s="19">
        <v>78000.0</v>
      </c>
      <c r="G18" s="19">
        <v>91.0</v>
      </c>
      <c r="H18" s="13"/>
      <c r="I18" s="13"/>
      <c r="J18" s="13"/>
      <c r="K18" s="13"/>
      <c r="L18" s="13"/>
      <c r="M18" s="19">
        <v>28.0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20">
        <v>44628.0</v>
      </c>
      <c r="B19" s="19">
        <v>114.0</v>
      </c>
      <c r="C19" s="15" t="s">
        <v>27</v>
      </c>
      <c r="D19" s="15" t="s">
        <v>13</v>
      </c>
      <c r="E19" s="19">
        <v>28.0</v>
      </c>
      <c r="F19" s="19">
        <v>61000.0</v>
      </c>
      <c r="G19" s="19">
        <v>88.0</v>
      </c>
      <c r="H19" s="13"/>
      <c r="I19" s="13"/>
      <c r="J19" s="13"/>
      <c r="K19" s="13"/>
      <c r="L19" s="13"/>
      <c r="M19" s="19">
        <v>30.0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20">
        <v>43622.0</v>
      </c>
      <c r="B20" s="19">
        <v>115.0</v>
      </c>
      <c r="C20" s="15" t="s">
        <v>28</v>
      </c>
      <c r="D20" s="15" t="s">
        <v>9</v>
      </c>
      <c r="E20" s="19">
        <v>30.0</v>
      </c>
      <c r="F20" s="19">
        <v>54000.0</v>
      </c>
      <c r="G20" s="19">
        <v>87.0</v>
      </c>
      <c r="H20" s="13"/>
      <c r="I20" s="13"/>
      <c r="J20" s="13"/>
      <c r="K20" s="13"/>
      <c r="L20" s="23"/>
      <c r="M20" s="19">
        <v>32.0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20">
        <v>43356.0</v>
      </c>
      <c r="B21" s="19">
        <v>116.0</v>
      </c>
      <c r="C21" s="15" t="s">
        <v>30</v>
      </c>
      <c r="D21" s="15" t="s">
        <v>16</v>
      </c>
      <c r="E21" s="19">
        <v>32.0</v>
      </c>
      <c r="F21" s="19">
        <v>72000.0</v>
      </c>
      <c r="G21" s="19">
        <v>89.0</v>
      </c>
      <c r="H21" s="13"/>
      <c r="I21" s="13"/>
      <c r="J21" s="13"/>
      <c r="K21" s="13"/>
      <c r="L21" s="13"/>
      <c r="M21" s="19">
        <v>31.0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20">
        <v>43953.0</v>
      </c>
      <c r="B22" s="19">
        <v>117.0</v>
      </c>
      <c r="C22" s="15" t="s">
        <v>32</v>
      </c>
      <c r="D22" s="15" t="s">
        <v>11</v>
      </c>
      <c r="E22" s="19">
        <v>31.0</v>
      </c>
      <c r="F22" s="19">
        <v>49000.0</v>
      </c>
      <c r="G22" s="19">
        <v>80.0</v>
      </c>
      <c r="H22" s="13"/>
      <c r="I22" s="13"/>
      <c r="J22" s="13"/>
      <c r="K22" s="13"/>
      <c r="L22" s="13"/>
      <c r="M22" s="19">
        <v>35.0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20">
        <v>42975.0</v>
      </c>
      <c r="B23" s="19">
        <v>118.0</v>
      </c>
      <c r="C23" s="15" t="s">
        <v>33</v>
      </c>
      <c r="D23" s="15" t="s">
        <v>13</v>
      </c>
      <c r="E23" s="19">
        <v>35.0</v>
      </c>
      <c r="F23" s="19">
        <v>64000.0</v>
      </c>
      <c r="G23" s="19">
        <v>93.0</v>
      </c>
      <c r="H23" s="13"/>
      <c r="I23" s="13"/>
      <c r="J23" s="13"/>
      <c r="K23" s="13"/>
      <c r="L23" s="13"/>
      <c r="M23" s="19">
        <v>39.0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20">
        <v>42696.0</v>
      </c>
      <c r="B24" s="19">
        <v>119.0</v>
      </c>
      <c r="C24" s="15" t="s">
        <v>41</v>
      </c>
      <c r="D24" s="15" t="s">
        <v>9</v>
      </c>
      <c r="E24" s="19">
        <v>39.0</v>
      </c>
      <c r="F24" s="19">
        <v>56000.0</v>
      </c>
      <c r="G24" s="19">
        <v>84.0</v>
      </c>
      <c r="H24" s="13"/>
      <c r="I24" s="13"/>
      <c r="J24" s="13"/>
      <c r="K24" s="13"/>
      <c r="L24" s="13"/>
      <c r="M24" s="19">
        <v>37.0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20">
        <v>42348.0</v>
      </c>
      <c r="B25" s="19">
        <v>120.0</v>
      </c>
      <c r="C25" s="15" t="s">
        <v>35</v>
      </c>
      <c r="D25" s="15" t="s">
        <v>16</v>
      </c>
      <c r="E25" s="19">
        <v>37.0</v>
      </c>
      <c r="F25" s="19">
        <v>73000.0</v>
      </c>
      <c r="G25" s="19">
        <v>90.0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24" t="s">
        <v>42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8" t="s">
        <v>43</v>
      </c>
      <c r="M30" s="13"/>
      <c r="N30" s="13"/>
      <c r="O30" s="18" t="s">
        <v>44</v>
      </c>
      <c r="P30" s="25" t="s">
        <v>45</v>
      </c>
      <c r="Q30" s="25" t="s">
        <v>46</v>
      </c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5" t="s">
        <v>47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5" t="s">
        <v>48</v>
      </c>
      <c r="M32" s="13"/>
      <c r="N32" s="13"/>
      <c r="O32" s="26" t="s">
        <v>48</v>
      </c>
      <c r="P32" s="27">
        <f>sum(F7:F25)/20</f>
        <v>58350</v>
      </c>
      <c r="Q32" s="28" t="s">
        <v>49</v>
      </c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5" t="s">
        <v>50</v>
      </c>
      <c r="M33" s="13"/>
      <c r="N33" s="13"/>
      <c r="O33" s="15" t="s">
        <v>50</v>
      </c>
      <c r="P33" s="27">
        <f>_xlfn.mode.sngl(E7:E25)</f>
        <v>29</v>
      </c>
      <c r="Q33" s="25" t="s">
        <v>51</v>
      </c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5" t="s">
        <v>52</v>
      </c>
      <c r="M34" s="13"/>
      <c r="N34" s="13"/>
      <c r="O34" s="15" t="s">
        <v>52</v>
      </c>
      <c r="P34" s="29">
        <f>median(E7:E25)</f>
        <v>32</v>
      </c>
      <c r="Q34" s="28" t="s">
        <v>53</v>
      </c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30" t="s">
        <v>54</v>
      </c>
      <c r="M35" s="13"/>
      <c r="N35" s="13"/>
      <c r="O35" s="31" t="s">
        <v>55</v>
      </c>
      <c r="P35" s="27">
        <f>_xlfn.STDEV.P(E7:E25)</f>
        <v>5.554065667</v>
      </c>
      <c r="Q35" s="25" t="s">
        <v>56</v>
      </c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31" t="s">
        <v>57</v>
      </c>
      <c r="M36" s="13"/>
      <c r="N36" s="13"/>
      <c r="O36" s="31" t="s">
        <v>58</v>
      </c>
      <c r="P36" s="29">
        <f>VARP(E7:E25)</f>
        <v>30.84764543</v>
      </c>
      <c r="Q36" s="32" t="s">
        <v>59</v>
      </c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5" t="s">
        <v>60</v>
      </c>
      <c r="M37" s="13"/>
      <c r="N37" s="13"/>
      <c r="O37" s="15" t="s">
        <v>60</v>
      </c>
      <c r="P37" s="33">
        <f>MIN(E7:E25)</f>
        <v>26</v>
      </c>
      <c r="Q37" s="32" t="s">
        <v>61</v>
      </c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5" t="s">
        <v>62</v>
      </c>
      <c r="M38" s="13"/>
      <c r="N38" s="13"/>
      <c r="O38" s="15" t="s">
        <v>62</v>
      </c>
      <c r="P38" s="29">
        <f>MAX(E5:E27)</f>
        <v>45</v>
      </c>
      <c r="Q38" s="34" t="s">
        <v>63</v>
      </c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5" t="s">
        <v>64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24" t="s">
        <v>65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4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4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4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4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4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4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4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4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4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4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4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4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4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4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4">
    <mergeCell ref="A1:N1"/>
    <mergeCell ref="A2:N2"/>
    <mergeCell ref="L27:O27"/>
    <mergeCell ref="L46:O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75"/>
    <col customWidth="1" min="3" max="3" width="14.38"/>
    <col customWidth="1" min="4" max="4" width="22.0"/>
    <col customWidth="1" min="5" max="5" width="17.88"/>
    <col customWidth="1" min="6" max="6" width="8.63"/>
    <col customWidth="1" min="7" max="7" width="34.63"/>
    <col customWidth="1" min="8" max="26" width="8.63"/>
  </cols>
  <sheetData>
    <row r="1" ht="14.25" customHeight="1">
      <c r="A1" s="6" t="s">
        <v>6</v>
      </c>
      <c r="B1" s="6" t="s">
        <v>66</v>
      </c>
      <c r="C1" s="6" t="s">
        <v>67</v>
      </c>
      <c r="D1" s="35" t="s">
        <v>68</v>
      </c>
      <c r="E1" s="6" t="s">
        <v>69</v>
      </c>
    </row>
    <row r="2" ht="14.25" customHeight="1">
      <c r="A2" s="36">
        <v>52000.0</v>
      </c>
    </row>
    <row r="3" ht="14.25" customHeight="1">
      <c r="A3" s="36">
        <v>48000.0</v>
      </c>
    </row>
    <row r="4" ht="14.25" customHeight="1">
      <c r="A4" s="36">
        <v>60000.0</v>
      </c>
    </row>
    <row r="5" ht="14.25" customHeight="1">
      <c r="A5" s="36">
        <v>55000.0</v>
      </c>
    </row>
    <row r="6" ht="14.25" customHeight="1">
      <c r="A6" s="36">
        <v>75000.0</v>
      </c>
    </row>
    <row r="7" ht="14.25" customHeight="1">
      <c r="A7" s="36">
        <v>62000.0</v>
      </c>
      <c r="G7" s="36" t="s">
        <v>70</v>
      </c>
    </row>
    <row r="8" ht="14.25" customHeight="1">
      <c r="A8" s="36">
        <v>58000.0</v>
      </c>
      <c r="G8" s="9" t="s">
        <v>57</v>
      </c>
    </row>
    <row r="9" ht="14.25" customHeight="1">
      <c r="A9" s="36">
        <v>50000.0</v>
      </c>
    </row>
    <row r="10" ht="14.25" customHeight="1">
      <c r="A10" s="36">
        <v>72000.0</v>
      </c>
    </row>
    <row r="11" ht="14.25" customHeight="1">
      <c r="A11" s="36">
        <v>76000.0</v>
      </c>
    </row>
    <row r="12" ht="14.25" customHeight="1">
      <c r="A12" s="36">
        <v>53000.0</v>
      </c>
    </row>
    <row r="13" ht="14.25" customHeight="1">
      <c r="A13" s="36">
        <v>47000.0</v>
      </c>
    </row>
    <row r="14" ht="14.25" customHeight="1">
      <c r="A14" s="36">
        <v>78000.0</v>
      </c>
    </row>
    <row r="15" ht="14.25" customHeight="1">
      <c r="A15" s="36">
        <v>61000.0</v>
      </c>
      <c r="G15" s="36" t="s">
        <v>71</v>
      </c>
    </row>
    <row r="16" ht="14.25" customHeight="1">
      <c r="A16" s="36">
        <v>54000.0</v>
      </c>
      <c r="G16" s="36" t="s">
        <v>72</v>
      </c>
    </row>
    <row r="17" ht="14.25" customHeight="1">
      <c r="A17" s="36">
        <v>72000.0</v>
      </c>
      <c r="G17" s="36" t="s">
        <v>73</v>
      </c>
    </row>
    <row r="18" ht="14.25" customHeight="1">
      <c r="A18" s="36">
        <v>49000.0</v>
      </c>
    </row>
    <row r="19" ht="14.25" customHeight="1">
      <c r="A19" s="36">
        <v>64000.0</v>
      </c>
      <c r="G19" s="36" t="s">
        <v>74</v>
      </c>
    </row>
    <row r="20" ht="14.25" customHeight="1">
      <c r="A20" s="36">
        <v>56000.0</v>
      </c>
    </row>
    <row r="21" ht="14.25" customHeight="1">
      <c r="A21" s="36">
        <v>73000.0</v>
      </c>
    </row>
    <row r="22" ht="14.25" customHeight="1">
      <c r="C22" s="37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2025-08-22T05:41:20Z</dcterms:created>
  <dc:creator>Geetha Gunasekaran</dc:creator>
</cp:coreProperties>
</file>