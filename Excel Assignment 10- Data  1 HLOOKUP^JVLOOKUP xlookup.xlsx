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.Aishwarya\Downloads\"/>
    </mc:Choice>
  </mc:AlternateContent>
  <xr:revisionPtr revIDLastSave="0" documentId="13_ncr:1_{8DFD5B59-2284-44F2-99E0-5F850800AA27}" xr6:coauthVersionLast="47" xr6:coauthVersionMax="47" xr10:uidLastSave="{00000000-0000-0000-0000-000000000000}"/>
  <bookViews>
    <workbookView xWindow="0" yWindow="360" windowWidth="23256" windowHeight="12456" firstSheet="2" activeTab="2" xr2:uid="{91E006A3-A595-4F1F-A86D-B0F910C8126A}"/>
  </bookViews>
  <sheets>
    <sheet name="Datasheet1" sheetId="1" r:id="rId1"/>
    <sheet name="hlookup data" sheetId="5" r:id="rId2"/>
    <sheet name="xlookup data" sheetId="6" r:id="rId3"/>
    <sheet name="vlookup dat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A7" i="1" a="1"/>
  <c r="A7" i="1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5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12" i="4"/>
  <c r="A49" i="1" a="1"/>
  <c r="A4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<sst xmlns="http://schemas.openxmlformats.org/spreadsheetml/2006/main" count="385" uniqueCount="155">
  <si>
    <t>VLOOKUP (Vertical Lookup)</t>
  </si>
  <si>
    <t>Use case: Look up DeptCode in the main table and return DeptName from the Dept lookup table.</t>
  </si>
  <si>
    <t>XLOOKUP (Vertical Lookup)</t>
  </si>
  <si>
    <t>Use case: Look up DeptCode in the main table and return DeptManager from the Dept lookup table.</t>
  </si>
  <si>
    <t>DeptCode</t>
  </si>
  <si>
    <t>DeptName</t>
  </si>
  <si>
    <t>Manager</t>
  </si>
  <si>
    <t>CostCenter</t>
  </si>
  <si>
    <t>SLS</t>
  </si>
  <si>
    <t>Sales</t>
  </si>
  <si>
    <t>Anita Verma</t>
  </si>
  <si>
    <t>HR</t>
  </si>
  <si>
    <t>Human Resources</t>
  </si>
  <si>
    <t>Vijay Rao</t>
  </si>
  <si>
    <t>IT</t>
  </si>
  <si>
    <t>Information Technology</t>
  </si>
  <si>
    <t>Meera Iyer</t>
  </si>
  <si>
    <t>EmployeeID</t>
  </si>
  <si>
    <t>SKU</t>
  </si>
  <si>
    <t>Name</t>
  </si>
  <si>
    <t>JoinDate</t>
  </si>
  <si>
    <t>BirthDate</t>
  </si>
  <si>
    <t>LastLogin</t>
  </si>
  <si>
    <t>BaseSalary</t>
  </si>
  <si>
    <t>PerformanceScore</t>
  </si>
  <si>
    <t>Dept name</t>
  </si>
  <si>
    <t>FIN</t>
  </si>
  <si>
    <t>Finance</t>
  </si>
  <si>
    <t>Arun Sharma</t>
  </si>
  <si>
    <t>E101</t>
  </si>
  <si>
    <t>P100</t>
  </si>
  <si>
    <t>John Smith</t>
  </si>
  <si>
    <t>8/21/2025</t>
  </si>
  <si>
    <t>E102</t>
  </si>
  <si>
    <t>P101</t>
  </si>
  <si>
    <t>Anna Lee</t>
  </si>
  <si>
    <t>8/22/2025</t>
  </si>
  <si>
    <t>E103</t>
  </si>
  <si>
    <t>P102</t>
  </si>
  <si>
    <t>Raj Kumar</t>
  </si>
  <si>
    <t>8/23/2025</t>
  </si>
  <si>
    <t>E104</t>
  </si>
  <si>
    <t>Maria Jose</t>
  </si>
  <si>
    <t>8/24/2025</t>
  </si>
  <si>
    <t>E105</t>
  </si>
  <si>
    <t>P103</t>
  </si>
  <si>
    <t>Ahmed Ali</t>
  </si>
  <si>
    <t>8/25/2025</t>
  </si>
  <si>
    <t>E106</t>
  </si>
  <si>
    <t>P104</t>
  </si>
  <si>
    <t>Priya N</t>
  </si>
  <si>
    <t>8/26/2025</t>
  </si>
  <si>
    <t>E107</t>
  </si>
  <si>
    <t>P105</t>
  </si>
  <si>
    <t>James Wong</t>
  </si>
  <si>
    <t>8/27/2025</t>
  </si>
  <si>
    <t>E108</t>
  </si>
  <si>
    <t>Chen Wei</t>
  </si>
  <si>
    <t>8/28/2025</t>
  </si>
  <si>
    <t>E109</t>
  </si>
  <si>
    <t>Neha Singh</t>
  </si>
  <si>
    <t>8/29/2025</t>
  </si>
  <si>
    <t>E110</t>
  </si>
  <si>
    <t>Peter Pan</t>
  </si>
  <si>
    <t>8/30/2025</t>
  </si>
  <si>
    <t>E111</t>
  </si>
  <si>
    <t>Luis M</t>
  </si>
  <si>
    <t>8/31/2025</t>
  </si>
  <si>
    <t>E112</t>
  </si>
  <si>
    <t>Sara Khan</t>
  </si>
  <si>
    <t>E113</t>
  </si>
  <si>
    <t>David Lee</t>
  </si>
  <si>
    <t>E114</t>
  </si>
  <si>
    <t>Aisha Patel</t>
  </si>
  <si>
    <t>Column1</t>
  </si>
  <si>
    <t>A</t>
  </si>
  <si>
    <t>B</t>
  </si>
  <si>
    <t>C</t>
  </si>
  <si>
    <t>D</t>
  </si>
  <si>
    <t>E115</t>
  </si>
  <si>
    <t>John Deo</t>
  </si>
  <si>
    <t>BonusPct</t>
  </si>
  <si>
    <t>E116</t>
  </si>
  <si>
    <t>Sneha Roy</t>
  </si>
  <si>
    <t>E117</t>
  </si>
  <si>
    <t>Mark Smith</t>
  </si>
  <si>
    <t>E118</t>
  </si>
  <si>
    <t>Li Na</t>
  </si>
  <si>
    <t>HLOOKUP (Horizontal Lookup)</t>
  </si>
  <si>
    <t>Use case: Fetch Bonus % based on Grade (A, B, C, D) using the Bonus table at the bottom.</t>
  </si>
  <si>
    <t>=HLOOKUP([@Grade],Table2[[#All],[A]:[D]],2)</t>
  </si>
  <si>
    <t>E119</t>
  </si>
  <si>
    <t>Tom Cruise</t>
  </si>
  <si>
    <t>E120</t>
  </si>
  <si>
    <t>Riya Mehta</t>
  </si>
  <si>
    <t>MinScore</t>
  </si>
  <si>
    <t>Grade</t>
  </si>
  <si>
    <t>Grade percentage</t>
  </si>
  <si>
    <t>Date  and Time Function</t>
  </si>
  <si>
    <t>Date</t>
  </si>
  <si>
    <t>today()</t>
  </si>
  <si>
    <t>Date and time</t>
  </si>
  <si>
    <t>now()</t>
  </si>
  <si>
    <t>year(11-11-2025)</t>
  </si>
  <si>
    <t>MONTH(11-11-2025)</t>
  </si>
  <si>
    <t>DAY(11-11-2025)</t>
  </si>
  <si>
    <t>weekday in number</t>
  </si>
  <si>
    <t>1-mon,2-tue,3-wed,4-thur,5-fri,6-sat,7-sun</t>
  </si>
  <si>
    <t>display weekday name using choose()</t>
  </si>
  <si>
    <t>fri</t>
  </si>
  <si>
    <t>INDEX + MATCH :</t>
  </si>
  <si>
    <t>Returns the value sitting at the intersection of that row and column</t>
  </si>
  <si>
    <t>tenure in years</t>
  </si>
  <si>
    <t>Tenure months remainder</t>
  </si>
  <si>
    <t>Syntax:=INDEX(array, row_num, [column_num])</t>
  </si>
  <si>
    <t>Age in years</t>
  </si>
  <si>
    <t>-  array =&gt; the table or range.</t>
  </si>
  <si>
    <t>-column_num =&gt; which column inside the array</t>
  </si>
  <si>
    <t>Look up UnitPrice from SKU using Product lookup :</t>
  </si>
  <si>
    <t>MATCH</t>
  </si>
  <si>
    <t>=MATCH(lookup_value, lookup_array, [match_type])</t>
  </si>
  <si>
    <t>Finds the position of a value in a column or row.</t>
  </si>
  <si>
    <t>Month</t>
  </si>
  <si>
    <t>day</t>
  </si>
  <si>
    <t>thur</t>
  </si>
  <si>
    <t>ProductName</t>
  </si>
  <si>
    <t>UnitPrice</t>
  </si>
  <si>
    <t>CRM License</t>
  </si>
  <si>
    <t>HRMS License</t>
  </si>
  <si>
    <t>Dev Tools Suite</t>
  </si>
  <si>
    <t>Financial Suite</t>
  </si>
  <si>
    <t>Cloud Credits Pack</t>
  </si>
  <si>
    <t>Sales Enablement Kit</t>
  </si>
  <si>
    <t>MATCH – find the row number of SKU</t>
  </si>
  <si>
    <t>INDEX – fetch value directly by row and column</t>
  </si>
  <si>
    <t>Formula (get 4th row, 3rd column = UnitPrice):</t>
  </si>
  <si>
    <t>INDEX + MATCH – combine both (dynamic lookup)</t>
  </si>
  <si>
    <t>Get UnitPrice for a SKU (example: "P103"):</t>
  </si>
  <si>
    <t>Teaching Tip (Step by Step for Students)</t>
  </si>
  <si>
    <t>Start with MATCH() alone → show that it only gives a row number.</t>
  </si>
  <si>
    <t>Then try INDEX() alone → show how it fetches value by row+col.</t>
  </si>
  <si>
    <t>Finally combine → INDEX + MATCH = "Find row automatically, then fetch value".</t>
  </si>
  <si>
    <t>Compare with VLOOKUP → show that INDEX+MATCH can search left or right and doesn’t break if you rearrange columns.</t>
  </si>
  <si>
    <t>Hlookup</t>
  </si>
  <si>
    <t xml:space="preserve">Department </t>
  </si>
  <si>
    <t>hlookupdata</t>
  </si>
  <si>
    <t>syntax</t>
  </si>
  <si>
    <t>hlookup(a4,a4:c23,2,false)</t>
  </si>
  <si>
    <t>xlookup</t>
  </si>
  <si>
    <t>XLOOKUP-Data</t>
  </si>
  <si>
    <t>formulae</t>
  </si>
  <si>
    <t>XLOOKUP(A3,A3:A22,B3:B22,"NOT FOUND")</t>
  </si>
  <si>
    <t>vlookup format</t>
  </si>
  <si>
    <t xml:space="preserve">syntax </t>
  </si>
  <si>
    <t>VLOOKUP(A12,A12:C31,2,FALSE)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</si>
</sst>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0" fontId="0" fillId="3" borderId="0" xfId="0" applyFill="1"/>
    <xf numFmtId="0" fontId="3" fillId="3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14" fontId="3" fillId="3" borderId="0" xfId="0" applyNumberFormat="1" applyFont="1" applyFill="1" applyAlignment="1">
      <alignment horizontal="right" wrapText="1"/>
    </xf>
    <xf numFmtId="0" fontId="3" fillId="3" borderId="0" xfId="0" applyFont="1" applyFill="1" applyAlignment="1">
      <alignment horizontal="right" wrapText="1"/>
    </xf>
    <xf numFmtId="22" fontId="3" fillId="3" borderId="0" xfId="0" applyNumberFormat="1" applyFont="1" applyFill="1" applyAlignment="1">
      <alignment horizontal="right" wrapText="1"/>
    </xf>
    <xf numFmtId="0" fontId="2" fillId="3" borderId="0" xfId="0" applyFont="1" applyFill="1" applyAlignment="1">
      <alignment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8DC1-E2D3-4CF4-AF7D-4A880259553C}">
  <dimension ref="A2:P86"/>
  <sheetViews>
    <sheetView topLeftCell="A25" workbookViewId="0">
      <selection activeCell="C41" sqref="C41:C42"/>
    </sheetView>
  </sheetViews>
  <sheetFormatPr defaultRowHeight="14.4" x14ac:dyDescent="0.3"/>
  <cols>
    <col min="1" max="1" width="97.44140625" bestFit="1" customWidth="1"/>
    <col min="2" max="2" width="23" bestFit="1" customWidth="1"/>
    <col min="3" max="3" width="31.33203125" bestFit="1" customWidth="1"/>
    <col min="4" max="4" width="9" bestFit="1" customWidth="1"/>
    <col min="5" max="5" width="13.33203125" bestFit="1" customWidth="1"/>
    <col min="6" max="6" width="36.33203125" bestFit="1" customWidth="1"/>
    <col min="7" max="7" width="9.33203125" bestFit="1" customWidth="1"/>
    <col min="8" max="8" width="9.88671875" bestFit="1" customWidth="1"/>
    <col min="9" max="9" width="16.33203125" bestFit="1" customWidth="1"/>
    <col min="10" max="10" width="23.109375" bestFit="1" customWidth="1"/>
    <col min="11" max="11" width="11.33203125" bestFit="1" customWidth="1"/>
    <col min="12" max="12" width="25.44140625" bestFit="1" customWidth="1"/>
    <col min="13" max="13" width="40.6640625" bestFit="1" customWidth="1"/>
    <col min="14" max="14" width="15.5546875" bestFit="1" customWidth="1"/>
    <col min="15" max="16" width="5" bestFit="1" customWidth="1"/>
  </cols>
  <sheetData>
    <row r="2" spans="1:15" x14ac:dyDescent="0.3">
      <c r="J2" t="s">
        <v>0</v>
      </c>
    </row>
    <row r="4" spans="1:15" x14ac:dyDescent="0.3">
      <c r="A4" t="s">
        <v>1</v>
      </c>
    </row>
    <row r="5" spans="1:15" x14ac:dyDescent="0.3">
      <c r="B5" t="s">
        <v>2</v>
      </c>
    </row>
    <row r="6" spans="1:15" x14ac:dyDescent="0.3">
      <c r="A6" t="s">
        <v>3</v>
      </c>
    </row>
    <row r="7" spans="1:15" x14ac:dyDescent="0.3">
      <c r="A7" cm="1">
        <f t="array" aca="1" ref="A7" ca="1">'xlookup data'!1:1048576</f>
        <v>0</v>
      </c>
      <c r="B7" t="s">
        <v>4</v>
      </c>
      <c r="C7" t="s">
        <v>5</v>
      </c>
      <c r="D7" t="s">
        <v>6</v>
      </c>
      <c r="E7" t="s">
        <v>7</v>
      </c>
    </row>
    <row r="8" spans="1:15" x14ac:dyDescent="0.3">
      <c r="L8" t="s">
        <v>8</v>
      </c>
      <c r="M8" t="s">
        <v>9</v>
      </c>
      <c r="N8" t="s">
        <v>10</v>
      </c>
      <c r="O8">
        <v>6001</v>
      </c>
    </row>
    <row r="9" spans="1:15" x14ac:dyDescent="0.3">
      <c r="L9" t="s">
        <v>11</v>
      </c>
      <c r="M9" t="s">
        <v>12</v>
      </c>
      <c r="N9" t="s">
        <v>13</v>
      </c>
      <c r="O9">
        <v>6002</v>
      </c>
    </row>
    <row r="10" spans="1:15" x14ac:dyDescent="0.3">
      <c r="L10" t="s">
        <v>14</v>
      </c>
      <c r="M10" t="s">
        <v>15</v>
      </c>
      <c r="N10" t="s">
        <v>16</v>
      </c>
      <c r="O10">
        <v>6003</v>
      </c>
    </row>
    <row r="11" spans="1:15" s="2" customFormat="1" x14ac:dyDescent="0.3">
      <c r="A11" s="2" t="s">
        <v>17</v>
      </c>
      <c r="B11" s="2" t="s">
        <v>18</v>
      </c>
      <c r="C11" s="2" t="s">
        <v>19</v>
      </c>
      <c r="D11" s="2" t="s">
        <v>4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6</v>
      </c>
      <c r="L11" s="2" t="s">
        <v>26</v>
      </c>
      <c r="M11" s="2" t="s">
        <v>27</v>
      </c>
      <c r="N11" s="2" t="s">
        <v>28</v>
      </c>
      <c r="O11" s="2">
        <v>6004</v>
      </c>
    </row>
    <row r="12" spans="1:15" x14ac:dyDescent="0.3">
      <c r="A12" t="s">
        <v>29</v>
      </c>
      <c r="B12" t="s">
        <v>30</v>
      </c>
      <c r="C12" t="s">
        <v>31</v>
      </c>
      <c r="D12" t="s">
        <v>8</v>
      </c>
      <c r="E12" s="1">
        <v>43595</v>
      </c>
      <c r="F12" s="1">
        <v>33343</v>
      </c>
      <c r="G12" t="s">
        <v>32</v>
      </c>
      <c r="H12">
        <v>52000</v>
      </c>
      <c r="I12">
        <v>85</v>
      </c>
      <c r="J12" t="s">
        <v>9</v>
      </c>
      <c r="K12" t="s">
        <v>10</v>
      </c>
    </row>
    <row r="13" spans="1:15" x14ac:dyDescent="0.3">
      <c r="A13" t="s">
        <v>33</v>
      </c>
      <c r="B13" t="s">
        <v>34</v>
      </c>
      <c r="C13" t="s">
        <v>35</v>
      </c>
      <c r="D13" t="s">
        <v>11</v>
      </c>
      <c r="E13" s="1">
        <v>43173</v>
      </c>
      <c r="F13" s="1">
        <v>32438</v>
      </c>
      <c r="G13" t="s">
        <v>36</v>
      </c>
      <c r="H13">
        <v>48000</v>
      </c>
      <c r="I13">
        <v>90</v>
      </c>
      <c r="J13" t="s">
        <v>12</v>
      </c>
      <c r="K13" t="s">
        <v>13</v>
      </c>
    </row>
    <row r="14" spans="1:15" x14ac:dyDescent="0.3">
      <c r="A14" t="s">
        <v>37</v>
      </c>
      <c r="B14" t="s">
        <v>38</v>
      </c>
      <c r="C14" t="s">
        <v>39</v>
      </c>
      <c r="D14" t="s">
        <v>14</v>
      </c>
      <c r="E14" s="1">
        <v>44033</v>
      </c>
      <c r="F14" s="1">
        <v>34376</v>
      </c>
      <c r="G14" t="s">
        <v>40</v>
      </c>
      <c r="H14">
        <v>60000</v>
      </c>
      <c r="I14">
        <v>78</v>
      </c>
      <c r="J14" t="s">
        <v>15</v>
      </c>
      <c r="K14" t="s">
        <v>16</v>
      </c>
    </row>
    <row r="15" spans="1:15" x14ac:dyDescent="0.3">
      <c r="A15" t="s">
        <v>41</v>
      </c>
      <c r="B15" t="s">
        <v>30</v>
      </c>
      <c r="C15" t="s">
        <v>42</v>
      </c>
      <c r="D15" t="s">
        <v>8</v>
      </c>
      <c r="E15" s="1">
        <v>43726</v>
      </c>
      <c r="F15" s="1">
        <v>33940</v>
      </c>
      <c r="G15" t="s">
        <v>43</v>
      </c>
      <c r="H15">
        <v>55000</v>
      </c>
      <c r="I15">
        <v>88</v>
      </c>
      <c r="J15" t="s">
        <v>9</v>
      </c>
      <c r="K15" t="s">
        <v>10</v>
      </c>
    </row>
    <row r="16" spans="1:15" x14ac:dyDescent="0.3">
      <c r="A16" t="s">
        <v>44</v>
      </c>
      <c r="B16" t="s">
        <v>45</v>
      </c>
      <c r="C16" t="s">
        <v>46</v>
      </c>
      <c r="D16" t="s">
        <v>26</v>
      </c>
      <c r="E16" s="1">
        <v>42009</v>
      </c>
      <c r="F16" s="1">
        <v>29371</v>
      </c>
      <c r="G16" t="s">
        <v>47</v>
      </c>
      <c r="H16">
        <v>75000</v>
      </c>
      <c r="I16">
        <v>92</v>
      </c>
      <c r="J16" t="s">
        <v>27</v>
      </c>
      <c r="K16" t="s">
        <v>28</v>
      </c>
    </row>
    <row r="17" spans="1:16" x14ac:dyDescent="0.3">
      <c r="A17" t="s">
        <v>48</v>
      </c>
      <c r="B17" t="s">
        <v>49</v>
      </c>
      <c r="C17" t="s">
        <v>50</v>
      </c>
      <c r="D17" t="s">
        <v>14</v>
      </c>
      <c r="E17" s="1">
        <v>44523</v>
      </c>
      <c r="F17" s="1">
        <v>34047</v>
      </c>
      <c r="G17" t="s">
        <v>51</v>
      </c>
      <c r="H17">
        <v>62000</v>
      </c>
      <c r="I17">
        <v>81</v>
      </c>
      <c r="J17" t="s">
        <v>15</v>
      </c>
      <c r="K17" t="s">
        <v>16</v>
      </c>
    </row>
    <row r="18" spans="1:16" x14ac:dyDescent="0.3">
      <c r="A18" t="s">
        <v>52</v>
      </c>
      <c r="B18" t="s">
        <v>53</v>
      </c>
      <c r="C18" t="s">
        <v>54</v>
      </c>
      <c r="D18" t="s">
        <v>8</v>
      </c>
      <c r="E18" s="1">
        <v>42837</v>
      </c>
      <c r="F18" s="1">
        <v>32025</v>
      </c>
      <c r="G18" t="s">
        <v>55</v>
      </c>
      <c r="H18">
        <v>58000</v>
      </c>
      <c r="I18">
        <v>86</v>
      </c>
      <c r="J18" t="s">
        <v>9</v>
      </c>
      <c r="K18" t="s">
        <v>10</v>
      </c>
    </row>
    <row r="19" spans="1:16" x14ac:dyDescent="0.3">
      <c r="A19" t="s">
        <v>56</v>
      </c>
      <c r="B19" t="s">
        <v>34</v>
      </c>
      <c r="C19" t="s">
        <v>57</v>
      </c>
      <c r="D19" t="s">
        <v>11</v>
      </c>
      <c r="E19" s="1">
        <v>42420</v>
      </c>
      <c r="F19" s="1">
        <v>30880</v>
      </c>
      <c r="G19" t="s">
        <v>58</v>
      </c>
      <c r="H19">
        <v>50000</v>
      </c>
      <c r="I19">
        <v>79</v>
      </c>
      <c r="J19" t="s">
        <v>12</v>
      </c>
      <c r="K19" t="s">
        <v>13</v>
      </c>
    </row>
    <row r="20" spans="1:16" x14ac:dyDescent="0.3">
      <c r="A20" t="s">
        <v>59</v>
      </c>
      <c r="B20" t="s">
        <v>45</v>
      </c>
      <c r="C20" t="s">
        <v>60</v>
      </c>
      <c r="D20" t="s">
        <v>26</v>
      </c>
      <c r="E20" s="1">
        <v>43342</v>
      </c>
      <c r="F20" s="1">
        <v>33265</v>
      </c>
      <c r="G20" t="s">
        <v>61</v>
      </c>
      <c r="H20">
        <v>72000</v>
      </c>
      <c r="I20">
        <v>95</v>
      </c>
      <c r="J20" t="s">
        <v>27</v>
      </c>
      <c r="K20" t="s">
        <v>28</v>
      </c>
    </row>
    <row r="21" spans="1:16" x14ac:dyDescent="0.3">
      <c r="A21" t="s">
        <v>62</v>
      </c>
      <c r="B21" t="s">
        <v>49</v>
      </c>
      <c r="C21" t="s">
        <v>63</v>
      </c>
      <c r="D21" t="s">
        <v>14</v>
      </c>
      <c r="E21" s="1">
        <v>43810</v>
      </c>
      <c r="F21" s="1">
        <v>32673</v>
      </c>
      <c r="G21" t="s">
        <v>64</v>
      </c>
      <c r="H21">
        <v>61000</v>
      </c>
      <c r="I21">
        <v>82</v>
      </c>
      <c r="J21" t="s">
        <v>15</v>
      </c>
      <c r="K21" t="s">
        <v>16</v>
      </c>
    </row>
    <row r="22" spans="1:16" x14ac:dyDescent="0.3">
      <c r="A22" t="s">
        <v>65</v>
      </c>
      <c r="B22" t="s">
        <v>30</v>
      </c>
      <c r="C22" t="s">
        <v>66</v>
      </c>
      <c r="D22" t="s">
        <v>8</v>
      </c>
      <c r="E22" s="1">
        <v>44119</v>
      </c>
      <c r="F22" s="1">
        <v>33817</v>
      </c>
      <c r="G22" t="s">
        <v>67</v>
      </c>
      <c r="H22">
        <v>53000</v>
      </c>
      <c r="I22">
        <v>88</v>
      </c>
      <c r="J22" t="s">
        <v>9</v>
      </c>
      <c r="K22" t="s">
        <v>10</v>
      </c>
    </row>
    <row r="23" spans="1:16" x14ac:dyDescent="0.3">
      <c r="A23" t="s">
        <v>68</v>
      </c>
      <c r="B23" t="s">
        <v>34</v>
      </c>
      <c r="C23" t="s">
        <v>69</v>
      </c>
      <c r="D23" t="s">
        <v>11</v>
      </c>
      <c r="E23" s="1">
        <v>44221</v>
      </c>
      <c r="F23" s="1">
        <v>35132</v>
      </c>
      <c r="G23" s="1">
        <v>45666</v>
      </c>
      <c r="H23">
        <v>47000</v>
      </c>
      <c r="I23">
        <v>77</v>
      </c>
      <c r="J23" t="s">
        <v>12</v>
      </c>
      <c r="K23" t="s">
        <v>13</v>
      </c>
    </row>
    <row r="24" spans="1:16" x14ac:dyDescent="0.3">
      <c r="A24" t="s">
        <v>70</v>
      </c>
      <c r="B24" t="s">
        <v>45</v>
      </c>
      <c r="C24" t="s">
        <v>71</v>
      </c>
      <c r="D24" t="s">
        <v>26</v>
      </c>
      <c r="E24" s="1">
        <v>41839</v>
      </c>
      <c r="F24" s="1">
        <v>29902</v>
      </c>
      <c r="G24" s="1">
        <v>45697</v>
      </c>
      <c r="H24">
        <v>78000</v>
      </c>
      <c r="I24">
        <v>91</v>
      </c>
      <c r="J24" t="s">
        <v>27</v>
      </c>
      <c r="K24" t="s">
        <v>28</v>
      </c>
    </row>
    <row r="25" spans="1:16" x14ac:dyDescent="0.3">
      <c r="A25" t="s">
        <v>72</v>
      </c>
      <c r="B25" t="s">
        <v>38</v>
      </c>
      <c r="C25" t="s">
        <v>73</v>
      </c>
      <c r="D25" t="s">
        <v>14</v>
      </c>
      <c r="E25" s="1">
        <v>44628</v>
      </c>
      <c r="F25" s="1">
        <v>34971</v>
      </c>
      <c r="G25" s="1">
        <v>45725</v>
      </c>
      <c r="H25">
        <v>61000</v>
      </c>
      <c r="I25">
        <v>84</v>
      </c>
      <c r="J25" t="s">
        <v>15</v>
      </c>
      <c r="K25" t="s">
        <v>16</v>
      </c>
      <c r="L25" t="s">
        <v>74</v>
      </c>
      <c r="M25" t="s">
        <v>75</v>
      </c>
      <c r="N25" t="s">
        <v>76</v>
      </c>
      <c r="O25" t="s">
        <v>77</v>
      </c>
      <c r="P25" t="s">
        <v>78</v>
      </c>
    </row>
    <row r="26" spans="1:16" x14ac:dyDescent="0.3">
      <c r="A26" t="s">
        <v>79</v>
      </c>
      <c r="B26" t="s">
        <v>53</v>
      </c>
      <c r="C26" t="s">
        <v>80</v>
      </c>
      <c r="D26" t="s">
        <v>8</v>
      </c>
      <c r="E26" s="1">
        <v>43622</v>
      </c>
      <c r="F26" s="1">
        <v>34063</v>
      </c>
      <c r="G26" s="1">
        <v>45756</v>
      </c>
      <c r="H26">
        <v>54000</v>
      </c>
      <c r="I26">
        <v>87</v>
      </c>
      <c r="J26" t="s">
        <v>9</v>
      </c>
      <c r="K26" t="s">
        <v>10</v>
      </c>
      <c r="L26" t="s">
        <v>81</v>
      </c>
      <c r="M26">
        <v>0.12</v>
      </c>
      <c r="N26">
        <v>0.08</v>
      </c>
      <c r="O26">
        <v>0.05</v>
      </c>
      <c r="P26">
        <v>0.02</v>
      </c>
    </row>
    <row r="27" spans="1:16" x14ac:dyDescent="0.3">
      <c r="A27" t="s">
        <v>82</v>
      </c>
      <c r="B27" t="s">
        <v>45</v>
      </c>
      <c r="C27" t="s">
        <v>83</v>
      </c>
      <c r="D27" t="s">
        <v>26</v>
      </c>
      <c r="E27" s="1">
        <v>43356</v>
      </c>
      <c r="F27" s="1">
        <v>32906</v>
      </c>
      <c r="G27" s="1">
        <v>45786</v>
      </c>
      <c r="H27">
        <v>71000</v>
      </c>
      <c r="I27">
        <v>89</v>
      </c>
      <c r="J27" t="s">
        <v>27</v>
      </c>
      <c r="K27" t="s">
        <v>28</v>
      </c>
    </row>
    <row r="28" spans="1:16" x14ac:dyDescent="0.3">
      <c r="A28" t="s">
        <v>84</v>
      </c>
      <c r="B28" t="s">
        <v>34</v>
      </c>
      <c r="C28" t="s">
        <v>85</v>
      </c>
      <c r="D28" t="s">
        <v>11</v>
      </c>
      <c r="E28" s="1">
        <v>43953</v>
      </c>
      <c r="F28" s="1">
        <v>31695</v>
      </c>
      <c r="G28" s="1">
        <v>45817</v>
      </c>
      <c r="H28">
        <v>49000</v>
      </c>
      <c r="I28">
        <v>80</v>
      </c>
      <c r="J28" t="s">
        <v>12</v>
      </c>
      <c r="K28" t="s">
        <v>13</v>
      </c>
    </row>
    <row r="29" spans="1:16" x14ac:dyDescent="0.3">
      <c r="A29" t="s">
        <v>86</v>
      </c>
      <c r="B29" t="s">
        <v>49</v>
      </c>
      <c r="C29" t="s">
        <v>87</v>
      </c>
      <c r="D29" t="s">
        <v>14</v>
      </c>
      <c r="E29" s="1">
        <v>42975</v>
      </c>
      <c r="F29" s="1">
        <v>32160</v>
      </c>
      <c r="G29" s="1">
        <v>45847</v>
      </c>
      <c r="H29">
        <v>64000</v>
      </c>
      <c r="I29">
        <v>93</v>
      </c>
      <c r="J29" t="s">
        <v>15</v>
      </c>
      <c r="K29" t="s">
        <v>16</v>
      </c>
      <c r="L29" t="s">
        <v>88</v>
      </c>
    </row>
    <row r="30" spans="1:16" x14ac:dyDescent="0.3">
      <c r="A30" t="s">
        <v>89</v>
      </c>
    </row>
    <row r="31" spans="1:16" x14ac:dyDescent="0.3">
      <c r="A31" t="s">
        <v>90</v>
      </c>
    </row>
    <row r="32" spans="1:16" x14ac:dyDescent="0.3">
      <c r="A32" t="s">
        <v>91</v>
      </c>
      <c r="B32" t="s">
        <v>30</v>
      </c>
      <c r="C32" t="s">
        <v>92</v>
      </c>
      <c r="D32" t="s">
        <v>8</v>
      </c>
      <c r="E32" s="1">
        <v>42696</v>
      </c>
      <c r="F32" s="1">
        <v>31235</v>
      </c>
      <c r="G32" s="1">
        <v>45878</v>
      </c>
      <c r="H32">
        <v>56000</v>
      </c>
      <c r="I32">
        <v>84</v>
      </c>
      <c r="J32" t="s">
        <v>9</v>
      </c>
      <c r="K32" t="s">
        <v>10</v>
      </c>
    </row>
    <row r="33" spans="1:14" x14ac:dyDescent="0.3">
      <c r="A33" t="s">
        <v>93</v>
      </c>
      <c r="B33" t="s">
        <v>45</v>
      </c>
      <c r="C33" t="s">
        <v>94</v>
      </c>
      <c r="D33" t="s">
        <v>26</v>
      </c>
      <c r="E33" s="1">
        <v>42348</v>
      </c>
      <c r="F33" s="1">
        <v>31833</v>
      </c>
      <c r="G33" s="1">
        <v>45909</v>
      </c>
      <c r="H33">
        <v>73000</v>
      </c>
      <c r="I33">
        <v>90</v>
      </c>
      <c r="J33" t="s">
        <v>27</v>
      </c>
      <c r="K33" t="s">
        <v>28</v>
      </c>
    </row>
    <row r="36" spans="1:14" x14ac:dyDescent="0.3">
      <c r="L36" t="s">
        <v>95</v>
      </c>
      <c r="M36" t="s">
        <v>96</v>
      </c>
      <c r="N36" t="s">
        <v>97</v>
      </c>
    </row>
    <row r="37" spans="1:14" x14ac:dyDescent="0.3">
      <c r="L37">
        <v>0</v>
      </c>
      <c r="M37" t="s">
        <v>78</v>
      </c>
      <c r="N37">
        <v>0.02</v>
      </c>
    </row>
    <row r="38" spans="1:14" x14ac:dyDescent="0.3">
      <c r="L38">
        <v>75</v>
      </c>
      <c r="M38" t="s">
        <v>77</v>
      </c>
      <c r="N38">
        <v>0.05</v>
      </c>
    </row>
    <row r="39" spans="1:14" x14ac:dyDescent="0.3">
      <c r="C39" s="8" t="s">
        <v>98</v>
      </c>
      <c r="D39" s="9"/>
      <c r="L39">
        <v>85</v>
      </c>
      <c r="M39" t="s">
        <v>76</v>
      </c>
      <c r="N39">
        <v>0.08</v>
      </c>
    </row>
    <row r="40" spans="1:14" x14ac:dyDescent="0.3">
      <c r="L40">
        <v>92</v>
      </c>
      <c r="M40" t="s">
        <v>75</v>
      </c>
      <c r="N40">
        <v>0.12</v>
      </c>
    </row>
    <row r="41" spans="1:14" x14ac:dyDescent="0.3">
      <c r="C41" s="8" t="s">
        <v>99</v>
      </c>
      <c r="D41" s="10">
        <v>45974</v>
      </c>
      <c r="E41" s="7" t="s">
        <v>100</v>
      </c>
      <c r="F41" s="11">
        <v>2025</v>
      </c>
      <c r="G41" s="11">
        <v>11</v>
      </c>
      <c r="H41" s="11">
        <v>13</v>
      </c>
    </row>
    <row r="42" spans="1:14" ht="43.2" x14ac:dyDescent="0.3">
      <c r="C42" s="8" t="s">
        <v>101</v>
      </c>
      <c r="D42" s="12">
        <v>45974.609722222223</v>
      </c>
      <c r="E42" s="7" t="s">
        <v>102</v>
      </c>
      <c r="F42" s="7" t="s">
        <v>103</v>
      </c>
      <c r="G42" s="7" t="s">
        <v>104</v>
      </c>
      <c r="H42" s="7" t="s">
        <v>105</v>
      </c>
    </row>
    <row r="43" spans="1:14" ht="14.4" customHeight="1" x14ac:dyDescent="0.3">
      <c r="C43" s="13" t="s">
        <v>106</v>
      </c>
      <c r="D43" s="7"/>
      <c r="E43" s="14">
        <v>5</v>
      </c>
      <c r="F43" s="15" t="s">
        <v>107</v>
      </c>
      <c r="G43" s="15"/>
      <c r="H43" s="7"/>
    </row>
    <row r="44" spans="1:14" ht="28.8" x14ac:dyDescent="0.3">
      <c r="C44" s="13" t="s">
        <v>108</v>
      </c>
      <c r="D44" s="7"/>
      <c r="E44" s="7" t="s">
        <v>109</v>
      </c>
      <c r="F44" s="14"/>
      <c r="G44" s="14"/>
      <c r="H44" s="7"/>
      <c r="L44" t="s">
        <v>110</v>
      </c>
    </row>
    <row r="45" spans="1:14" x14ac:dyDescent="0.3">
      <c r="A45" t="s">
        <v>111</v>
      </c>
      <c r="C45" s="13" t="s">
        <v>112</v>
      </c>
      <c r="D45" s="7"/>
      <c r="E45" s="11">
        <v>7</v>
      </c>
      <c r="F45" s="14"/>
      <c r="G45" s="14"/>
      <c r="H45" s="7"/>
    </row>
    <row r="46" spans="1:14" x14ac:dyDescent="0.3">
      <c r="C46" s="13" t="s">
        <v>113</v>
      </c>
      <c r="D46" s="7"/>
      <c r="E46" s="11">
        <v>7</v>
      </c>
      <c r="F46" s="14"/>
      <c r="G46" s="14"/>
      <c r="H46" s="7"/>
    </row>
    <row r="47" spans="1:14" x14ac:dyDescent="0.3">
      <c r="A47" t="s">
        <v>114</v>
      </c>
      <c r="C47" s="13" t="s">
        <v>115</v>
      </c>
      <c r="D47" s="7"/>
      <c r="E47" s="11">
        <v>125</v>
      </c>
      <c r="F47" s="14"/>
      <c r="G47" s="6"/>
      <c r="H47" s="6"/>
    </row>
    <row r="48" spans="1:14" x14ac:dyDescent="0.3">
      <c r="A48" t="s">
        <v>116</v>
      </c>
    </row>
    <row r="49" spans="1:14" x14ac:dyDescent="0.3">
      <c r="A49" t="e" cm="1">
        <f t="array" ref="A49">-row_num = which row inside the array</f>
        <v>#NAME?</v>
      </c>
    </row>
    <row r="50" spans="1:14" x14ac:dyDescent="0.3">
      <c r="A50" t="s">
        <v>117</v>
      </c>
    </row>
    <row r="52" spans="1:14" x14ac:dyDescent="0.3">
      <c r="A52" t="s">
        <v>118</v>
      </c>
    </row>
    <row r="54" spans="1:14" x14ac:dyDescent="0.3">
      <c r="D54" t="s">
        <v>119</v>
      </c>
    </row>
    <row r="55" spans="1:14" x14ac:dyDescent="0.3">
      <c r="A55" t="s">
        <v>120</v>
      </c>
    </row>
    <row r="58" spans="1:14" x14ac:dyDescent="0.3">
      <c r="A58" t="s">
        <v>121</v>
      </c>
    </row>
    <row r="59" spans="1:14" x14ac:dyDescent="0.3">
      <c r="C59" t="s">
        <v>122</v>
      </c>
      <c r="E59">
        <v>11</v>
      </c>
    </row>
    <row r="60" spans="1:14" x14ac:dyDescent="0.3">
      <c r="C60" t="s">
        <v>123</v>
      </c>
      <c r="E60">
        <v>12</v>
      </c>
    </row>
    <row r="61" spans="1:14" x14ac:dyDescent="0.3">
      <c r="C61" t="s">
        <v>106</v>
      </c>
      <c r="E61">
        <v>4</v>
      </c>
      <c r="F61" t="s">
        <v>107</v>
      </c>
    </row>
    <row r="62" spans="1:14" x14ac:dyDescent="0.3">
      <c r="C62" t="s">
        <v>108</v>
      </c>
      <c r="E62" t="s">
        <v>124</v>
      </c>
      <c r="L62" t="s">
        <v>18</v>
      </c>
      <c r="M62" t="s">
        <v>125</v>
      </c>
      <c r="N62" t="s">
        <v>126</v>
      </c>
    </row>
    <row r="63" spans="1:14" x14ac:dyDescent="0.3">
      <c r="C63" t="s">
        <v>112</v>
      </c>
      <c r="E63">
        <v>7</v>
      </c>
      <c r="J63" t="s">
        <v>35</v>
      </c>
      <c r="L63" t="s">
        <v>30</v>
      </c>
      <c r="M63" t="s">
        <v>127</v>
      </c>
      <c r="N63">
        <v>1200</v>
      </c>
    </row>
    <row r="64" spans="1:14" x14ac:dyDescent="0.3">
      <c r="C64" t="s">
        <v>113</v>
      </c>
      <c r="E64">
        <v>7</v>
      </c>
      <c r="L64" t="s">
        <v>34</v>
      </c>
      <c r="M64" t="s">
        <v>128</v>
      </c>
      <c r="N64">
        <v>900</v>
      </c>
    </row>
    <row r="65" spans="1:14" x14ac:dyDescent="0.3">
      <c r="C65" t="s">
        <v>115</v>
      </c>
      <c r="E65">
        <v>125</v>
      </c>
      <c r="L65" t="s">
        <v>38</v>
      </c>
      <c r="M65" t="s">
        <v>129</v>
      </c>
      <c r="N65">
        <v>1500</v>
      </c>
    </row>
    <row r="66" spans="1:14" x14ac:dyDescent="0.3">
      <c r="L66" t="s">
        <v>45</v>
      </c>
      <c r="M66" t="s">
        <v>130</v>
      </c>
      <c r="N66">
        <v>2000</v>
      </c>
    </row>
    <row r="67" spans="1:14" x14ac:dyDescent="0.3">
      <c r="L67" t="s">
        <v>49</v>
      </c>
      <c r="M67" t="s">
        <v>131</v>
      </c>
      <c r="N67">
        <v>1100</v>
      </c>
    </row>
    <row r="68" spans="1:14" x14ac:dyDescent="0.3">
      <c r="L68" t="s">
        <v>53</v>
      </c>
      <c r="M68" t="s">
        <v>132</v>
      </c>
      <c r="N68">
        <v>800</v>
      </c>
    </row>
    <row r="70" spans="1:14" x14ac:dyDescent="0.3">
      <c r="M70" t="s">
        <v>133</v>
      </c>
      <c r="N70">
        <v>1</v>
      </c>
    </row>
    <row r="71" spans="1:14" x14ac:dyDescent="0.3">
      <c r="M71" t="s">
        <v>134</v>
      </c>
    </row>
    <row r="72" spans="1:14" x14ac:dyDescent="0.3">
      <c r="A72" t="s">
        <v>135</v>
      </c>
      <c r="B72">
        <v>2000</v>
      </c>
    </row>
    <row r="73" spans="1:14" x14ac:dyDescent="0.3">
      <c r="M73" t="s">
        <v>136</v>
      </c>
    </row>
    <row r="74" spans="1:14" x14ac:dyDescent="0.3">
      <c r="A74" t="s">
        <v>137</v>
      </c>
      <c r="B74" t="s">
        <v>45</v>
      </c>
      <c r="C74" t="s">
        <v>130</v>
      </c>
      <c r="D74">
        <v>2000</v>
      </c>
    </row>
    <row r="78" spans="1:14" x14ac:dyDescent="0.3">
      <c r="M78" t="s">
        <v>138</v>
      </c>
    </row>
    <row r="80" spans="1:14" x14ac:dyDescent="0.3">
      <c r="A80" t="s">
        <v>139</v>
      </c>
    </row>
    <row r="82" spans="1:1" x14ac:dyDescent="0.3">
      <c r="A82" t="s">
        <v>140</v>
      </c>
    </row>
    <row r="84" spans="1:1" x14ac:dyDescent="0.3">
      <c r="A84" t="s">
        <v>141</v>
      </c>
    </row>
    <row r="86" spans="1:1" x14ac:dyDescent="0.3">
      <c r="A86" t="s">
        <v>142</v>
      </c>
    </row>
  </sheetData>
  <mergeCells count="1">
    <mergeCell ref="F43:G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78A4-8D23-41EC-B989-12837A1C3B1D}">
  <dimension ref="A2:E64"/>
  <sheetViews>
    <sheetView workbookViewId="0">
      <selection activeCell="A2" sqref="A2:E26"/>
    </sheetView>
  </sheetViews>
  <sheetFormatPr defaultColWidth="8.88671875" defaultRowHeight="14.4" x14ac:dyDescent="0.3"/>
  <cols>
    <col min="1" max="1" width="9" style="4" bestFit="1" customWidth="1"/>
    <col min="2" max="2" width="19.6640625" style="4" bestFit="1" customWidth="1"/>
    <col min="3" max="3" width="21.109375" style="4" bestFit="1" customWidth="1"/>
    <col min="4" max="4" width="10.88671875" style="4" bestFit="1" customWidth="1"/>
    <col min="5" max="5" width="23.5546875" style="4" bestFit="1" customWidth="1"/>
    <col min="6" max="16384" width="8.88671875" style="4"/>
  </cols>
  <sheetData>
    <row r="2" spans="1:5" x14ac:dyDescent="0.3">
      <c r="B2" s="4" t="s">
        <v>143</v>
      </c>
    </row>
    <row r="3" spans="1:5" x14ac:dyDescent="0.3">
      <c r="A3" s="3" t="s">
        <v>4</v>
      </c>
      <c r="B3" s="3" t="s">
        <v>25</v>
      </c>
      <c r="C3" s="3" t="s">
        <v>144</v>
      </c>
      <c r="D3" s="3" t="s">
        <v>145</v>
      </c>
      <c r="E3" s="3" t="s">
        <v>146</v>
      </c>
    </row>
    <row r="4" spans="1:5" x14ac:dyDescent="0.3">
      <c r="A4" s="4" t="s">
        <v>8</v>
      </c>
      <c r="B4" s="4" t="s">
        <v>9</v>
      </c>
      <c r="C4" s="4" t="str">
        <f>_xlfn.CONCAT(A4:B4)</f>
        <v>SLSSales</v>
      </c>
      <c r="D4" s="4" t="s">
        <v>8</v>
      </c>
      <c r="E4" s="5" t="s">
        <v>147</v>
      </c>
    </row>
    <row r="5" spans="1:5" x14ac:dyDescent="0.3">
      <c r="A5" s="4" t="s">
        <v>11</v>
      </c>
      <c r="B5" s="4" t="s">
        <v>12</v>
      </c>
      <c r="C5" s="4" t="str">
        <f t="shared" ref="C5:C23" si="0">_xlfn.CONCAT(A5:B5)</f>
        <v>HRHuman Resources</v>
      </c>
      <c r="D5" s="4" t="str">
        <f>HLOOKUP(A4,A4:C23,2,FALSE)</f>
        <v>HR</v>
      </c>
    </row>
    <row r="6" spans="1:5" x14ac:dyDescent="0.3">
      <c r="A6" s="4" t="s">
        <v>14</v>
      </c>
      <c r="B6" s="4" t="s">
        <v>15</v>
      </c>
      <c r="C6" s="4" t="str">
        <f t="shared" si="0"/>
        <v>ITInformation Technology</v>
      </c>
      <c r="D6" s="4" t="str">
        <f t="shared" ref="D6:D23" si="1">HLOOKUP(A5,A5:C24,2,FALSE)</f>
        <v>IT</v>
      </c>
    </row>
    <row r="7" spans="1:5" x14ac:dyDescent="0.3">
      <c r="A7" s="4" t="s">
        <v>8</v>
      </c>
      <c r="B7" s="4" t="s">
        <v>9</v>
      </c>
      <c r="C7" s="4" t="str">
        <f t="shared" si="0"/>
        <v>SLSSales</v>
      </c>
      <c r="D7" s="4" t="str">
        <f t="shared" si="1"/>
        <v>SLS</v>
      </c>
    </row>
    <row r="8" spans="1:5" x14ac:dyDescent="0.3">
      <c r="A8" s="4" t="s">
        <v>26</v>
      </c>
      <c r="B8" s="4" t="s">
        <v>27</v>
      </c>
      <c r="C8" s="4" t="str">
        <f t="shared" si="0"/>
        <v>FINFinance</v>
      </c>
      <c r="D8" s="4" t="str">
        <f t="shared" si="1"/>
        <v>FIN</v>
      </c>
    </row>
    <row r="9" spans="1:5" x14ac:dyDescent="0.3">
      <c r="A9" s="4" t="s">
        <v>14</v>
      </c>
      <c r="B9" s="4" t="s">
        <v>15</v>
      </c>
      <c r="C9" s="4" t="str">
        <f t="shared" si="0"/>
        <v>ITInformation Technology</v>
      </c>
      <c r="D9" s="4" t="str">
        <f t="shared" si="1"/>
        <v>IT</v>
      </c>
    </row>
    <row r="10" spans="1:5" x14ac:dyDescent="0.3">
      <c r="A10" s="4" t="s">
        <v>8</v>
      </c>
      <c r="B10" s="4" t="s">
        <v>9</v>
      </c>
      <c r="C10" s="4" t="str">
        <f t="shared" si="0"/>
        <v>SLSSales</v>
      </c>
      <c r="D10" s="4" t="str">
        <f t="shared" si="1"/>
        <v>SLS</v>
      </c>
    </row>
    <row r="11" spans="1:5" x14ac:dyDescent="0.3">
      <c r="A11" s="4" t="s">
        <v>11</v>
      </c>
      <c r="B11" s="4" t="s">
        <v>12</v>
      </c>
      <c r="C11" s="4" t="str">
        <f t="shared" si="0"/>
        <v>HRHuman Resources</v>
      </c>
      <c r="D11" s="4" t="str">
        <f t="shared" si="1"/>
        <v>HR</v>
      </c>
    </row>
    <row r="12" spans="1:5" x14ac:dyDescent="0.3">
      <c r="A12" s="4" t="s">
        <v>26</v>
      </c>
      <c r="B12" s="4" t="s">
        <v>27</v>
      </c>
      <c r="C12" s="4" t="str">
        <f t="shared" si="0"/>
        <v>FINFinance</v>
      </c>
      <c r="D12" s="4" t="str">
        <f t="shared" si="1"/>
        <v>FIN</v>
      </c>
    </row>
    <row r="13" spans="1:5" x14ac:dyDescent="0.3">
      <c r="A13" s="4" t="s">
        <v>14</v>
      </c>
      <c r="B13" s="4" t="s">
        <v>15</v>
      </c>
      <c r="C13" s="4" t="str">
        <f t="shared" si="0"/>
        <v>ITInformation Technology</v>
      </c>
      <c r="D13" s="4" t="str">
        <f t="shared" si="1"/>
        <v>IT</v>
      </c>
    </row>
    <row r="14" spans="1:5" x14ac:dyDescent="0.3">
      <c r="A14" s="4" t="s">
        <v>8</v>
      </c>
      <c r="B14" s="4" t="s">
        <v>9</v>
      </c>
      <c r="C14" s="4" t="str">
        <f t="shared" si="0"/>
        <v>SLSSales</v>
      </c>
      <c r="D14" s="4" t="str">
        <f t="shared" si="1"/>
        <v>SLS</v>
      </c>
    </row>
    <row r="15" spans="1:5" x14ac:dyDescent="0.3">
      <c r="A15" s="4" t="s">
        <v>11</v>
      </c>
      <c r="B15" s="4" t="s">
        <v>12</v>
      </c>
      <c r="C15" s="4" t="str">
        <f t="shared" si="0"/>
        <v>HRHuman Resources</v>
      </c>
      <c r="D15" s="4" t="str">
        <f t="shared" si="1"/>
        <v>HR</v>
      </c>
    </row>
    <row r="16" spans="1:5" x14ac:dyDescent="0.3">
      <c r="A16" s="4" t="s">
        <v>26</v>
      </c>
      <c r="B16" s="4" t="s">
        <v>27</v>
      </c>
      <c r="C16" s="4" t="str">
        <f t="shared" si="0"/>
        <v>FINFinance</v>
      </c>
      <c r="D16" s="4" t="str">
        <f t="shared" si="1"/>
        <v>FIN</v>
      </c>
    </row>
    <row r="17" spans="1:4" x14ac:dyDescent="0.3">
      <c r="A17" s="4" t="s">
        <v>14</v>
      </c>
      <c r="B17" s="4" t="s">
        <v>15</v>
      </c>
      <c r="C17" s="4" t="str">
        <f t="shared" si="0"/>
        <v>ITInformation Technology</v>
      </c>
      <c r="D17" s="4" t="str">
        <f t="shared" si="1"/>
        <v>IT</v>
      </c>
    </row>
    <row r="18" spans="1:4" x14ac:dyDescent="0.3">
      <c r="A18" s="4" t="s">
        <v>8</v>
      </c>
      <c r="B18" s="4" t="s">
        <v>9</v>
      </c>
      <c r="C18" s="4" t="str">
        <f t="shared" si="0"/>
        <v>SLSSales</v>
      </c>
      <c r="D18" s="4" t="str">
        <f t="shared" si="1"/>
        <v>SLS</v>
      </c>
    </row>
    <row r="19" spans="1:4" x14ac:dyDescent="0.3">
      <c r="A19" s="4" t="s">
        <v>26</v>
      </c>
      <c r="B19" s="4" t="s">
        <v>27</v>
      </c>
      <c r="C19" s="4" t="str">
        <f t="shared" si="0"/>
        <v>FINFinance</v>
      </c>
      <c r="D19" s="4" t="str">
        <f t="shared" si="1"/>
        <v>FIN</v>
      </c>
    </row>
    <row r="20" spans="1:4" x14ac:dyDescent="0.3">
      <c r="A20" s="4" t="s">
        <v>11</v>
      </c>
      <c r="B20" s="4" t="s">
        <v>12</v>
      </c>
      <c r="C20" s="4" t="str">
        <f t="shared" si="0"/>
        <v>HRHuman Resources</v>
      </c>
      <c r="D20" s="4" t="str">
        <f t="shared" si="1"/>
        <v>HR</v>
      </c>
    </row>
    <row r="21" spans="1:4" x14ac:dyDescent="0.3">
      <c r="A21" s="4" t="s">
        <v>14</v>
      </c>
      <c r="B21" s="4" t="s">
        <v>15</v>
      </c>
      <c r="C21" s="4" t="str">
        <f t="shared" si="0"/>
        <v>ITInformation Technology</v>
      </c>
      <c r="D21" s="4" t="str">
        <f t="shared" si="1"/>
        <v>IT</v>
      </c>
    </row>
    <row r="22" spans="1:4" x14ac:dyDescent="0.3">
      <c r="A22" s="4" t="s">
        <v>8</v>
      </c>
      <c r="B22" s="4" t="s">
        <v>9</v>
      </c>
      <c r="C22" s="4" t="str">
        <f t="shared" si="0"/>
        <v>SLSSales</v>
      </c>
      <c r="D22" s="4" t="str">
        <f t="shared" si="1"/>
        <v>SLS</v>
      </c>
    </row>
    <row r="23" spans="1:4" x14ac:dyDescent="0.3">
      <c r="A23" s="4" t="s">
        <v>26</v>
      </c>
      <c r="B23" s="4" t="s">
        <v>27</v>
      </c>
      <c r="C23" s="4" t="str">
        <f t="shared" si="0"/>
        <v>FINFinance</v>
      </c>
      <c r="D23" s="4" t="str">
        <f t="shared" si="1"/>
        <v>FIN</v>
      </c>
    </row>
    <row r="44" spans="1:1" x14ac:dyDescent="0.3">
      <c r="A44" s="4" t="s">
        <v>119</v>
      </c>
    </row>
    <row r="55" spans="1:2" x14ac:dyDescent="0.3">
      <c r="B55" s="4" t="s">
        <v>35</v>
      </c>
    </row>
    <row r="64" spans="1:2" x14ac:dyDescent="0.3">
      <c r="A64" s="4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B657-FDF6-49BC-997B-17B5BFE4E80A}">
  <dimension ref="A1:E25"/>
  <sheetViews>
    <sheetView tabSelected="1" workbookViewId="0">
      <selection activeCell="B9" sqref="B9"/>
    </sheetView>
  </sheetViews>
  <sheetFormatPr defaultRowHeight="14.4" x14ac:dyDescent="0.3"/>
  <cols>
    <col min="1" max="1" width="9" bestFit="1" customWidth="1"/>
    <col min="2" max="2" width="19.6640625" bestFit="1" customWidth="1"/>
    <col min="3" max="3" width="21.109375" bestFit="1" customWidth="1"/>
    <col min="4" max="4" width="31.6640625" customWidth="1"/>
    <col min="5" max="5" width="41.33203125" customWidth="1"/>
  </cols>
  <sheetData>
    <row r="1" spans="1:5" x14ac:dyDescent="0.3">
      <c r="A1" s="4"/>
      <c r="B1" s="4" t="s">
        <v>148</v>
      </c>
      <c r="C1" s="4"/>
      <c r="D1" s="4"/>
      <c r="E1" s="4"/>
    </row>
    <row r="2" spans="1:5" x14ac:dyDescent="0.3">
      <c r="A2" s="3" t="s">
        <v>4</v>
      </c>
      <c r="B2" s="3" t="s">
        <v>25</v>
      </c>
      <c r="C2" s="3" t="s">
        <v>144</v>
      </c>
      <c r="D2" s="3" t="s">
        <v>149</v>
      </c>
      <c r="E2" s="3" t="s">
        <v>150</v>
      </c>
    </row>
    <row r="3" spans="1:5" x14ac:dyDescent="0.3">
      <c r="A3" s="4" t="s">
        <v>8</v>
      </c>
      <c r="B3" s="4" t="s">
        <v>9</v>
      </c>
      <c r="C3" s="4" t="str">
        <f>_xlfn.CONCAT(A3:B3)</f>
        <v>SLSSales</v>
      </c>
      <c r="D3" s="4" t="str">
        <f>_xlfn.XLOOKUP(A3,A3:A22,B3:B22,"NOT FOUND")</f>
        <v>Sales</v>
      </c>
      <c r="E3" s="4" t="s">
        <v>151</v>
      </c>
    </row>
    <row r="4" spans="1:5" x14ac:dyDescent="0.3">
      <c r="A4" s="4" t="s">
        <v>11</v>
      </c>
      <c r="B4" s="4" t="s">
        <v>12</v>
      </c>
      <c r="C4" s="4" t="str">
        <f t="shared" ref="C4:C22" si="0">_xlfn.CONCAT(A4:B4)</f>
        <v>HRHuman Resources</v>
      </c>
      <c r="D4" s="4" t="str">
        <f t="shared" ref="D4:D22" si="1">_xlfn.XLOOKUP(A4,A4:A23,B4:B23,"NOT FOUND")</f>
        <v>Human Resources</v>
      </c>
      <c r="E4" s="4"/>
    </row>
    <row r="5" spans="1:5" x14ac:dyDescent="0.3">
      <c r="A5" s="4" t="s">
        <v>14</v>
      </c>
      <c r="B5" s="4" t="s">
        <v>15</v>
      </c>
      <c r="C5" s="4" t="str">
        <f t="shared" si="0"/>
        <v>ITInformation Technology</v>
      </c>
      <c r="D5" s="4" t="str">
        <f t="shared" si="1"/>
        <v>Information Technology</v>
      </c>
      <c r="E5" s="4"/>
    </row>
    <row r="6" spans="1:5" x14ac:dyDescent="0.3">
      <c r="A6" s="4" t="s">
        <v>8</v>
      </c>
      <c r="B6" s="4" t="s">
        <v>9</v>
      </c>
      <c r="C6" s="4" t="str">
        <f t="shared" si="0"/>
        <v>SLSSales</v>
      </c>
      <c r="D6" s="4" t="str">
        <f t="shared" si="1"/>
        <v>Sales</v>
      </c>
      <c r="E6" s="4"/>
    </row>
    <row r="7" spans="1:5" x14ac:dyDescent="0.3">
      <c r="A7" s="4" t="s">
        <v>26</v>
      </c>
      <c r="B7" s="4" t="s">
        <v>27</v>
      </c>
      <c r="C7" s="4" t="str">
        <f t="shared" si="0"/>
        <v>FINFinance</v>
      </c>
      <c r="D7" s="4" t="str">
        <f t="shared" si="1"/>
        <v>Finance</v>
      </c>
      <c r="E7" s="4"/>
    </row>
    <row r="8" spans="1:5" x14ac:dyDescent="0.3">
      <c r="A8" s="4" t="s">
        <v>14</v>
      </c>
      <c r="B8" s="4" t="s">
        <v>15</v>
      </c>
      <c r="C8" s="4" t="str">
        <f t="shared" si="0"/>
        <v>ITInformation Technology</v>
      </c>
      <c r="D8" s="4" t="str">
        <f t="shared" si="1"/>
        <v>Information Technology</v>
      </c>
      <c r="E8" s="4"/>
    </row>
    <row r="9" spans="1:5" x14ac:dyDescent="0.3">
      <c r="A9" s="4" t="s">
        <v>8</v>
      </c>
      <c r="B9" s="4" t="s">
        <v>9</v>
      </c>
      <c r="C9" s="4" t="str">
        <f t="shared" si="0"/>
        <v>SLSSales</v>
      </c>
      <c r="D9" s="4" t="str">
        <f t="shared" si="1"/>
        <v>Sales</v>
      </c>
      <c r="E9" s="4"/>
    </row>
    <row r="10" spans="1:5" x14ac:dyDescent="0.3">
      <c r="A10" s="4" t="s">
        <v>11</v>
      </c>
      <c r="B10" s="4" t="s">
        <v>12</v>
      </c>
      <c r="C10" s="4" t="str">
        <f t="shared" si="0"/>
        <v>HRHuman Resources</v>
      </c>
      <c r="D10" s="4" t="str">
        <f t="shared" si="1"/>
        <v>Human Resources</v>
      </c>
      <c r="E10" s="4"/>
    </row>
    <row r="11" spans="1:5" x14ac:dyDescent="0.3">
      <c r="A11" s="4" t="s">
        <v>26</v>
      </c>
      <c r="B11" s="4" t="s">
        <v>27</v>
      </c>
      <c r="C11" s="4" t="str">
        <f t="shared" si="0"/>
        <v>FINFinance</v>
      </c>
      <c r="D11" s="4" t="str">
        <f t="shared" si="1"/>
        <v>Finance</v>
      </c>
      <c r="E11" s="4"/>
    </row>
    <row r="12" spans="1:5" x14ac:dyDescent="0.3">
      <c r="A12" s="4" t="s">
        <v>14</v>
      </c>
      <c r="B12" s="4" t="s">
        <v>15</v>
      </c>
      <c r="C12" s="4" t="str">
        <f t="shared" si="0"/>
        <v>ITInformation Technology</v>
      </c>
      <c r="D12" s="4" t="str">
        <f t="shared" si="1"/>
        <v>Information Technology</v>
      </c>
      <c r="E12" s="4"/>
    </row>
    <row r="13" spans="1:5" x14ac:dyDescent="0.3">
      <c r="A13" s="4" t="s">
        <v>8</v>
      </c>
      <c r="B13" s="4" t="s">
        <v>9</v>
      </c>
      <c r="C13" s="4" t="str">
        <f t="shared" si="0"/>
        <v>SLSSales</v>
      </c>
      <c r="D13" s="4" t="str">
        <f t="shared" si="1"/>
        <v>Sales</v>
      </c>
      <c r="E13" s="4"/>
    </row>
    <row r="14" spans="1:5" x14ac:dyDescent="0.3">
      <c r="A14" s="4" t="s">
        <v>11</v>
      </c>
      <c r="B14" s="4" t="s">
        <v>12</v>
      </c>
      <c r="C14" s="4" t="str">
        <f t="shared" si="0"/>
        <v>HRHuman Resources</v>
      </c>
      <c r="D14" s="4" t="str">
        <f t="shared" si="1"/>
        <v>Human Resources</v>
      </c>
      <c r="E14" s="4"/>
    </row>
    <row r="15" spans="1:5" x14ac:dyDescent="0.3">
      <c r="A15" s="4" t="s">
        <v>26</v>
      </c>
      <c r="B15" s="4" t="s">
        <v>27</v>
      </c>
      <c r="C15" s="4" t="str">
        <f t="shared" si="0"/>
        <v>FINFinance</v>
      </c>
      <c r="D15" s="4" t="str">
        <f t="shared" si="1"/>
        <v>Finance</v>
      </c>
      <c r="E15" s="4"/>
    </row>
    <row r="16" spans="1:5" x14ac:dyDescent="0.3">
      <c r="A16" s="4" t="s">
        <v>14</v>
      </c>
      <c r="B16" s="4" t="s">
        <v>15</v>
      </c>
      <c r="C16" s="4" t="str">
        <f t="shared" si="0"/>
        <v>ITInformation Technology</v>
      </c>
      <c r="D16" s="4" t="str">
        <f t="shared" si="1"/>
        <v>Information Technology</v>
      </c>
      <c r="E16" s="4"/>
    </row>
    <row r="17" spans="1:5" x14ac:dyDescent="0.3">
      <c r="A17" s="4" t="s">
        <v>8</v>
      </c>
      <c r="B17" s="4" t="s">
        <v>9</v>
      </c>
      <c r="C17" s="4" t="str">
        <f t="shared" si="0"/>
        <v>SLSSales</v>
      </c>
      <c r="D17" s="4" t="str">
        <f t="shared" si="1"/>
        <v>Sales</v>
      </c>
      <c r="E17" s="4"/>
    </row>
    <row r="18" spans="1:5" x14ac:dyDescent="0.3">
      <c r="A18" s="4" t="s">
        <v>26</v>
      </c>
      <c r="B18" s="4" t="s">
        <v>27</v>
      </c>
      <c r="C18" s="4" t="str">
        <f t="shared" si="0"/>
        <v>FINFinance</v>
      </c>
      <c r="D18" s="4" t="str">
        <f t="shared" si="1"/>
        <v>Finance</v>
      </c>
      <c r="E18" s="4"/>
    </row>
    <row r="19" spans="1:5" x14ac:dyDescent="0.3">
      <c r="A19" s="4" t="s">
        <v>11</v>
      </c>
      <c r="B19" s="4" t="s">
        <v>12</v>
      </c>
      <c r="C19" s="4" t="str">
        <f t="shared" si="0"/>
        <v>HRHuman Resources</v>
      </c>
      <c r="D19" s="4" t="str">
        <f t="shared" si="1"/>
        <v>Human Resources</v>
      </c>
      <c r="E19" s="4"/>
    </row>
    <row r="20" spans="1:5" x14ac:dyDescent="0.3">
      <c r="A20" s="4" t="s">
        <v>14</v>
      </c>
      <c r="B20" s="4" t="s">
        <v>15</v>
      </c>
      <c r="C20" s="4" t="str">
        <f t="shared" si="0"/>
        <v>ITInformation Technology</v>
      </c>
      <c r="D20" s="4" t="str">
        <f t="shared" si="1"/>
        <v>Information Technology</v>
      </c>
      <c r="E20" s="4"/>
    </row>
    <row r="21" spans="1:5" x14ac:dyDescent="0.3">
      <c r="A21" s="4" t="s">
        <v>8</v>
      </c>
      <c r="B21" s="4" t="s">
        <v>9</v>
      </c>
      <c r="C21" s="4" t="str">
        <f t="shared" si="0"/>
        <v>SLSSales</v>
      </c>
      <c r="D21" s="4" t="str">
        <f t="shared" si="1"/>
        <v>Sales</v>
      </c>
      <c r="E21" s="4"/>
    </row>
    <row r="22" spans="1:5" x14ac:dyDescent="0.3">
      <c r="A22" s="4" t="s">
        <v>26</v>
      </c>
      <c r="B22" s="4" t="s">
        <v>27</v>
      </c>
      <c r="C22" s="4" t="str">
        <f t="shared" si="0"/>
        <v>FINFinance</v>
      </c>
      <c r="D22" s="4" t="str">
        <f t="shared" si="1"/>
        <v>Finance</v>
      </c>
      <c r="E22" s="4"/>
    </row>
    <row r="23" spans="1:5" x14ac:dyDescent="0.3">
      <c r="A23" s="4"/>
      <c r="B23" s="4"/>
      <c r="C23" s="4"/>
      <c r="D23" s="4"/>
      <c r="E23" s="4"/>
    </row>
    <row r="24" spans="1:5" x14ac:dyDescent="0.3">
      <c r="A24" s="4"/>
      <c r="B24" s="4"/>
      <c r="C24" s="4"/>
      <c r="D24" s="4"/>
      <c r="E24" s="4"/>
    </row>
    <row r="25" spans="1:5" x14ac:dyDescent="0.3">
      <c r="A25" s="4"/>
      <c r="B25" s="4"/>
      <c r="C25" s="4"/>
      <c r="D25" s="4"/>
      <c r="E2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5D0D-027E-4931-86FD-8D4F3411EE73}">
  <dimension ref="A1:E72"/>
  <sheetViews>
    <sheetView topLeftCell="A11" workbookViewId="0">
      <selection activeCell="E12" sqref="E12"/>
    </sheetView>
  </sheetViews>
  <sheetFormatPr defaultRowHeight="14.4" x14ac:dyDescent="0.3"/>
  <cols>
    <col min="1" max="1" width="9" bestFit="1" customWidth="1"/>
    <col min="2" max="2" width="23.109375" bestFit="1" customWidth="1"/>
    <col min="3" max="3" width="21.109375" bestFit="1" customWidth="1"/>
    <col min="4" max="4" width="19.6640625" bestFit="1" customWidth="1"/>
    <col min="5" max="5" width="28.6640625" bestFit="1" customWidth="1"/>
  </cols>
  <sheetData>
    <row r="1" spans="1:5" hidden="1" x14ac:dyDescent="0.3"/>
    <row r="2" spans="1:5" hidden="1" x14ac:dyDescent="0.3">
      <c r="B2" t="s">
        <v>0</v>
      </c>
    </row>
    <row r="3" spans="1:5" hidden="1" x14ac:dyDescent="0.3"/>
    <row r="4" spans="1:5" hidden="1" x14ac:dyDescent="0.3"/>
    <row r="5" spans="1:5" hidden="1" x14ac:dyDescent="0.3"/>
    <row r="6" spans="1:5" hidden="1" x14ac:dyDescent="0.3"/>
    <row r="7" spans="1:5" hidden="1" x14ac:dyDescent="0.3"/>
    <row r="8" spans="1:5" hidden="1" x14ac:dyDescent="0.3"/>
    <row r="9" spans="1:5" hidden="1" x14ac:dyDescent="0.3"/>
    <row r="10" spans="1:5" hidden="1" x14ac:dyDescent="0.3"/>
    <row r="11" spans="1:5" x14ac:dyDescent="0.3">
      <c r="A11" s="3" t="s">
        <v>4</v>
      </c>
      <c r="B11" s="3" t="s">
        <v>25</v>
      </c>
      <c r="C11" s="3" t="s">
        <v>144</v>
      </c>
      <c r="D11" s="3" t="s">
        <v>152</v>
      </c>
      <c r="E11" s="3" t="s">
        <v>153</v>
      </c>
    </row>
    <row r="12" spans="1:5" x14ac:dyDescent="0.3">
      <c r="A12" s="4" t="s">
        <v>8</v>
      </c>
      <c r="B12" s="4" t="s">
        <v>9</v>
      </c>
      <c r="C12" s="4" t="str">
        <f>_xlfn.CONCAT(A12:B12)</f>
        <v>SLSSales</v>
      </c>
      <c r="D12" s="4" t="str">
        <f>VLOOKUP(A12,A12:C31,2,FALSE)</f>
        <v>Sales</v>
      </c>
      <c r="E12" s="5" t="s">
        <v>154</v>
      </c>
    </row>
    <row r="13" spans="1:5" x14ac:dyDescent="0.3">
      <c r="A13" s="4" t="s">
        <v>11</v>
      </c>
      <c r="B13" s="4" t="s">
        <v>12</v>
      </c>
      <c r="C13" s="4" t="str">
        <f t="shared" ref="C13:C31" si="0">_xlfn.CONCAT(A13:B13)</f>
        <v>HRHuman Resources</v>
      </c>
      <c r="D13" s="4" t="str">
        <f t="shared" ref="D13:D31" si="1">VLOOKUP(A13,A13:C32,2,FALSE)</f>
        <v>Human Resources</v>
      </c>
      <c r="E13" s="4"/>
    </row>
    <row r="14" spans="1:5" x14ac:dyDescent="0.3">
      <c r="A14" s="4" t="s">
        <v>14</v>
      </c>
      <c r="B14" s="4" t="s">
        <v>15</v>
      </c>
      <c r="C14" s="4" t="str">
        <f t="shared" si="0"/>
        <v>ITInformation Technology</v>
      </c>
      <c r="D14" s="4" t="str">
        <f t="shared" si="1"/>
        <v>Information Technology</v>
      </c>
      <c r="E14" s="4"/>
    </row>
    <row r="15" spans="1:5" x14ac:dyDescent="0.3">
      <c r="A15" s="4" t="s">
        <v>8</v>
      </c>
      <c r="B15" s="4" t="s">
        <v>9</v>
      </c>
      <c r="C15" s="4" t="str">
        <f t="shared" si="0"/>
        <v>SLSSales</v>
      </c>
      <c r="D15" s="4" t="str">
        <f t="shared" si="1"/>
        <v>Sales</v>
      </c>
      <c r="E15" s="4"/>
    </row>
    <row r="16" spans="1:5" x14ac:dyDescent="0.3">
      <c r="A16" s="4" t="s">
        <v>26</v>
      </c>
      <c r="B16" s="4" t="s">
        <v>27</v>
      </c>
      <c r="C16" s="4" t="str">
        <f t="shared" si="0"/>
        <v>FINFinance</v>
      </c>
      <c r="D16" s="4" t="str">
        <f t="shared" si="1"/>
        <v>Finance</v>
      </c>
      <c r="E16" s="4"/>
    </row>
    <row r="17" spans="1:5" x14ac:dyDescent="0.3">
      <c r="A17" s="4" t="s">
        <v>14</v>
      </c>
      <c r="B17" s="4" t="s">
        <v>15</v>
      </c>
      <c r="C17" s="4" t="str">
        <f t="shared" si="0"/>
        <v>ITInformation Technology</v>
      </c>
      <c r="D17" s="4" t="str">
        <f t="shared" si="1"/>
        <v>Information Technology</v>
      </c>
      <c r="E17" s="4"/>
    </row>
    <row r="18" spans="1:5" x14ac:dyDescent="0.3">
      <c r="A18" s="4" t="s">
        <v>8</v>
      </c>
      <c r="B18" s="4" t="s">
        <v>9</v>
      </c>
      <c r="C18" s="4" t="str">
        <f t="shared" si="0"/>
        <v>SLSSales</v>
      </c>
      <c r="D18" s="4" t="str">
        <f t="shared" si="1"/>
        <v>Sales</v>
      </c>
      <c r="E18" s="4"/>
    </row>
    <row r="19" spans="1:5" x14ac:dyDescent="0.3">
      <c r="A19" s="4" t="s">
        <v>11</v>
      </c>
      <c r="B19" s="4" t="s">
        <v>12</v>
      </c>
      <c r="C19" s="4" t="str">
        <f t="shared" si="0"/>
        <v>HRHuman Resources</v>
      </c>
      <c r="D19" s="4" t="str">
        <f t="shared" si="1"/>
        <v>Human Resources</v>
      </c>
      <c r="E19" s="4"/>
    </row>
    <row r="20" spans="1:5" x14ac:dyDescent="0.3">
      <c r="A20" s="4" t="s">
        <v>26</v>
      </c>
      <c r="B20" s="4" t="s">
        <v>27</v>
      </c>
      <c r="C20" s="4" t="str">
        <f t="shared" si="0"/>
        <v>FINFinance</v>
      </c>
      <c r="D20" s="4" t="str">
        <f t="shared" si="1"/>
        <v>Finance</v>
      </c>
      <c r="E20" s="4"/>
    </row>
    <row r="21" spans="1:5" x14ac:dyDescent="0.3">
      <c r="A21" s="4" t="s">
        <v>14</v>
      </c>
      <c r="B21" s="4" t="s">
        <v>15</v>
      </c>
      <c r="C21" s="4" t="str">
        <f t="shared" si="0"/>
        <v>ITInformation Technology</v>
      </c>
      <c r="D21" s="4" t="str">
        <f t="shared" si="1"/>
        <v>Information Technology</v>
      </c>
      <c r="E21" s="4"/>
    </row>
    <row r="22" spans="1:5" x14ac:dyDescent="0.3">
      <c r="A22" s="4" t="s">
        <v>8</v>
      </c>
      <c r="B22" s="4" t="s">
        <v>9</v>
      </c>
      <c r="C22" s="4" t="str">
        <f t="shared" si="0"/>
        <v>SLSSales</v>
      </c>
      <c r="D22" s="4" t="str">
        <f t="shared" si="1"/>
        <v>Sales</v>
      </c>
      <c r="E22" s="4"/>
    </row>
    <row r="23" spans="1:5" x14ac:dyDescent="0.3">
      <c r="A23" s="4" t="s">
        <v>11</v>
      </c>
      <c r="B23" s="4" t="s">
        <v>12</v>
      </c>
      <c r="C23" s="4" t="str">
        <f t="shared" si="0"/>
        <v>HRHuman Resources</v>
      </c>
      <c r="D23" s="4" t="str">
        <f t="shared" si="1"/>
        <v>Human Resources</v>
      </c>
      <c r="E23" s="4"/>
    </row>
    <row r="24" spans="1:5" x14ac:dyDescent="0.3">
      <c r="A24" s="4" t="s">
        <v>26</v>
      </c>
      <c r="B24" s="4" t="s">
        <v>27</v>
      </c>
      <c r="C24" s="4" t="str">
        <f t="shared" si="0"/>
        <v>FINFinance</v>
      </c>
      <c r="D24" s="4" t="str">
        <f t="shared" si="1"/>
        <v>Finance</v>
      </c>
      <c r="E24" s="4"/>
    </row>
    <row r="25" spans="1:5" x14ac:dyDescent="0.3">
      <c r="A25" s="4" t="s">
        <v>14</v>
      </c>
      <c r="B25" s="4" t="s">
        <v>15</v>
      </c>
      <c r="C25" s="4" t="str">
        <f t="shared" si="0"/>
        <v>ITInformation Technology</v>
      </c>
      <c r="D25" s="4" t="str">
        <f t="shared" si="1"/>
        <v>Information Technology</v>
      </c>
      <c r="E25" s="4"/>
    </row>
    <row r="26" spans="1:5" x14ac:dyDescent="0.3">
      <c r="A26" s="4" t="s">
        <v>8</v>
      </c>
      <c r="B26" s="4" t="s">
        <v>9</v>
      </c>
      <c r="C26" s="4" t="str">
        <f t="shared" si="0"/>
        <v>SLSSales</v>
      </c>
      <c r="D26" s="4" t="str">
        <f t="shared" si="1"/>
        <v>Sales</v>
      </c>
      <c r="E26" s="4"/>
    </row>
    <row r="27" spans="1:5" x14ac:dyDescent="0.3">
      <c r="A27" s="4" t="s">
        <v>26</v>
      </c>
      <c r="B27" s="4" t="s">
        <v>27</v>
      </c>
      <c r="C27" s="4" t="str">
        <f t="shared" si="0"/>
        <v>FINFinance</v>
      </c>
      <c r="D27" s="4" t="str">
        <f t="shared" si="1"/>
        <v>Finance</v>
      </c>
      <c r="E27" s="4"/>
    </row>
    <row r="28" spans="1:5" x14ac:dyDescent="0.3">
      <c r="A28" s="4" t="s">
        <v>11</v>
      </c>
      <c r="B28" s="4" t="s">
        <v>12</v>
      </c>
      <c r="C28" s="4" t="str">
        <f t="shared" si="0"/>
        <v>HRHuman Resources</v>
      </c>
      <c r="D28" s="4" t="str">
        <f t="shared" si="1"/>
        <v>Human Resources</v>
      </c>
      <c r="E28" s="4"/>
    </row>
    <row r="29" spans="1:5" x14ac:dyDescent="0.3">
      <c r="A29" s="4" t="s">
        <v>14</v>
      </c>
      <c r="B29" s="4" t="s">
        <v>15</v>
      </c>
      <c r="C29" s="4" t="str">
        <f t="shared" si="0"/>
        <v>ITInformation Technology</v>
      </c>
      <c r="D29" s="4" t="str">
        <f t="shared" si="1"/>
        <v>Information Technology</v>
      </c>
      <c r="E29" s="4"/>
    </row>
    <row r="30" spans="1:5" x14ac:dyDescent="0.3">
      <c r="A30" s="4" t="s">
        <v>8</v>
      </c>
      <c r="B30" s="4" t="s">
        <v>9</v>
      </c>
      <c r="C30" s="4" t="str">
        <f t="shared" si="0"/>
        <v>SLSSales</v>
      </c>
      <c r="D30" s="4" t="str">
        <f t="shared" si="1"/>
        <v>Sales</v>
      </c>
      <c r="E30" s="4"/>
    </row>
    <row r="31" spans="1:5" x14ac:dyDescent="0.3">
      <c r="A31" s="4" t="s">
        <v>26</v>
      </c>
      <c r="B31" s="4" t="s">
        <v>27</v>
      </c>
      <c r="C31" s="4" t="str">
        <f t="shared" si="0"/>
        <v>FINFinance</v>
      </c>
      <c r="D31" s="4" t="str">
        <f t="shared" si="1"/>
        <v>Finance</v>
      </c>
      <c r="E31" s="4"/>
    </row>
    <row r="52" spans="1:2" x14ac:dyDescent="0.3">
      <c r="A52" t="s">
        <v>119</v>
      </c>
    </row>
    <row r="63" spans="1:2" x14ac:dyDescent="0.3">
      <c r="B63" t="s">
        <v>35</v>
      </c>
    </row>
    <row r="72" spans="1:1" x14ac:dyDescent="0.3">
      <c r="A7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Datasheet1</vt:lpstr>
      <vt:lpstr>hlookup data</vt:lpstr>
      <vt:lpstr>xlookup data</vt:lpstr>
      <vt:lpstr>vlookup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Aishwarya K</dc:creator>
  <cp:keywords/>
  <dc:description/>
  <cp:lastModifiedBy>Aishwarya K</cp:lastModifiedBy>
  <cp:revision/>
  <dcterms:created xsi:type="dcterms:W3CDTF">2025-11-13T04:16:45Z</dcterms:created>
  <dcterms:modified xsi:type="dcterms:W3CDTF">2025-11-13T09:30:05Z</dcterms:modified>
  <cp:category/>
  <cp:contentStatus/>
</cp:coreProperties>
</file>