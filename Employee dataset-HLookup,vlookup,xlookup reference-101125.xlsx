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 Analysis/excel/reference/"/>
    </mc:Choice>
  </mc:AlternateContent>
  <xr:revisionPtr revIDLastSave="0" documentId="8_{B426964D-BCF1-F74A-B5E1-9079414C69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N30" i="1"/>
  <c r="N31" i="1"/>
  <c r="N32" i="1"/>
  <c r="N3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E43" i="1"/>
  <c r="N51" i="1" a="1"/>
  <c r="N51" i="1"/>
  <c r="N49" i="1"/>
  <c r="E44" i="1"/>
  <c r="E42" i="1"/>
  <c r="E35" i="1"/>
  <c r="E34" i="1"/>
  <c r="E37" i="1"/>
  <c r="N50" i="1"/>
  <c r="J42" i="1"/>
  <c r="E41" i="1"/>
  <c r="E40" i="1"/>
  <c r="E39" i="1"/>
  <c r="E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<sst xmlns="http://schemas.openxmlformats.org/spreadsheetml/2006/main" count="200" uniqueCount="153">
  <si>
    <r>
      <rPr>
        <b/>
        <sz val="12"/>
        <color rgb="FF000000"/>
        <rFont val="Calibri"/>
        <family val="2"/>
        <scheme val="minor"/>
      </rPr>
      <t xml:space="preserve">VLOOKUP (Vertical Lookup)
</t>
    </r>
    <r>
      <rPr>
        <b/>
        <sz val="12"/>
        <color rgb="FF31869B"/>
        <rFont val="Calibri"/>
        <family val="2"/>
        <scheme val="minor"/>
      </rPr>
      <t xml:space="preserve">
Use case: Look up DeptCode in the main table and return DeptName from the Dept lookup table.
=VLOOKUP(D9,Table4[[DeptCode]:[DeptName]],2,FALSE)</t>
    </r>
  </si>
  <si>
    <t>DeptCode</t>
  </si>
  <si>
    <t>DeptName</t>
  </si>
  <si>
    <t>Manager</t>
  </si>
  <si>
    <t>CostCenter</t>
  </si>
  <si>
    <t>SLS</t>
  </si>
  <si>
    <t>Sales</t>
  </si>
  <si>
    <t>Anita Verma</t>
  </si>
  <si>
    <t>6001</t>
  </si>
  <si>
    <t>HR</t>
  </si>
  <si>
    <t>Human Resources</t>
  </si>
  <si>
    <t>Vijay Rao</t>
  </si>
  <si>
    <t>6002</t>
  </si>
  <si>
    <t>IT</t>
  </si>
  <si>
    <t>Information Technology</t>
  </si>
  <si>
    <t>Meera Iyer</t>
  </si>
  <si>
    <t>6003</t>
  </si>
  <si>
    <t>EmployeeID</t>
  </si>
  <si>
    <t>SKU</t>
  </si>
  <si>
    <t>Name</t>
  </si>
  <si>
    <t>JoinDate</t>
  </si>
  <si>
    <t>BirthDate</t>
  </si>
  <si>
    <t>LastLogin</t>
  </si>
  <si>
    <t>BaseSalary</t>
  </si>
  <si>
    <t>PerformanceScore</t>
  </si>
  <si>
    <t>Dept name</t>
  </si>
  <si>
    <t>FIN</t>
  </si>
  <si>
    <t>Finance</t>
  </si>
  <si>
    <t>Arun Sharma</t>
  </si>
  <si>
    <t>6004</t>
  </si>
  <si>
    <t>E101</t>
  </si>
  <si>
    <t>P100</t>
  </si>
  <si>
    <t>John Smith</t>
  </si>
  <si>
    <t>2019-05-10</t>
  </si>
  <si>
    <t>1991-04-15</t>
  </si>
  <si>
    <t>E102</t>
  </si>
  <si>
    <t>P101</t>
  </si>
  <si>
    <t>Anna Lee</t>
  </si>
  <si>
    <t>2018-03-14</t>
  </si>
  <si>
    <t>1988-10-22</t>
  </si>
  <si>
    <t>E103</t>
  </si>
  <si>
    <t>P102</t>
  </si>
  <si>
    <t>Raj Kumar</t>
  </si>
  <si>
    <t>2020-07-21</t>
  </si>
  <si>
    <t>1994-02-11</t>
  </si>
  <si>
    <t>E104</t>
  </si>
  <si>
    <t>Maria Jose</t>
  </si>
  <si>
    <t>2019-09-18</t>
  </si>
  <si>
    <t>1992-12-02</t>
  </si>
  <si>
    <t>E105</t>
  </si>
  <si>
    <t>P103</t>
  </si>
  <si>
    <t>Ahmed Ali</t>
  </si>
  <si>
    <t>2015-01-05</t>
  </si>
  <si>
    <t>1980-05-30</t>
  </si>
  <si>
    <t>E106</t>
  </si>
  <si>
    <t>P104</t>
  </si>
  <si>
    <t>Priya N</t>
  </si>
  <si>
    <t>2021-11-23</t>
  </si>
  <si>
    <t>1993-03-19</t>
  </si>
  <si>
    <t>E107</t>
  </si>
  <si>
    <t>P105</t>
  </si>
  <si>
    <t>James Wong</t>
  </si>
  <si>
    <t>2017-04-12</t>
  </si>
  <si>
    <t>1987-09-05</t>
  </si>
  <si>
    <t>E108</t>
  </si>
  <si>
    <t>Chen Wei</t>
  </si>
  <si>
    <t>2016-02-20</t>
  </si>
  <si>
    <t>1984-07-17</t>
  </si>
  <si>
    <t>E109</t>
  </si>
  <si>
    <t>Neha Singh</t>
  </si>
  <si>
    <t>2018-08-30</t>
  </si>
  <si>
    <t>1991-01-27</t>
  </si>
  <si>
    <t>E110</t>
  </si>
  <si>
    <t>Peter Pan</t>
  </si>
  <si>
    <t>2019-12-11</t>
  </si>
  <si>
    <t>1989-06-14</t>
  </si>
  <si>
    <t>E111</t>
  </si>
  <si>
    <t>Luis M</t>
  </si>
  <si>
    <t>2020-10-15</t>
  </si>
  <si>
    <t>1992-08-01</t>
  </si>
  <si>
    <t>E112</t>
  </si>
  <si>
    <t>Sara Khan</t>
  </si>
  <si>
    <t>2021-01-25</t>
  </si>
  <si>
    <t>1996-03-08</t>
  </si>
  <si>
    <t>E113</t>
  </si>
  <si>
    <t>David Lee</t>
  </si>
  <si>
    <t>2014-07-19</t>
  </si>
  <si>
    <t>1981-11-12</t>
  </si>
  <si>
    <t>E114</t>
  </si>
  <si>
    <t>Aisha Patel</t>
  </si>
  <si>
    <t>2022-03-08</t>
  </si>
  <si>
    <t>1995-09-29</t>
  </si>
  <si>
    <t>Column1</t>
  </si>
  <si>
    <t>A</t>
  </si>
  <si>
    <t>B</t>
  </si>
  <si>
    <t>C</t>
  </si>
  <si>
    <t>D</t>
  </si>
  <si>
    <t>E115</t>
  </si>
  <si>
    <t>John Deo</t>
  </si>
  <si>
    <t>2019-06-06</t>
  </si>
  <si>
    <t>1993-04-04</t>
  </si>
  <si>
    <t>BonusPct</t>
  </si>
  <si>
    <t>E116</t>
  </si>
  <si>
    <t>Sneha Roy</t>
  </si>
  <si>
    <t>2018-09-13</t>
  </si>
  <si>
    <t>1990-02-02</t>
  </si>
  <si>
    <t>E117</t>
  </si>
  <si>
    <t>Mark Smith</t>
  </si>
  <si>
    <t>2020-05-02</t>
  </si>
  <si>
    <t>1986-10-10</t>
  </si>
  <si>
    <t>E118</t>
  </si>
  <si>
    <t>Li Na</t>
  </si>
  <si>
    <t>2017-08-28</t>
  </si>
  <si>
    <t>1988-01-18</t>
  </si>
  <si>
    <r>
      <rPr>
        <b/>
        <sz val="18"/>
        <color rgb="FF000000"/>
        <rFont val="Calibri"/>
        <family val="2"/>
        <scheme val="minor"/>
      </rPr>
      <t xml:space="preserve">HLOOKUP (Horizontal Lookup)
</t>
    </r>
    <r>
      <rPr>
        <b/>
        <sz val="12"/>
        <color rgb="FF31869B"/>
        <rFont val="Calibri"/>
        <family val="2"/>
        <scheme val="minor"/>
      </rPr>
      <t>Use case: Fetch Bonus % based on Grade (A, B, C, D) using the Bonus table at the bottom.
=HLOOKUP([@Grade],Table2[[#All],[A]:[D]],2)</t>
    </r>
  </si>
  <si>
    <t>E119</t>
  </si>
  <si>
    <t>Tom Cruise</t>
  </si>
  <si>
    <t>2016-11-22</t>
  </si>
  <si>
    <t>1985-07-07</t>
  </si>
  <si>
    <t>E120</t>
  </si>
  <si>
    <t>Riya Mehta</t>
  </si>
  <si>
    <t>2015-12-10</t>
  </si>
  <si>
    <t>1987-02-25</t>
  </si>
  <si>
    <t>MinScore</t>
  </si>
  <si>
    <t>Grade</t>
  </si>
  <si>
    <t>Grade percentage</t>
  </si>
  <si>
    <t>Date and Time functions</t>
  </si>
  <si>
    <t>Today=</t>
  </si>
  <si>
    <t>Now=</t>
  </si>
  <si>
    <t>year=</t>
  </si>
  <si>
    <r>
      <rPr>
        <b/>
        <sz val="11"/>
        <color rgb="FFC0504D"/>
        <rFont val="Calibri"/>
        <family val="2"/>
        <scheme val="minor"/>
      </rPr>
      <t xml:space="preserve">INDEX + MATCH :
Returns the value sitting at the intersection of that row and column
Syntax:=INDEX(array, row_num, [column_num])
-  array =&gt; the table or range.
-row_num = which row inside the array
-column_num =&gt; which column inside the array
</t>
    </r>
    <r>
      <rPr>
        <b/>
        <sz val="11"/>
        <color rgb="FF000000"/>
        <rFont val="Calibri"/>
        <family val="2"/>
        <scheme val="minor"/>
      </rPr>
      <t xml:space="preserve">Look up UnitPrice from SKU using Product lookup :
</t>
    </r>
    <r>
      <rPr>
        <b/>
        <sz val="11"/>
        <color rgb="FFC0504D"/>
        <rFont val="Calibri"/>
        <family val="2"/>
        <scheme val="minor"/>
      </rPr>
      <t xml:space="preserve">
</t>
    </r>
  </si>
  <si>
    <r>
      <rPr>
        <b/>
        <sz val="11"/>
        <color rgb="FFC0504D"/>
        <rFont val="Calibri"/>
        <family val="2"/>
        <scheme val="minor"/>
      </rPr>
      <t xml:space="preserve">MATCH
</t>
    </r>
    <r>
      <rPr>
        <sz val="11"/>
        <color rgb="FF000000"/>
        <rFont val="Calibri"/>
        <family val="2"/>
        <scheme val="minor"/>
      </rPr>
      <t>=MATCH(lookup_value, lookup_array, [match_type])
Finds the position of a value in a column or row.</t>
    </r>
  </si>
  <si>
    <t>Month</t>
  </si>
  <si>
    <t>day</t>
  </si>
  <si>
    <t>weekday in number</t>
  </si>
  <si>
    <t>1-mon,2-tue,3-wed,4-thur,5-fri,6-sat,7-sun</t>
  </si>
  <si>
    <t>display weekday name using choose()</t>
  </si>
  <si>
    <t>ProductName</t>
  </si>
  <si>
    <t>UnitPrice</t>
  </si>
  <si>
    <t>tenure in years</t>
  </si>
  <si>
    <t>CRM License</t>
  </si>
  <si>
    <t>Tenure months remainder</t>
  </si>
  <si>
    <t>HRMS License</t>
  </si>
  <si>
    <t>Age in years</t>
  </si>
  <si>
    <t>Dev Tools Suite</t>
  </si>
  <si>
    <t>Financial Suite</t>
  </si>
  <si>
    <t>Cloud Credits Pack</t>
  </si>
  <si>
    <t>Sales Enablement Kit</t>
  </si>
  <si>
    <t>MATCH – find the row number of SKU</t>
  </si>
  <si>
    <t>INDEX – fetch value directly by row and column
Formula (get 4th row, 3rd column = UnitPrice):</t>
  </si>
  <si>
    <t>INDEX + MATCH – combine both (dynamic lookup)
Get UnitPrice for a SKU (example: "P103"):</t>
  </si>
  <si>
    <t>Teaching Tip (Step by Step for Students)
Start with MATCH() alone → show that it only gives a row number.
Then try INDEX() alone → show how it fetches value by row+col.
Finally combine → INDEX + MATCH = "Find row automatically, then fetch value".
Compare with VLOOKUP → show that INDEX+MATCH can search left or right and doesn’t break if you rearrange columns.</t>
  </si>
  <si>
    <r>
      <rPr>
        <b/>
        <sz val="12"/>
        <color rgb="FF000000"/>
        <rFont val="Calibri"/>
        <family val="2"/>
        <scheme val="minor"/>
      </rPr>
      <t xml:space="preserve">XLOOKUP (Vertical Lookup)
</t>
    </r>
    <r>
      <rPr>
        <b/>
        <sz val="12"/>
        <color rgb="FF31869B"/>
        <rFont val="Calibri"/>
        <family val="2"/>
        <scheme val="minor"/>
      </rPr>
      <t>Use case: Look up DeptCode in the main table and return DeptManager from the Dept lookup table.
=XLOOKUP(D8,Table4[DeptCode],Table4[Manager],"Not assigned",0)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</si>
</sst>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0504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1869B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22" fontId="0" fillId="0" borderId="0" xfId="0" applyNumberFormat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3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8A13F-8E9B-4C36-BC76-65B6E6630041}" name="Table1" displayName="Table1" ref="L29:N33" totalsRowShown="0">
  <autoFilter ref="L29:N33" xr:uid="{BAF8A13F-8E9B-4C36-BC76-65B6E6630041}"/>
  <tableColumns count="3">
    <tableColumn id="1" xr3:uid="{1EE19CEA-D517-4A6A-A941-D2A98E0CD6F7}" name="MinScore" dataDxfId="29"/>
    <tableColumn id="2" xr3:uid="{5071774E-6928-4E32-ADC4-C5C100DB3681}" name="Grade" dataDxfId="28"/>
    <tableColumn id="3" xr3:uid="{500ADF0C-421C-48D5-86F0-3BAB3E16C3BB}" name="Grade percentage" dataDxfId="27">
      <calculatedColumnFormula>HLOOKUP(Table1[[#This Row],[Grade]],Table2[[#All],[A]:[D]],2,FALSE)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3A0D45-E9F8-492B-8FCA-391F107DD35E}" name="Table2" displayName="Table2" ref="L20:P21" totalsRowShown="0" headerRowDxfId="26" dataDxfId="25">
  <autoFilter ref="L20:P21" xr:uid="{BA3A0D45-E9F8-492B-8FCA-391F107DD35E}"/>
  <tableColumns count="5">
    <tableColumn id="1" xr3:uid="{98DF42A4-1C6F-401D-9884-CD580EBA5ECD}" name="Column1" dataDxfId="24"/>
    <tableColumn id="2" xr3:uid="{C7BCA360-3A3B-4747-9CE4-34CBC93EEC42}" name="A" dataDxfId="23"/>
    <tableColumn id="3" xr3:uid="{2227EF51-C5E3-4E9D-A176-1D0DB488D114}" name="B" dataDxfId="22"/>
    <tableColumn id="4" xr3:uid="{C981145E-9251-4CEE-8715-2F0E4B3E15B5}" name="C" dataDxfId="21"/>
    <tableColumn id="5" xr3:uid="{C7FC2F59-B0BF-46CF-BE4B-076DD0915F36}" name="D" dataDxfId="2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B4AB33-F35A-4B97-9948-B06D4CC588E7}" name="Table3" displayName="Table3" ref="L41:N47" totalsRowShown="0">
  <autoFilter ref="L41:N47" xr:uid="{80B4AB33-F35A-4B97-9948-B06D4CC588E7}"/>
  <tableColumns count="3">
    <tableColumn id="1" xr3:uid="{657A4B9C-29B0-4CCC-BE75-6A4633721107}" name="SKU" dataDxfId="19"/>
    <tableColumn id="2" xr3:uid="{98534415-B991-4BCC-9A12-B38890C9E504}" name="ProductName" dataDxfId="18"/>
    <tableColumn id="3" xr3:uid="{5F90EF46-396E-40A7-B1FF-442A849365C6}" name="UnitPrice" dataDxfId="17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B570BF-8947-4746-9DCB-481287EC7F88}" name="Table4" displayName="Table4" ref="L2:O6" totalsRowShown="0" headerRowDxfId="16" dataDxfId="14" headerRowBorderDxfId="15" tableBorderDxfId="13">
  <autoFilter ref="L2:O6" xr:uid="{25B570BF-8947-4746-9DCB-481287EC7F88}"/>
  <tableColumns count="4">
    <tableColumn id="1" xr3:uid="{374E6876-2F0F-4F65-93BC-AD17A03E8CAD}" name="DeptCode" dataDxfId="12"/>
    <tableColumn id="2" xr3:uid="{6E42F0A6-D698-4B51-B3D3-0FB9979DABD5}" name="DeptName" dataDxfId="11"/>
    <tableColumn id="3" xr3:uid="{BECF913B-44F7-4068-96ED-B460ED136BD7}" name="Manager" dataDxfId="10"/>
    <tableColumn id="4" xr3:uid="{D63FF8FB-6B0B-496C-B505-B7CC0C3766D1}" name="CostCenter" dataDxfId="9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26A1FA-2A06-458B-AD08-CD3659BF4410}" name="Table5" displayName="Table5" ref="E6:K26" totalsRowShown="0" headerRowDxfId="8" dataDxfId="7">
  <autoFilter ref="E6:K26" xr:uid="{A326A1FA-2A06-458B-AD08-CD3659BF4410}"/>
  <tableColumns count="7">
    <tableColumn id="1" xr3:uid="{2475C843-585F-4C41-A673-1FECF1672DCC}" name="JoinDate" dataDxfId="6"/>
    <tableColumn id="2" xr3:uid="{296BEBD5-909E-4734-AC81-67926EABEF3B}" name="BirthDate" dataDxfId="5"/>
    <tableColumn id="3" xr3:uid="{C7BD6CA6-1FC0-4CF2-9BE7-72E68F8DDF54}" name="LastLogin" dataDxfId="4"/>
    <tableColumn id="4" xr3:uid="{1CB58E75-A3F0-4715-849A-8A1B503557F1}" name="BaseSalary" dataDxfId="3"/>
    <tableColumn id="5" xr3:uid="{86C2E677-0D9B-4A58-BBE1-A909159201D9}" name="PerformanceScore" dataDxfId="2"/>
    <tableColumn id="6" xr3:uid="{58B0CE02-BDB6-4C0C-B544-78165662351C}" name="Dept name" dataDxfId="1">
      <calculatedColumnFormula>VLOOKUP(D7,Table4[[DeptCode]:[DeptName]],2,FALSE)</calculatedColumnFormula>
    </tableColumn>
    <tableColumn id="7" xr3:uid="{6F2B9A81-C700-4D07-8B5C-76E1CE57D755}" name="Manager" dataDxfId="0">
      <calculatedColumnFormula>_xlfn.XLOOKUP(D7,Table4[DeptCode],Table4[Manager],"Not assigned",0)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Relationship Id="rId6" Type="http://schemas.openxmlformats.org/officeDocument/2006/relationships/table" Target="../tables/table5.xml" /><Relationship Id="rId5" Type="http://schemas.openxmlformats.org/officeDocument/2006/relationships/table" Target="../tables/table4.xml" /><Relationship Id="rId4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4"/>
  <sheetViews>
    <sheetView tabSelected="1" topLeftCell="K1" workbookViewId="0">
      <selection activeCell="M13" sqref="M13"/>
    </sheetView>
  </sheetViews>
  <sheetFormatPr defaultRowHeight="15" customHeight="1" x14ac:dyDescent="0.2"/>
  <cols>
    <col min="1" max="1" width="13.5859375" style="4" customWidth="1"/>
    <col min="2" max="2" width="22.59765625" style="4" customWidth="1"/>
    <col min="3" max="3" width="17.484375" style="4" customWidth="1"/>
    <col min="4" max="4" width="18.0234375" style="4" customWidth="1"/>
    <col min="5" max="5" width="21.5234375" style="4" customWidth="1"/>
    <col min="6" max="6" width="19.63671875" style="4" customWidth="1"/>
    <col min="7" max="7" width="21.65625" style="8" customWidth="1"/>
    <col min="8" max="8" width="23.5390625" style="4" customWidth="1"/>
    <col min="9" max="9" width="19.50390625" style="4" customWidth="1"/>
    <col min="10" max="10" width="55.421875" customWidth="1"/>
    <col min="11" max="11" width="57.171875" customWidth="1"/>
    <col min="12" max="12" width="36.58984375" bestFit="1" customWidth="1"/>
    <col min="13" max="13" width="51.38671875" customWidth="1"/>
    <col min="14" max="14" width="21.65625" bestFit="1" customWidth="1"/>
    <col min="15" max="15" width="41.96875" customWidth="1"/>
    <col min="17" max="17" width="14.66015625" bestFit="1" customWidth="1"/>
    <col min="20" max="20" width="36.58984375" bestFit="1" customWidth="1"/>
  </cols>
  <sheetData>
    <row r="2" spans="1:15" ht="80.45" customHeight="1" x14ac:dyDescent="0.2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10" t="s">
        <v>4</v>
      </c>
    </row>
    <row r="3" spans="1:15" ht="15" customHeight="1" x14ac:dyDescent="0.2">
      <c r="J3" s="4"/>
      <c r="L3" s="4" t="s">
        <v>5</v>
      </c>
      <c r="M3" s="4" t="s">
        <v>6</v>
      </c>
      <c r="N3" s="4" t="s">
        <v>7</v>
      </c>
      <c r="O3" s="4" t="s">
        <v>8</v>
      </c>
    </row>
    <row r="4" spans="1:15" ht="15" customHeight="1" x14ac:dyDescent="0.2">
      <c r="L4" s="4" t="s">
        <v>9</v>
      </c>
      <c r="M4" s="4" t="s">
        <v>10</v>
      </c>
      <c r="N4" s="4" t="s">
        <v>11</v>
      </c>
      <c r="O4" s="4" t="s">
        <v>12</v>
      </c>
    </row>
    <row r="5" spans="1:15" ht="15" customHeight="1" x14ac:dyDescent="0.2">
      <c r="L5" s="4" t="s">
        <v>13</v>
      </c>
      <c r="M5" s="4" t="s">
        <v>14</v>
      </c>
      <c r="N5" s="4" t="s">
        <v>15</v>
      </c>
      <c r="O5" s="4" t="s">
        <v>16</v>
      </c>
    </row>
    <row r="6" spans="1:15" ht="14.45" customHeight="1" x14ac:dyDescent="0.2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4" t="s">
        <v>29</v>
      </c>
    </row>
    <row r="7" spans="1:15" ht="14.45" customHeight="1" x14ac:dyDescent="0.2">
      <c r="A7" s="4" t="s">
        <v>30</v>
      </c>
      <c r="B7" s="4" t="s">
        <v>31</v>
      </c>
      <c r="C7" s="4" t="s">
        <v>32</v>
      </c>
      <c r="D7" s="4" t="s">
        <v>5</v>
      </c>
      <c r="E7" s="4" t="s">
        <v>33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VLOOKUP(D7,Table4[[DeptCode]:[DeptName]],2,FALSE)</f>
        <v>Sales</v>
      </c>
      <c r="K7" s="4" t="str">
        <f>_xlfn.XLOOKUP(D7,Table4[DeptCode],Table4[Manager],"Not assigned",0)</f>
        <v>Anita Verma</v>
      </c>
      <c r="L7" s="20"/>
      <c r="M7" s="20"/>
    </row>
    <row r="8" spans="1:15" x14ac:dyDescent="0.2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VLOOKUP(D8,Table4[[DeptCode]:[DeptName]],2,FALSE)</f>
        <v>Human Resources</v>
      </c>
      <c r="K8" s="4" t="str">
        <f>_xlfn.XLOOKUP(D8,Table4[DeptCode],Table4[Manager],"Not assigned",0)</f>
        <v>Vijay Rao</v>
      </c>
    </row>
    <row r="9" spans="1:15" x14ac:dyDescent="0.2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VLOOKUP(D9,Table4[[DeptCode]:[DeptName]],2,FALSE)</f>
        <v>Information Technology</v>
      </c>
      <c r="K9" s="4" t="str">
        <f>_xlfn.XLOOKUP(D9,Table4[DeptCode],Table4[Manager],"Not assigned",0)</f>
        <v>Meera Iyer</v>
      </c>
    </row>
    <row r="10" spans="1:15" x14ac:dyDescent="0.2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VLOOKUP(D10,Table4[[DeptCode]:[DeptName]],2,FALSE)</f>
        <v>Sales</v>
      </c>
      <c r="K10" s="4" t="str">
        <f>_xlfn.XLOOKUP(D10,Table4[DeptCode],Table4[Manager],"Not assigned",0)</f>
        <v>Anita Verma</v>
      </c>
    </row>
    <row r="11" spans="1:15" x14ac:dyDescent="0.2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VLOOKUP(D11,Table4[[DeptCode]:[DeptName]],2,FALSE)</f>
        <v>Finance</v>
      </c>
      <c r="K11" s="4" t="str">
        <f>_xlfn.XLOOKUP(D11,Table4[DeptCode],Table4[Manager],"Not assigned",0)</f>
        <v>Arun Sharma</v>
      </c>
    </row>
    <row r="12" spans="1:15" x14ac:dyDescent="0.2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VLOOKUP(D12,Table4[[DeptCode]:[DeptName]],2,FALSE)</f>
        <v>Information Technology</v>
      </c>
      <c r="K12" s="4" t="str">
        <f>_xlfn.XLOOKUP(D12,Table4[DeptCode],Table4[Manager],"Not assigned",0)</f>
        <v>Meera Iyer</v>
      </c>
    </row>
    <row r="13" spans="1:15" x14ac:dyDescent="0.2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VLOOKUP(D13,Table4[[DeptCode]:[DeptName]],2,FALSE)</f>
        <v>Sales</v>
      </c>
      <c r="K13" s="4" t="str">
        <f>_xlfn.XLOOKUP(D13,Table4[DeptCode],Table4[Manager],"Not assigned",0)</f>
        <v>Anita Verma</v>
      </c>
      <c r="N13" s="3"/>
    </row>
    <row r="14" spans="1:15" x14ac:dyDescent="0.2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VLOOKUP(D14,Table4[[DeptCode]:[DeptName]],2,FALSE)</f>
        <v>Human Resources</v>
      </c>
      <c r="K14" s="4" t="str">
        <f>_xlfn.XLOOKUP(D14,Table4[DeptCode],Table4[Manager],"Not assigned",0)</f>
        <v>Vijay Rao</v>
      </c>
    </row>
    <row r="15" spans="1:15" x14ac:dyDescent="0.2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VLOOKUP(D15,Table4[[DeptCode]:[DeptName]],2,FALSE)</f>
        <v>Finance</v>
      </c>
      <c r="K15" s="4" t="str">
        <f>_xlfn.XLOOKUP(D15,Table4[DeptCode],Table4[Manager],"Not assigned",0)</f>
        <v>Arun Sharma</v>
      </c>
    </row>
    <row r="16" spans="1:15" x14ac:dyDescent="0.2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VLOOKUP(D16,Table4[[DeptCode]:[DeptName]],2,FALSE)</f>
        <v>Information Technology</v>
      </c>
      <c r="K16" s="4" t="str">
        <f>_xlfn.XLOOKUP(D16,Table4[DeptCode],Table4[Manager],"Not assigned",0)</f>
        <v>Meera Iyer</v>
      </c>
    </row>
    <row r="17" spans="1:16" x14ac:dyDescent="0.2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VLOOKUP(D17,Table4[[DeptCode]:[DeptName]],2,FALSE)</f>
        <v>Sales</v>
      </c>
      <c r="K17" s="4" t="str">
        <f>_xlfn.XLOOKUP(D17,Table4[DeptCode],Table4[Manager],"Not assigned",0)</f>
        <v>Anita Verma</v>
      </c>
    </row>
    <row r="18" spans="1:16" x14ac:dyDescent="0.2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VLOOKUP(D18,Table4[[DeptCode]:[DeptName]],2,FALSE)</f>
        <v>Human Resources</v>
      </c>
      <c r="K18" s="4" t="str">
        <f>_xlfn.XLOOKUP(D18,Table4[DeptCode],Table4[Manager],"Not assigned",0)</f>
        <v>Vijay Rao</v>
      </c>
    </row>
    <row r="19" spans="1:16" x14ac:dyDescent="0.2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VLOOKUP(D19,Table4[[DeptCode]:[DeptName]],2,FALSE)</f>
        <v>Finance</v>
      </c>
      <c r="K19" s="4" t="str">
        <f>_xlfn.XLOOKUP(D19,Table4[DeptCode],Table4[Manager],"Not assigned",0)</f>
        <v>Arun Sharma</v>
      </c>
    </row>
    <row r="20" spans="1:16" x14ac:dyDescent="0.2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VLOOKUP(D20,Table4[[DeptCode]:[DeptName]],2,FALSE)</f>
        <v>Information Technology</v>
      </c>
      <c r="K20" s="4" t="str">
        <f>_xlfn.XLOOKUP(D20,Table4[DeptCode],Table4[Manager],"Not assigned",0)</f>
        <v>Meera Iyer</v>
      </c>
      <c r="L20" s="4" t="s">
        <v>92</v>
      </c>
      <c r="M20" s="4" t="s">
        <v>93</v>
      </c>
      <c r="N20" s="4" t="s">
        <v>94</v>
      </c>
      <c r="O20" s="4" t="s">
        <v>95</v>
      </c>
      <c r="P20" s="4" t="s">
        <v>96</v>
      </c>
    </row>
    <row r="21" spans="1:16" x14ac:dyDescent="0.2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VLOOKUP(D21,Table4[[DeptCode]:[DeptName]],2,FALSE)</f>
        <v>Sales</v>
      </c>
      <c r="K21" s="4" t="str">
        <f>_xlfn.XLOOKUP(D21,Table4[DeptCode],Table4[Manager],"Not assigned",0)</f>
        <v>Anita Verma</v>
      </c>
      <c r="L21" s="4" t="s">
        <v>101</v>
      </c>
      <c r="M21" s="4">
        <v>0.12</v>
      </c>
      <c r="N21" s="4">
        <v>0.08</v>
      </c>
      <c r="O21" s="4">
        <v>0.05</v>
      </c>
      <c r="P21" s="4">
        <v>0.02</v>
      </c>
    </row>
    <row r="22" spans="1:16" x14ac:dyDescent="0.2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VLOOKUP(D22,Table4[[DeptCode]:[DeptName]],2,FALSE)</f>
        <v>Finance</v>
      </c>
      <c r="K22" s="4" t="str">
        <f>_xlfn.XLOOKUP(D22,Table4[DeptCode],Table4[Manager],"Not assigned",0)</f>
        <v>Arun Sharma</v>
      </c>
    </row>
    <row r="23" spans="1:16" x14ac:dyDescent="0.2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VLOOKUP(D23,Table4[[DeptCode]:[DeptName]],2,FALSE)</f>
        <v>Human Resources</v>
      </c>
      <c r="K23" s="4" t="str">
        <f>_xlfn.XLOOKUP(D23,Table4[DeptCode],Table4[Manager],"Not assigned",0)</f>
        <v>Vijay Rao</v>
      </c>
    </row>
    <row r="24" spans="1:16" ht="14.45" customHeight="1" x14ac:dyDescent="0.2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VLOOKUP(D24,Table4[[DeptCode]:[DeptName]],2,FALSE)</f>
        <v>Information Technology</v>
      </c>
      <c r="K24" s="4" t="str">
        <f>_xlfn.XLOOKUP(D24,Table4[DeptCode],Table4[Manager],"Not assigned",0)</f>
        <v>Meera Iyer</v>
      </c>
      <c r="L24" s="22" t="s">
        <v>114</v>
      </c>
      <c r="M24" s="22"/>
      <c r="N24" s="22"/>
    </row>
    <row r="25" spans="1:16" ht="33.6" customHeight="1" x14ac:dyDescent="0.2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VLOOKUP(D25,Table4[[DeptCode]:[DeptName]],2,FALSE)</f>
        <v>Sales</v>
      </c>
      <c r="K25" s="4" t="str">
        <f>_xlfn.XLOOKUP(D25,Table4[DeptCode],Table4[Manager],"Not assigned",0)</f>
        <v>Anita Verma</v>
      </c>
      <c r="L25" s="22"/>
      <c r="M25" s="22"/>
      <c r="N25" s="22"/>
    </row>
    <row r="26" spans="1:16" ht="14.45" customHeight="1" x14ac:dyDescent="0.2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VLOOKUP(D26,Table4[[DeptCode]:[DeptName]],2,FALSE)</f>
        <v>Finance</v>
      </c>
      <c r="K26" s="4" t="str">
        <f>_xlfn.XLOOKUP(D26,Table4[DeptCode],Table4[Manager],"Not assigned",0)</f>
        <v>Arun Sharma</v>
      </c>
      <c r="L26" s="17"/>
      <c r="M26" s="17"/>
      <c r="N26" s="17"/>
    </row>
    <row r="27" spans="1:16" x14ac:dyDescent="0.2"/>
    <row r="28" spans="1:16" x14ac:dyDescent="0.2"/>
    <row r="29" spans="1:16" x14ac:dyDescent="0.2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16" x14ac:dyDescent="0.2">
      <c r="F30" s="8"/>
      <c r="G30" s="4"/>
      <c r="L30" s="4">
        <v>0</v>
      </c>
      <c r="M30" s="4" t="s">
        <v>96</v>
      </c>
      <c r="N30">
        <f>HLOOKUP(Table1[[#This Row],[Grade]],Table2[[#All],[A]:[D]],2,FALSE)</f>
        <v>0.02</v>
      </c>
    </row>
    <row r="31" spans="1:16" x14ac:dyDescent="0.2">
      <c r="F31" s="8"/>
      <c r="G31" s="4"/>
      <c r="L31" s="4">
        <v>75</v>
      </c>
      <c r="M31" s="4" t="s">
        <v>95</v>
      </c>
      <c r="N31">
        <f>HLOOKUP(Table1[[#This Row],[Grade]],Table2[[#All],[A]:[D]],2,FALSE)</f>
        <v>0.05</v>
      </c>
    </row>
    <row r="32" spans="1:16" ht="23.25" x14ac:dyDescent="0.3">
      <c r="C32" s="21" t="s">
        <v>126</v>
      </c>
      <c r="D32" s="21"/>
      <c r="E32" s="21"/>
      <c r="F32" s="8"/>
      <c r="G32" s="4"/>
      <c r="L32" s="4">
        <v>85</v>
      </c>
      <c r="M32" s="4" t="s">
        <v>94</v>
      </c>
      <c r="N32">
        <f>HLOOKUP(Table1[[#This Row],[Grade]],Table2[[#All],[A]:[D]],2,FALSE)</f>
        <v>0.08</v>
      </c>
    </row>
    <row r="33" spans="3:20" x14ac:dyDescent="0.2">
      <c r="F33" s="8"/>
      <c r="G33" s="4"/>
      <c r="L33" s="4">
        <v>92</v>
      </c>
      <c r="M33" s="4" t="s">
        <v>93</v>
      </c>
      <c r="N33">
        <f>HLOOKUP(Table1[[#This Row],[Grade]],Table2[[#All],[A]:[D]],2,FALSE)</f>
        <v>0.12</v>
      </c>
    </row>
    <row r="34" spans="3:20" x14ac:dyDescent="0.2">
      <c r="C34" s="6" t="s">
        <v>127</v>
      </c>
      <c r="D34" s="2"/>
      <c r="E34" s="2">
        <f ca="1">TODAY()</f>
        <v>45972</v>
      </c>
      <c r="F34" s="8"/>
      <c r="G34" s="4"/>
    </row>
    <row r="35" spans="3:20" x14ac:dyDescent="0.2">
      <c r="C35" s="6"/>
      <c r="D35"/>
      <c r="E35" s="19">
        <f ca="1">NOW()</f>
        <v>45972.73597361111</v>
      </c>
      <c r="F35" s="8"/>
      <c r="G35" s="4"/>
    </row>
    <row r="36" spans="3:20" x14ac:dyDescent="0.2">
      <c r="C36" s="6" t="s">
        <v>128</v>
      </c>
      <c r="D36" s="3"/>
      <c r="E36"/>
    </row>
    <row r="37" spans="3:20" ht="162" customHeight="1" x14ac:dyDescent="0.2">
      <c r="C37" s="6" t="s">
        <v>129</v>
      </c>
      <c r="D37"/>
      <c r="E37">
        <f ca="1">YEAR(E34)</f>
        <v>2025</v>
      </c>
      <c r="L37" s="23" t="s">
        <v>130</v>
      </c>
      <c r="M37" s="24"/>
      <c r="N37" s="24"/>
      <c r="O37" s="12" t="s">
        <v>131</v>
      </c>
    </row>
    <row r="38" spans="3:20" ht="15" customHeight="1" x14ac:dyDescent="0.2">
      <c r="C38" s="6" t="s">
        <v>132</v>
      </c>
      <c r="D38"/>
      <c r="E38">
        <f ca="1">MONTH(E34)</f>
        <v>11</v>
      </c>
      <c r="L38" s="17"/>
      <c r="M38" s="17"/>
      <c r="N38" s="17"/>
      <c r="O38" s="5"/>
    </row>
    <row r="39" spans="3:20" ht="15" customHeight="1" x14ac:dyDescent="0.2">
      <c r="C39" s="6" t="s">
        <v>133</v>
      </c>
      <c r="D39"/>
      <c r="E39">
        <f ca="1">DAY(E34)</f>
        <v>11</v>
      </c>
      <c r="O39" s="5"/>
    </row>
    <row r="40" spans="3:20" ht="15" customHeight="1" x14ac:dyDescent="0.2">
      <c r="C40" s="6" t="s">
        <v>134</v>
      </c>
      <c r="D40"/>
      <c r="E40" s="4">
        <f ca="1">WEEKDAY(E34)</f>
        <v>3</v>
      </c>
      <c r="F40" s="25" t="s">
        <v>135</v>
      </c>
      <c r="G40" s="25"/>
      <c r="O40" s="5"/>
      <c r="T40" s="5"/>
    </row>
    <row r="41" spans="3:20" ht="15" customHeight="1" x14ac:dyDescent="0.2">
      <c r="C41" s="6" t="s">
        <v>136</v>
      </c>
      <c r="D41" s="5"/>
      <c r="E41" t="str">
        <f ca="1">CHOOSE(WEEKDAY(E34),"mon","tue","wed","thur","fri","sat","sun")</f>
        <v>wed</v>
      </c>
      <c r="L41" s="7" t="s">
        <v>18</v>
      </c>
      <c r="M41" s="1" t="s">
        <v>137</v>
      </c>
      <c r="N41" s="1" t="s">
        <v>138</v>
      </c>
      <c r="Q41" s="5"/>
    </row>
    <row r="42" spans="3:20" ht="15" customHeight="1" x14ac:dyDescent="0.2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</row>
    <row r="43" spans="3:20" ht="15" customHeight="1" x14ac:dyDescent="0.2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</row>
    <row r="44" spans="3:20" ht="15" customHeight="1" x14ac:dyDescent="0.2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</row>
    <row r="45" spans="3:20" ht="15" customHeight="1" x14ac:dyDescent="0.2">
      <c r="C45"/>
      <c r="D45"/>
      <c r="E45"/>
      <c r="L45" s="8" t="s">
        <v>50</v>
      </c>
      <c r="M45" s="4" t="s">
        <v>145</v>
      </c>
      <c r="N45" s="4">
        <v>2000</v>
      </c>
    </row>
    <row r="46" spans="3:20" ht="15" customHeight="1" x14ac:dyDescent="0.2">
      <c r="L46" s="8" t="s">
        <v>55</v>
      </c>
      <c r="M46" s="4" t="s">
        <v>146</v>
      </c>
      <c r="N46" s="4">
        <v>1100</v>
      </c>
    </row>
    <row r="47" spans="3:20" ht="25.15" customHeight="1" x14ac:dyDescent="0.2">
      <c r="L47" s="8" t="s">
        <v>60</v>
      </c>
      <c r="M47" s="4" t="s">
        <v>147</v>
      </c>
      <c r="N47" s="4">
        <v>800</v>
      </c>
    </row>
    <row r="48" spans="3:20" ht="40.9" customHeight="1" x14ac:dyDescent="0.2"/>
    <row r="49" spans="3:16" ht="15" customHeight="1" x14ac:dyDescent="0.2">
      <c r="M49" s="6" t="s">
        <v>148</v>
      </c>
      <c r="N49">
        <f>MATCH("P100",Table3[SKU],0)</f>
        <v>1</v>
      </c>
    </row>
    <row r="50" spans="3:16" ht="39.75" customHeight="1" x14ac:dyDescent="0.2">
      <c r="L50" s="13"/>
      <c r="M50" s="16" t="s">
        <v>149</v>
      </c>
      <c r="N50" s="13">
        <f>INDEX(Table3[[SKU]:[UnitPrice]],4,3)</f>
        <v>2000</v>
      </c>
      <c r="O50" s="13"/>
    </row>
    <row r="51" spans="3:16" ht="15" customHeight="1" x14ac:dyDescent="0.2">
      <c r="L51" s="14"/>
      <c r="M51" s="18" t="s">
        <v>150</v>
      </c>
      <c r="N51" s="15" t="str" cm="1">
        <f t="array" ref="N51:P51">INDEX(Table3[[SKU]:[UnitPrice]],MATCH("P103",Table3[SKU],0),0)</f>
        <v>P103</v>
      </c>
      <c r="O51" s="15" t="str">
        <v>Financial Suite</v>
      </c>
      <c r="P51">
        <v>2000</v>
      </c>
    </row>
    <row r="52" spans="3:16" ht="15" customHeight="1" x14ac:dyDescent="0.2">
      <c r="M52" s="18"/>
    </row>
    <row r="55" spans="3:16" ht="232.15" customHeight="1" x14ac:dyDescent="0.2">
      <c r="M55" s="5" t="s">
        <v>151</v>
      </c>
    </row>
    <row r="62" spans="3:16" ht="15" customHeight="1" x14ac:dyDescent="0.2">
      <c r="C62"/>
      <c r="D62"/>
      <c r="E62"/>
    </row>
    <row r="63" spans="3:16" ht="15" customHeight="1" x14ac:dyDescent="0.2">
      <c r="C63"/>
      <c r="D63"/>
      <c r="E63"/>
    </row>
    <row r="64" spans="3:16" ht="15" customHeight="1" x14ac:dyDescent="0.2">
      <c r="C64"/>
      <c r="D64"/>
      <c r="E64"/>
    </row>
  </sheetData>
  <mergeCells count="4">
    <mergeCell ref="C32:E32"/>
    <mergeCell ref="L24:N25"/>
    <mergeCell ref="L37:N37"/>
    <mergeCell ref="F40:G40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Geetha G</cp:lastModifiedBy>
  <cp:revision/>
  <dcterms:created xsi:type="dcterms:W3CDTF">2025-08-23T10:14:07Z</dcterms:created>
  <dcterms:modified xsi:type="dcterms:W3CDTF">2025-09-27T10:40:11Z</dcterms:modified>
  <cp:category/>
  <cp:contentStatus/>
</cp:coreProperties>
</file>