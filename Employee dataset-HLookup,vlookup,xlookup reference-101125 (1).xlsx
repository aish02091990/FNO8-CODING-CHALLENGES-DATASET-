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cZk+YyTNa2UAV7YhetskZ4KR9C1DDT8r7XUChEwhNrs="/>
    </ext>
  </extLst>
</workbook>
</file>

<file path=xl/sharedStrings.xml><?xml version="1.0" encoding="utf-8"?>
<sst xmlns="http://schemas.openxmlformats.org/spreadsheetml/2006/main" count="212" uniqueCount="163">
  <si>
    <r>
      <rPr>
        <rFont val="Calibri"/>
        <b/>
        <color rgb="FF000000"/>
        <sz val="12.0"/>
      </rPr>
      <t xml:space="preserve">VLOOKUP (Vertical Lookup)
</t>
    </r>
    <r>
      <rPr>
        <rFont val="Calibri"/>
        <b/>
        <color rgb="FF31869B"/>
        <sz val="12.0"/>
      </rPr>
      <t xml:space="preserve">
Use case: Look up DeptCode in the main table and return DeptName from the Dept lookup table.
=VLOOKUP(D9,Table4[[DeptCode]:[DeptName]],2,FALSE)</t>
    </r>
  </si>
  <si>
    <r>
      <rPr>
        <rFont val="Calibri"/>
        <b/>
        <color rgb="FF000000"/>
        <sz val="12.0"/>
      </rPr>
      <t xml:space="preserve">XLOOKUP (Vertical Lookup)
</t>
    </r>
    <r>
      <rPr>
        <rFont val="Calibri"/>
        <b/>
        <color rgb="FF31869B"/>
        <sz val="12.0"/>
      </rPr>
      <t>Use case: Look up DeptCode in the main table and return DeptManager from the Dept lookup table.
=XLOOKUP(D8,Table4[DeptCode],Table4[Manager],"Not assigned",0)</t>
    </r>
  </si>
  <si>
    <t>DeptCode</t>
  </si>
  <si>
    <t>DeptName</t>
  </si>
  <si>
    <t>Manager</t>
  </si>
  <si>
    <t>CostCenter</t>
  </si>
  <si>
    <t>SLS</t>
  </si>
  <si>
    <t>Sales</t>
  </si>
  <si>
    <t>Anita Verma</t>
  </si>
  <si>
    <t>6001</t>
  </si>
  <si>
    <t>VLOOKUP(D9,TABLE4[[SLS]:[SALES]],2,FALSE)</t>
  </si>
  <si>
    <t>XLOOKUP(D8,TABLE4[[SLS],Table4[Manager],"Not assigned",0)</t>
  </si>
  <si>
    <t>HR</t>
  </si>
  <si>
    <t>Human Resources</t>
  </si>
  <si>
    <t>Vijay Rao</t>
  </si>
  <si>
    <t>6002</t>
  </si>
  <si>
    <t>IT</t>
  </si>
  <si>
    <t>Information Technology</t>
  </si>
  <si>
    <t>Meera Iyer</t>
  </si>
  <si>
    <t>6003</t>
  </si>
  <si>
    <t>EmployeeID</t>
  </si>
  <si>
    <t>SKU</t>
  </si>
  <si>
    <t>Name</t>
  </si>
  <si>
    <t>JoinDate</t>
  </si>
  <si>
    <t>BirthDate</t>
  </si>
  <si>
    <t>LastLogin</t>
  </si>
  <si>
    <t>BaseSalary</t>
  </si>
  <si>
    <t>PerformanceScore</t>
  </si>
  <si>
    <t>Dept name</t>
  </si>
  <si>
    <t>FIN</t>
  </si>
  <si>
    <t>Finance</t>
  </si>
  <si>
    <t>Arun Sharma</t>
  </si>
  <si>
    <t>6004</t>
  </si>
  <si>
    <t>E101</t>
  </si>
  <si>
    <t>P100</t>
  </si>
  <si>
    <t>John Smith</t>
  </si>
  <si>
    <t>2019-05-10</t>
  </si>
  <si>
    <t>1991-04-15</t>
  </si>
  <si>
    <t>E102</t>
  </si>
  <si>
    <t>P101</t>
  </si>
  <si>
    <t>Anna Lee</t>
  </si>
  <si>
    <t>2018-03-14</t>
  </si>
  <si>
    <t>1988-10-22</t>
  </si>
  <si>
    <t>E103</t>
  </si>
  <si>
    <t>P102</t>
  </si>
  <si>
    <t>Raj Kumar</t>
  </si>
  <si>
    <t>2020-07-21</t>
  </si>
  <si>
    <t>1994-02-11</t>
  </si>
  <si>
    <t>E104</t>
  </si>
  <si>
    <t>Maria Jose</t>
  </si>
  <si>
    <t>2019-09-18</t>
  </si>
  <si>
    <t>1992-12-02</t>
  </si>
  <si>
    <t>E105</t>
  </si>
  <si>
    <t>P103</t>
  </si>
  <si>
    <t>Ahmed Ali</t>
  </si>
  <si>
    <t>2015-01-05</t>
  </si>
  <si>
    <t>1980-05-30</t>
  </si>
  <si>
    <t>E106</t>
  </si>
  <si>
    <t>P104</t>
  </si>
  <si>
    <t>Priya N</t>
  </si>
  <si>
    <t>2021-11-23</t>
  </si>
  <si>
    <t>1993-03-19</t>
  </si>
  <si>
    <t>E107</t>
  </si>
  <si>
    <t>P105</t>
  </si>
  <si>
    <t>James Wong</t>
  </si>
  <si>
    <t>2017-04-12</t>
  </si>
  <si>
    <t>1987-09-05</t>
  </si>
  <si>
    <t>E108</t>
  </si>
  <si>
    <t>Chen Wei</t>
  </si>
  <si>
    <t>2016-02-20</t>
  </si>
  <si>
    <t>1984-07-17</t>
  </si>
  <si>
    <t>E109</t>
  </si>
  <si>
    <t>Neha Singh</t>
  </si>
  <si>
    <t>2018-08-30</t>
  </si>
  <si>
    <t>1991-01-27</t>
  </si>
  <si>
    <t>E110</t>
  </si>
  <si>
    <t>Peter Pan</t>
  </si>
  <si>
    <t>2019-12-11</t>
  </si>
  <si>
    <t>1989-06-14</t>
  </si>
  <si>
    <t>E111</t>
  </si>
  <si>
    <t>Luis M</t>
  </si>
  <si>
    <t>2020-10-15</t>
  </si>
  <si>
    <t>1992-08-01</t>
  </si>
  <si>
    <t>E112</t>
  </si>
  <si>
    <t>Sara Khan</t>
  </si>
  <si>
    <t>2021-01-25</t>
  </si>
  <si>
    <t>1996-03-08</t>
  </si>
  <si>
    <t>E113</t>
  </si>
  <si>
    <t>David Lee</t>
  </si>
  <si>
    <t>2014-07-19</t>
  </si>
  <si>
    <t>1981-11-12</t>
  </si>
  <si>
    <t>E114</t>
  </si>
  <si>
    <t>Aisha Patel</t>
  </si>
  <si>
    <t>2022-03-08</t>
  </si>
  <si>
    <t>1995-09-29</t>
  </si>
  <si>
    <t>Column1</t>
  </si>
  <si>
    <t>A</t>
  </si>
  <si>
    <t>B</t>
  </si>
  <si>
    <t>C</t>
  </si>
  <si>
    <t>D</t>
  </si>
  <si>
    <t>E115</t>
  </si>
  <si>
    <t>John Deo</t>
  </si>
  <si>
    <t>2019-06-06</t>
  </si>
  <si>
    <t>1993-04-04</t>
  </si>
  <si>
    <t>BonusPct</t>
  </si>
  <si>
    <t>E116</t>
  </si>
  <si>
    <t>Sneha Roy</t>
  </si>
  <si>
    <t>2018-09-13</t>
  </si>
  <si>
    <t>1990-02-02</t>
  </si>
  <si>
    <t>E117</t>
  </si>
  <si>
    <t>Mark Smith</t>
  </si>
  <si>
    <t>2020-05-02</t>
  </si>
  <si>
    <t>1986-10-10</t>
  </si>
  <si>
    <t>E118</t>
  </si>
  <si>
    <t>Li Na</t>
  </si>
  <si>
    <t>2017-08-28</t>
  </si>
  <si>
    <t>1988-01-18</t>
  </si>
  <si>
    <r>
      <rPr>
        <rFont val="Calibri"/>
        <b/>
        <color rgb="FF000000"/>
        <sz val="18.0"/>
      </rPr>
      <t xml:space="preserve">HLOOKUP (Horizontal Lookup)
</t>
    </r>
    <r>
      <rPr>
        <rFont val="Calibri"/>
        <b/>
        <color rgb="FF31869B"/>
        <sz val="12.0"/>
      </rPr>
      <t>Use case: Fetch Bonus % based on Grade (A, B, C, D) using the Bonus table at the bottom.
=HLOOKUP([@Grade],Table2[[#All],[A]:[D]],2)</t>
    </r>
  </si>
  <si>
    <t>E119</t>
  </si>
  <si>
    <t>Tom Cruise</t>
  </si>
  <si>
    <t>2016-11-22</t>
  </si>
  <si>
    <t>1985-07-07</t>
  </si>
  <si>
    <t>E120</t>
  </si>
  <si>
    <t>Riya Mehta</t>
  </si>
  <si>
    <t>2015-12-10</t>
  </si>
  <si>
    <t>1987-02-25</t>
  </si>
  <si>
    <t>MinScore</t>
  </si>
  <si>
    <t>Grade</t>
  </si>
  <si>
    <t>Grade percentage</t>
  </si>
  <si>
    <t>Date and Time functions</t>
  </si>
  <si>
    <t>Today=</t>
  </si>
  <si>
    <t>today()</t>
  </si>
  <si>
    <t>Now=</t>
  </si>
  <si>
    <t>now()</t>
  </si>
  <si>
    <t>year=</t>
  </si>
  <si>
    <t>year(e24)</t>
  </si>
  <si>
    <r>
      <rPr>
        <rFont val="Calibri"/>
        <b/>
        <color rgb="FFC0504D"/>
        <sz val="11.0"/>
      </rPr>
      <t xml:space="preserve">INDEX + MATCH :
Returns the value sitting at the intersection of that row and column
Syntax:=INDEX(array, row_num, [column_num])
-  array =&gt; the table or range.
-row_num = which row inside the array
-column_num =&gt; which column inside the array
</t>
    </r>
    <r>
      <rPr>
        <rFont val="Calibri"/>
        <b/>
        <color rgb="FF000000"/>
        <sz val="11.0"/>
      </rPr>
      <t xml:space="preserve">Look up UnitPrice from SKU using Product lookup :
</t>
    </r>
    <r>
      <rPr>
        <rFont val="Calibri"/>
        <b/>
        <color rgb="FFC0504D"/>
        <sz val="11.0"/>
      </rPr>
      <t xml:space="preserve">
</t>
    </r>
  </si>
  <si>
    <r>
      <rPr>
        <rFont val="Calibri"/>
        <b/>
        <color rgb="FFC0504D"/>
        <sz val="11.0"/>
      </rPr>
      <t xml:space="preserve">MATCH
</t>
    </r>
    <r>
      <rPr>
        <rFont val="Calibri"/>
        <color rgb="FF000000"/>
        <sz val="11.0"/>
      </rPr>
      <t>=MATCH(lookup_value, lookup_array, [match_type])
Finds the position of a value in a column or row.</t>
    </r>
  </si>
  <si>
    <t>Month</t>
  </si>
  <si>
    <t>day</t>
  </si>
  <si>
    <t>weekday in number</t>
  </si>
  <si>
    <t>weekday(E18)</t>
  </si>
  <si>
    <t>1-mon,2-tue,3-wed,4-thur,5-fri,6-sat,7-sun</t>
  </si>
  <si>
    <t>display weekday name using choose()</t>
  </si>
  <si>
    <t>CHOOSE(WEEKDAY(E34),"monday""tue","wednesday","thursday","friday")</t>
  </si>
  <si>
    <t>thursday</t>
  </si>
  <si>
    <t>ProductName</t>
  </si>
  <si>
    <t>UnitPrice</t>
  </si>
  <si>
    <t>tenure in years</t>
  </si>
  <si>
    <t>CRM License</t>
  </si>
  <si>
    <t>Tenure months remainder</t>
  </si>
  <si>
    <t>DATEDIF(E8,TODAY(),"yM")</t>
  </si>
  <si>
    <t>HRMS License</t>
  </si>
  <si>
    <t>Age in years</t>
  </si>
  <si>
    <t>DATEDIF(F2,TODAY(),"Y")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</si>
  <si>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</si>
  <si>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</si>
  <si>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</si>
  <si>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</si>
  <si>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</si>
  <si>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
Formula (get 4th row, 3rd column = UnitPrice):</t>
  </si>
  <si>
    <t>INDEX + MATCH – combine both (dynamic lookup)
Get UnitPrice for a SKU (example: "P103"):</t>
  </si>
  <si>
    <t>Teaching Tip (Step by Step for Students)
Start with MATCH() alone → show that it only gives a row number.
Then try INDEX() alone → show how it fetches value by row+col.
Finally combine → INDEX + MATCH = "Find row automatically, then fetch value".
Compare with VLOOKUP → show that INDEX+MATCH can search left or right and doesn’t break if you rearrange columns.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</si>
</sst>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m/d/yyyy h:mm:ss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rgb="FF188038"/>
      <name val="Inconsolata"/>
    </font>
    <font>
      <sz val="8.0"/>
      <color rgb="FF222222"/>
      <name val="Roboto"/>
    </font>
    <font>
      <b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Calibri"/>
    </font>
    <font>
      <sz val="18.0"/>
      <color theme="5"/>
      <name val="Calibri"/>
    </font>
    <font>
      <b/>
      <sz val="11.0"/>
      <color theme="5"/>
      <name val="Calibri"/>
    </font>
    <font>
      <sz val="9.0"/>
      <color rgb="FF000000"/>
      <name val="&quot;Google Sans Mono&quot;"/>
    </font>
    <font>
      <color rgb="FF000000"/>
      <name val="Roboto"/>
    </font>
    <font>
      <sz val="9.0"/>
      <color theme="1"/>
      <name val="Calibri"/>
    </font>
    <font>
      <b/>
      <sz val="9.0"/>
      <color theme="1"/>
      <name val="Calibri"/>
    </font>
    <font>
      <b/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AF8"/>
        <bgColor rgb="FFF8FAF8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readingOrder="0"/>
    </xf>
    <xf borderId="2" fillId="2" fontId="3" numFmtId="0" xfId="0" applyAlignment="1" applyBorder="1" applyFill="1" applyFont="1">
      <alignment horizontal="center" vertical="top"/>
    </xf>
    <xf borderId="2" fillId="2" fontId="3" numFmtId="14" xfId="0" applyAlignment="1" applyBorder="1" applyFont="1" applyNumberFormat="1">
      <alignment horizontal="center" vertical="top"/>
    </xf>
    <xf borderId="3" fillId="2" fontId="3" numFmtId="0" xfId="0" applyAlignment="1" applyBorder="1" applyFont="1">
      <alignment horizontal="center" vertical="top"/>
    </xf>
    <xf borderId="0" fillId="2" fontId="1" numFmtId="0" xfId="0" applyAlignment="1" applyFont="1">
      <alignment horizontal="center"/>
    </xf>
    <xf borderId="0" fillId="2" fontId="7" numFmtId="0" xfId="0" applyFont="1"/>
    <xf borderId="0" fillId="0" fontId="1" numFmtId="14" xfId="0" applyAlignment="1" applyFont="1" applyNumberFormat="1">
      <alignment horizontal="center"/>
    </xf>
    <xf borderId="0" fillId="0" fontId="7" numFmtId="0" xfId="0" applyFont="1"/>
    <xf borderId="0" fillId="0" fontId="1" numFmtId="0" xfId="0" applyAlignment="1" applyFont="1">
      <alignment horizontal="center" shrinkToFit="0" wrapText="1"/>
    </xf>
    <xf borderId="0" fillId="0" fontId="1" numFmtId="164" xfId="0" applyFont="1" applyNumberFormat="1"/>
    <xf borderId="0" fillId="0" fontId="8" numFmtId="0" xfId="0" applyAlignment="1" applyFont="1">
      <alignment horizontal="center" shrinkToFit="0" vertical="center" wrapText="1"/>
    </xf>
    <xf borderId="2" fillId="0" fontId="3" numFmtId="14" xfId="0" applyAlignment="1" applyBorder="1" applyFont="1" applyNumberFormat="1">
      <alignment horizontal="center" vertical="top"/>
    </xf>
    <xf borderId="2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center" vertical="top"/>
    </xf>
    <xf borderId="0" fillId="0" fontId="9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22" xfId="0" applyFont="1" applyNumberFormat="1"/>
    <xf borderId="0" fillId="0" fontId="7" numFmtId="165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0" fontId="10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7" numFmtId="14" xfId="0" applyFont="1" applyNumberFormat="1"/>
    <xf borderId="0" fillId="3" fontId="11" numFmtId="0" xfId="0" applyAlignment="1" applyFill="1" applyFont="1">
      <alignment readingOrder="0" shrinkToFit="0" wrapText="1"/>
    </xf>
    <xf borderId="2" fillId="0" fontId="3" numFmtId="14" xfId="0" applyAlignment="1" applyBorder="1" applyFont="1" applyNumberFormat="1">
      <alignment horizontal="center" vertical="top"/>
    </xf>
    <xf borderId="0" fillId="3" fontId="11" numFmtId="0" xfId="0" applyAlignment="1" applyFont="1">
      <alignment shrinkToFit="0" wrapText="1"/>
    </xf>
    <xf borderId="0" fillId="4" fontId="12" numFmtId="0" xfId="0" applyAlignment="1" applyFill="1" applyFont="1">
      <alignment readingOrder="0" shrinkToFit="0" vertical="top" wrapText="0"/>
    </xf>
    <xf borderId="0" fillId="0" fontId="13" numFmtId="0" xfId="0" applyFont="1"/>
    <xf borderId="0" fillId="0" fontId="14" numFmtId="0" xfId="0" applyAlignment="1" applyFont="1">
      <alignment shrinkToFit="0" wrapText="1"/>
    </xf>
    <xf borderId="0" fillId="0" fontId="13" numFmtId="0" xfId="0" applyAlignment="1" applyFont="1">
      <alignment horizontal="center" shrinkToFit="0" wrapText="1"/>
    </xf>
    <xf borderId="0" fillId="0" fontId="15" numFmtId="0" xfId="0" applyAlignment="1" applyFont="1">
      <alignment shrinkToFit="0" wrapText="1"/>
    </xf>
    <xf borderId="0" fillId="0" fontId="13" numFmtId="14" xfId="0" applyAlignment="1" applyFont="1" applyNumberFormat="1">
      <alignment horizont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</dxfs>
  <tableStyles count="5">
    <tableStyle count="3" pivot="0" name="Data-style">
      <tableStyleElement dxfId="1" type="headerRow"/>
      <tableStyleElement dxfId="2" type="firstRowStripe"/>
      <tableStyleElement dxfId="2" type="secondRowStripe"/>
    </tableStyle>
    <tableStyle count="3" pivot="0" name="Data-style 2">
      <tableStyleElement dxfId="3" type="headerRow"/>
      <tableStyleElement dxfId="2" type="firstRowStripe"/>
      <tableStyleElement dxfId="2" type="secondRowStripe"/>
    </tableStyle>
    <tableStyle count="3" pivot="0" name="Data-style 3">
      <tableStyleElement dxfId="4" type="headerRow"/>
      <tableStyleElement dxfId="5" type="firstRowStripe"/>
      <tableStyleElement dxfId="2" type="secondRowStripe"/>
    </tableStyle>
    <tableStyle count="3" pivot="0" name="Data-style 4">
      <tableStyleElement dxfId="4" type="headerRow"/>
      <tableStyleElement dxfId="6" type="firstRowStripe"/>
      <tableStyleElement dxfId="5" type="secondRowStripe"/>
    </tableStyle>
    <tableStyle count="3" pivot="0" name="Data-style 5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L2:O6" displayName="Table_1" name="Table_1" id="1">
  <tableColumns count="4">
    <tableColumn name="DeptCode" id="1"/>
    <tableColumn name="DeptName" id="2"/>
    <tableColumn name="Manager" id="3"/>
    <tableColumn name="CostCenter" id="4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E6:K26" displayName="Table_2" name="Table_2" id="2">
  <tableColumns count="7">
    <tableColumn name="JoinDate" id="1"/>
    <tableColumn name="BirthDate" id="2"/>
    <tableColumn name="LastLogin" id="3"/>
    <tableColumn name="BaseSalary" id="4"/>
    <tableColumn name="PerformanceScore" id="5"/>
    <tableColumn name="Dept name" id="6"/>
    <tableColumn name="Manager" id="7"/>
  </tableColumns>
  <tableStyleInfo name="Data-style 2" showColumnStripes="0" showFirstColumn="1" showLastColumn="1" showRowStripes="1"/>
</table>
</file>

<file path=xl/tables/table3.xml><?xml version="1.0" encoding="utf-8"?>
<table xmlns="http://schemas.openxmlformats.org/spreadsheetml/2006/main" ref="L20:P21" displayName="Table_3" name="Table_3" id="3">
  <tableColumns count="5">
    <tableColumn name="Column1" id="1"/>
    <tableColumn name="A" id="2"/>
    <tableColumn name="B" id="3"/>
    <tableColumn name="C" id="4"/>
    <tableColumn name="D" id="5"/>
  </tableColumns>
  <tableStyleInfo name="Data-style 3" showColumnStripes="0" showFirstColumn="1" showLastColumn="1" showRowStripes="1"/>
</table>
</file>

<file path=xl/tables/table4.xml><?xml version="1.0" encoding="utf-8"?>
<table xmlns="http://schemas.openxmlformats.org/spreadsheetml/2006/main" ref="L29:N33" displayName="Table_4" name="Table_4" id="4">
  <tableColumns count="3">
    <tableColumn name="MinScore" id="1"/>
    <tableColumn name="Grade" id="2"/>
    <tableColumn name="Grade percentage" id="3"/>
  </tableColumns>
  <tableStyleInfo name="Data-style 4" showColumnStripes="0" showFirstColumn="1" showLastColumn="1" showRowStripes="1"/>
</table>
</file>

<file path=xl/tables/table5.xml><?xml version="1.0" encoding="utf-8"?>
<table xmlns="http://schemas.openxmlformats.org/spreadsheetml/2006/main" ref="L41:N47" displayName="Table_5" name="Table_5" id="5">
  <tableColumns count="3">
    <tableColumn name="SKU" id="1"/>
    <tableColumn name="ProductName" id="2"/>
    <tableColumn name="UnitPrice" id="3"/>
  </tableColumns>
  <tableStyleInfo name="Data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57"/>
    <col customWidth="1" min="3" max="3" width="40.43"/>
    <col customWidth="1" min="4" max="4" width="113.29"/>
    <col customWidth="1" min="5" max="5" width="21.57"/>
    <col customWidth="1" min="6" max="6" width="19.57"/>
    <col customWidth="1" min="7" max="7" width="21.71"/>
    <col customWidth="1" min="8" max="8" width="23.57"/>
    <col customWidth="1" min="9" max="9" width="49.86"/>
    <col customWidth="1" min="10" max="10" width="55.43"/>
    <col customWidth="1" min="11" max="11" width="57.14"/>
    <col customWidth="1" min="12" max="12" width="36.57"/>
    <col customWidth="1" min="13" max="13" width="51.43"/>
    <col customWidth="1" min="14" max="14" width="21.71"/>
    <col customWidth="1" min="15" max="15" width="42.0"/>
    <col customWidth="1" min="16" max="16" width="8.71"/>
    <col customWidth="1" min="17" max="17" width="14.71"/>
    <col customWidth="1" min="18" max="19" width="8.71"/>
    <col customWidth="1" min="20" max="20" width="36.57"/>
    <col customWidth="1" min="21" max="26" width="8.71"/>
  </cols>
  <sheetData>
    <row r="1">
      <c r="A1" s="1"/>
      <c r="B1" s="1"/>
      <c r="C1" s="1"/>
      <c r="D1" s="1"/>
      <c r="E1" s="1"/>
      <c r="F1" s="1"/>
      <c r="G1" s="2"/>
      <c r="H1" s="1"/>
      <c r="I1" s="1"/>
    </row>
    <row r="2" ht="80.25" customHeight="1">
      <c r="A2" s="1"/>
      <c r="B2" s="1"/>
      <c r="C2" s="1"/>
      <c r="D2" s="1"/>
      <c r="E2" s="1"/>
      <c r="F2" s="1"/>
      <c r="G2" s="2"/>
      <c r="H2" s="1"/>
      <c r="I2" s="3"/>
      <c r="J2" s="4" t="s">
        <v>0</v>
      </c>
      <c r="K2" s="4" t="s">
        <v>1</v>
      </c>
      <c r="L2" s="5" t="s">
        <v>2</v>
      </c>
      <c r="M2" s="5" t="s">
        <v>3</v>
      </c>
      <c r="N2" s="5" t="s">
        <v>4</v>
      </c>
      <c r="O2" s="5" t="s">
        <v>5</v>
      </c>
    </row>
    <row r="3" ht="15.0" customHeight="1">
      <c r="A3" s="1"/>
      <c r="B3" s="1"/>
      <c r="C3" s="1"/>
      <c r="D3" s="1"/>
      <c r="E3" s="1"/>
      <c r="F3" s="1"/>
      <c r="G3" s="2"/>
      <c r="H3" s="1"/>
      <c r="I3" s="6"/>
      <c r="J3" s="1"/>
      <c r="L3" s="7" t="s">
        <v>6</v>
      </c>
      <c r="M3" s="7" t="s">
        <v>7</v>
      </c>
      <c r="N3" s="7" t="s">
        <v>8</v>
      </c>
      <c r="O3" s="7" t="s">
        <v>9</v>
      </c>
    </row>
    <row r="4" ht="15.0" customHeight="1">
      <c r="A4" s="1"/>
      <c r="B4" s="1"/>
      <c r="C4" s="1"/>
      <c r="D4" s="1"/>
      <c r="E4" s="1"/>
      <c r="F4" s="1"/>
      <c r="G4" s="2"/>
      <c r="H4" s="1"/>
      <c r="I4" s="8"/>
      <c r="J4" s="9" t="s">
        <v>10</v>
      </c>
      <c r="K4" s="9" t="s">
        <v>11</v>
      </c>
      <c r="L4" s="7" t="s">
        <v>12</v>
      </c>
      <c r="M4" s="7" t="s">
        <v>13</v>
      </c>
      <c r="N4" s="7" t="s">
        <v>14</v>
      </c>
      <c r="O4" s="7" t="s">
        <v>15</v>
      </c>
    </row>
    <row r="5" ht="15.0" customHeight="1">
      <c r="A5" s="1"/>
      <c r="B5" s="1"/>
      <c r="C5" s="1"/>
      <c r="D5" s="1"/>
      <c r="E5" s="1"/>
      <c r="F5" s="1"/>
      <c r="G5" s="2"/>
      <c r="H5" s="1"/>
      <c r="I5" s="1"/>
      <c r="L5" s="7" t="s">
        <v>16</v>
      </c>
      <c r="M5" s="7" t="s">
        <v>17</v>
      </c>
      <c r="N5" s="7" t="s">
        <v>18</v>
      </c>
      <c r="O5" s="7" t="s">
        <v>19</v>
      </c>
    </row>
    <row r="6" ht="14.25" customHeight="1">
      <c r="A6" s="10" t="s">
        <v>20</v>
      </c>
      <c r="B6" s="10" t="s">
        <v>21</v>
      </c>
      <c r="C6" s="10" t="s">
        <v>22</v>
      </c>
      <c r="D6" s="10" t="s">
        <v>2</v>
      </c>
      <c r="E6" s="10" t="s">
        <v>23</v>
      </c>
      <c r="F6" s="10" t="s">
        <v>24</v>
      </c>
      <c r="G6" s="11" t="s">
        <v>25</v>
      </c>
      <c r="H6" s="10" t="s">
        <v>26</v>
      </c>
      <c r="I6" s="10" t="s">
        <v>27</v>
      </c>
      <c r="J6" s="12" t="s">
        <v>28</v>
      </c>
      <c r="K6" s="12" t="s">
        <v>4</v>
      </c>
      <c r="L6" s="13" t="s">
        <v>29</v>
      </c>
      <c r="M6" s="13" t="s">
        <v>30</v>
      </c>
      <c r="N6" s="13" t="s">
        <v>31</v>
      </c>
      <c r="O6" s="13" t="s">
        <v>32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" t="s">
        <v>33</v>
      </c>
      <c r="B7" s="1" t="s">
        <v>34</v>
      </c>
      <c r="C7" s="1" t="s">
        <v>35</v>
      </c>
      <c r="D7" s="1" t="s">
        <v>6</v>
      </c>
      <c r="E7" s="7" t="s">
        <v>36</v>
      </c>
      <c r="F7" s="7" t="s">
        <v>37</v>
      </c>
      <c r="G7" s="15">
        <v>45890.395833333336</v>
      </c>
      <c r="H7" s="7">
        <v>52000.0</v>
      </c>
      <c r="I7" s="7">
        <v>85.0</v>
      </c>
      <c r="J7" s="16" t="str">
        <f>VLOOKUP(D7,Data!$L$3:$M$6,2,FALSE)</f>
        <v>Sales</v>
      </c>
      <c r="K7" s="7" t="str">
        <f t="array" ref="K7">XLOOKUP(D7,Data!$L$3:$L$6,Data!$N$3:$N$6,"Not assigned",0)</f>
        <v>Anita Verma</v>
      </c>
      <c r="L7" s="17"/>
      <c r="M7" s="17"/>
    </row>
    <row r="8">
      <c r="A8" s="1" t="s">
        <v>38</v>
      </c>
      <c r="B8" s="1" t="s">
        <v>39</v>
      </c>
      <c r="C8" s="1" t="s">
        <v>40</v>
      </c>
      <c r="D8" s="1" t="s">
        <v>12</v>
      </c>
      <c r="E8" s="7" t="s">
        <v>41</v>
      </c>
      <c r="F8" s="7" t="s">
        <v>42</v>
      </c>
      <c r="G8" s="15">
        <v>45891.0</v>
      </c>
      <c r="H8" s="7">
        <v>48000.0</v>
      </c>
      <c r="I8" s="7">
        <v>90.0</v>
      </c>
      <c r="J8" s="16" t="str">
        <f>VLOOKUP(D8,Data!$L$3:$M$6,2,FALSE)</f>
        <v>Human Resources</v>
      </c>
      <c r="K8" s="7" t="str">
        <f t="array" ref="K8">XLOOKUP(D8,Data!$L$3:$L$6,Data!$N$3:$N$6,"Not assigned",0)</f>
        <v>Vijay Rao</v>
      </c>
    </row>
    <row r="9">
      <c r="A9" s="1" t="s">
        <v>43</v>
      </c>
      <c r="B9" s="1" t="s">
        <v>44</v>
      </c>
      <c r="C9" s="1" t="s">
        <v>45</v>
      </c>
      <c r="D9" s="1" t="s">
        <v>16</v>
      </c>
      <c r="E9" s="7" t="s">
        <v>46</v>
      </c>
      <c r="F9" s="7" t="s">
        <v>47</v>
      </c>
      <c r="G9" s="15">
        <v>45892.0</v>
      </c>
      <c r="H9" s="7">
        <v>60000.0</v>
      </c>
      <c r="I9" s="7">
        <v>78.0</v>
      </c>
      <c r="J9" s="16" t="str">
        <f>VLOOKUP(D9,Data!$L$3:$M$6,2,FALSE)</f>
        <v>Information Technology</v>
      </c>
      <c r="K9" s="7" t="str">
        <f t="array" ref="K9">XLOOKUP(D9,Data!$L$3:$L$6,Data!$N$3:$N$6,"Not assigned",0)</f>
        <v>Meera Iyer</v>
      </c>
    </row>
    <row r="10">
      <c r="A10" s="1" t="s">
        <v>48</v>
      </c>
      <c r="B10" s="1" t="s">
        <v>34</v>
      </c>
      <c r="C10" s="1" t="s">
        <v>49</v>
      </c>
      <c r="D10" s="1" t="s">
        <v>6</v>
      </c>
      <c r="E10" s="7" t="s">
        <v>50</v>
      </c>
      <c r="F10" s="7" t="s">
        <v>51</v>
      </c>
      <c r="G10" s="15">
        <v>45893.0</v>
      </c>
      <c r="H10" s="7">
        <v>55000.0</v>
      </c>
      <c r="I10" s="7">
        <v>88.0</v>
      </c>
      <c r="J10" s="16" t="str">
        <f>VLOOKUP(D10,Data!$L$3:$M$6,2,FALSE)</f>
        <v>Sales</v>
      </c>
      <c r="K10" s="7" t="str">
        <f t="array" ref="K10">XLOOKUP(D10,Data!$L$3:$L$6,Data!$N$3:$N$6,"Not assigned",0)</f>
        <v>Anita Verma</v>
      </c>
    </row>
    <row r="11">
      <c r="A11" s="1" t="s">
        <v>52</v>
      </c>
      <c r="B11" s="1" t="s">
        <v>53</v>
      </c>
      <c r="C11" s="1" t="s">
        <v>54</v>
      </c>
      <c r="D11" s="1" t="s">
        <v>29</v>
      </c>
      <c r="E11" s="7" t="s">
        <v>55</v>
      </c>
      <c r="F11" s="7" t="s">
        <v>56</v>
      </c>
      <c r="G11" s="15">
        <v>45894.0</v>
      </c>
      <c r="H11" s="7">
        <v>75000.0</v>
      </c>
      <c r="I11" s="7">
        <v>92.0</v>
      </c>
      <c r="J11" s="16" t="str">
        <f>VLOOKUP(D11,Data!$L$3:$M$6,2,FALSE)</f>
        <v>Finance</v>
      </c>
      <c r="K11" s="7" t="str">
        <f t="array" ref="K11">XLOOKUP(D11,Data!$L$3:$L$6,Data!$N$3:$N$6,"Not assigned",0)</f>
        <v>Arun Sharma</v>
      </c>
    </row>
    <row r="12">
      <c r="A12" s="1" t="s">
        <v>57</v>
      </c>
      <c r="B12" s="1" t="s">
        <v>58</v>
      </c>
      <c r="C12" s="1" t="s">
        <v>59</v>
      </c>
      <c r="D12" s="1" t="s">
        <v>16</v>
      </c>
      <c r="E12" s="7" t="s">
        <v>60</v>
      </c>
      <c r="F12" s="7" t="s">
        <v>61</v>
      </c>
      <c r="G12" s="15">
        <v>45895.0</v>
      </c>
      <c r="H12" s="7">
        <v>62000.0</v>
      </c>
      <c r="I12" s="7">
        <v>81.0</v>
      </c>
      <c r="J12" s="16" t="str">
        <f>VLOOKUP(D12,Data!$L$3:$M$6,2,FALSE)</f>
        <v>Information Technology</v>
      </c>
      <c r="K12" s="7" t="str">
        <f t="array" ref="K12">XLOOKUP(D12,Data!$L$3:$L$6,Data!$N$3:$N$6,"Not assigned",0)</f>
        <v>Meera Iyer</v>
      </c>
    </row>
    <row r="13">
      <c r="A13" s="1" t="s">
        <v>62</v>
      </c>
      <c r="B13" s="1" t="s">
        <v>63</v>
      </c>
      <c r="C13" s="1" t="s">
        <v>64</v>
      </c>
      <c r="D13" s="1" t="s">
        <v>6</v>
      </c>
      <c r="E13" s="7" t="s">
        <v>65</v>
      </c>
      <c r="F13" s="7" t="s">
        <v>66</v>
      </c>
      <c r="G13" s="15">
        <v>45896.0</v>
      </c>
      <c r="H13" s="7">
        <v>58000.0</v>
      </c>
      <c r="I13" s="7">
        <v>86.0</v>
      </c>
      <c r="J13" s="16" t="str">
        <f>VLOOKUP(D13,Data!$L$3:$M$6,2,FALSE)</f>
        <v>Sales</v>
      </c>
      <c r="K13" s="7" t="str">
        <f t="array" ref="K13">XLOOKUP(D13,Data!$L$3:$L$6,Data!$N$3:$N$6,"Not assigned",0)</f>
        <v>Anita Verma</v>
      </c>
      <c r="N13" s="18"/>
    </row>
    <row r="14">
      <c r="A14" s="1" t="s">
        <v>67</v>
      </c>
      <c r="B14" s="1" t="s">
        <v>39</v>
      </c>
      <c r="C14" s="1" t="s">
        <v>68</v>
      </c>
      <c r="D14" s="1" t="s">
        <v>12</v>
      </c>
      <c r="E14" s="7" t="s">
        <v>69</v>
      </c>
      <c r="F14" s="7" t="s">
        <v>70</v>
      </c>
      <c r="G14" s="15">
        <v>45897.0</v>
      </c>
      <c r="H14" s="7">
        <v>50000.0</v>
      </c>
      <c r="I14" s="7">
        <v>79.0</v>
      </c>
      <c r="J14" s="16" t="str">
        <f>VLOOKUP(D14,Data!$L$3:$M$6,2,FALSE)</f>
        <v>Human Resources</v>
      </c>
      <c r="K14" s="7" t="str">
        <f t="array" ref="K14">XLOOKUP(D14,Data!$L$3:$L$6,Data!$N$3:$N$6,"Not assigned",0)</f>
        <v>Vijay Rao</v>
      </c>
    </row>
    <row r="15">
      <c r="A15" s="1" t="s">
        <v>71</v>
      </c>
      <c r="B15" s="1" t="s">
        <v>53</v>
      </c>
      <c r="C15" s="1" t="s">
        <v>72</v>
      </c>
      <c r="D15" s="1" t="s">
        <v>29</v>
      </c>
      <c r="E15" s="7" t="s">
        <v>73</v>
      </c>
      <c r="F15" s="7" t="s">
        <v>74</v>
      </c>
      <c r="G15" s="15">
        <v>45898.0</v>
      </c>
      <c r="H15" s="7">
        <v>72000.0</v>
      </c>
      <c r="I15" s="7">
        <v>95.0</v>
      </c>
      <c r="J15" s="16" t="str">
        <f>VLOOKUP(D15,Data!$L$3:$M$6,2,FALSE)</f>
        <v>Finance</v>
      </c>
      <c r="K15" s="7" t="str">
        <f t="array" ref="K15">XLOOKUP(D15,Data!$L$3:$L$6,Data!$N$3:$N$6,"Not assigned",0)</f>
        <v>Arun Sharma</v>
      </c>
    </row>
    <row r="16">
      <c r="A16" s="1" t="s">
        <v>75</v>
      </c>
      <c r="B16" s="1" t="s">
        <v>58</v>
      </c>
      <c r="C16" s="1" t="s">
        <v>76</v>
      </c>
      <c r="D16" s="1" t="s">
        <v>16</v>
      </c>
      <c r="E16" s="7" t="s">
        <v>77</v>
      </c>
      <c r="F16" s="7" t="s">
        <v>78</v>
      </c>
      <c r="G16" s="15">
        <v>45899.0</v>
      </c>
      <c r="H16" s="7">
        <v>61000.0</v>
      </c>
      <c r="I16" s="7">
        <v>82.0</v>
      </c>
      <c r="J16" s="16" t="str">
        <f>VLOOKUP(D16,Data!$L$3:$M$6,2,FALSE)</f>
        <v>Information Technology</v>
      </c>
      <c r="K16" s="7" t="str">
        <f t="array" ref="K16">XLOOKUP(D16,Data!$L$3:$L$6,Data!$N$3:$N$6,"Not assigned",0)</f>
        <v>Meera Iyer</v>
      </c>
    </row>
    <row r="17">
      <c r="A17" s="1" t="s">
        <v>79</v>
      </c>
      <c r="B17" s="1" t="s">
        <v>34</v>
      </c>
      <c r="C17" s="1" t="s">
        <v>80</v>
      </c>
      <c r="D17" s="1" t="s">
        <v>6</v>
      </c>
      <c r="E17" s="7" t="s">
        <v>81</v>
      </c>
      <c r="F17" s="7" t="s">
        <v>82</v>
      </c>
      <c r="G17" s="15">
        <v>45900.0</v>
      </c>
      <c r="H17" s="7">
        <v>53000.0</v>
      </c>
      <c r="I17" s="7">
        <v>88.0</v>
      </c>
      <c r="J17" s="16" t="str">
        <f>VLOOKUP(D17,Data!$L$3:$M$6,2,FALSE)</f>
        <v>Sales</v>
      </c>
      <c r="K17" s="7" t="str">
        <f t="array" ref="K17">XLOOKUP(D17,Data!$L$3:$L$6,Data!$N$3:$N$6,"Not assigned",0)</f>
        <v>Anita Verma</v>
      </c>
    </row>
    <row r="18">
      <c r="A18" s="1" t="s">
        <v>83</v>
      </c>
      <c r="B18" s="1" t="s">
        <v>39</v>
      </c>
      <c r="C18" s="1" t="s">
        <v>84</v>
      </c>
      <c r="D18" s="1" t="s">
        <v>12</v>
      </c>
      <c r="E18" s="7" t="s">
        <v>85</v>
      </c>
      <c r="F18" s="7" t="s">
        <v>86</v>
      </c>
      <c r="G18" s="15">
        <v>45901.0</v>
      </c>
      <c r="H18" s="7">
        <v>47000.0</v>
      </c>
      <c r="I18" s="7">
        <v>77.0</v>
      </c>
      <c r="J18" s="16" t="str">
        <f>VLOOKUP(D18,Data!$L$3:$M$6,2,FALSE)</f>
        <v>Human Resources</v>
      </c>
      <c r="K18" s="7" t="str">
        <f t="array" ref="K18">XLOOKUP(D18,Data!$L$3:$L$6,Data!$N$3:$N$6,"Not assigned",0)</f>
        <v>Vijay Rao</v>
      </c>
    </row>
    <row r="19">
      <c r="A19" s="1" t="s">
        <v>87</v>
      </c>
      <c r="B19" s="1" t="s">
        <v>53</v>
      </c>
      <c r="C19" s="1" t="s">
        <v>88</v>
      </c>
      <c r="D19" s="1" t="s">
        <v>29</v>
      </c>
      <c r="E19" s="7" t="s">
        <v>89</v>
      </c>
      <c r="F19" s="7" t="s">
        <v>90</v>
      </c>
      <c r="G19" s="15">
        <v>45902.0</v>
      </c>
      <c r="H19" s="7">
        <v>78000.0</v>
      </c>
      <c r="I19" s="7">
        <v>91.0</v>
      </c>
      <c r="J19" s="16" t="str">
        <f>VLOOKUP(D19,Data!$L$3:$M$6,2,FALSE)</f>
        <v>Finance</v>
      </c>
      <c r="K19" s="7" t="str">
        <f t="array" ref="K19">XLOOKUP(D19,Data!$L$3:$L$6,Data!$N$3:$N$6,"Not assigned",0)</f>
        <v>Arun Sharma</v>
      </c>
    </row>
    <row r="20">
      <c r="A20" s="1" t="s">
        <v>91</v>
      </c>
      <c r="B20" s="1" t="s">
        <v>44</v>
      </c>
      <c r="C20" s="1" t="s">
        <v>92</v>
      </c>
      <c r="D20" s="1" t="s">
        <v>16</v>
      </c>
      <c r="E20" s="7" t="s">
        <v>93</v>
      </c>
      <c r="F20" s="7" t="s">
        <v>94</v>
      </c>
      <c r="G20" s="15">
        <v>45903.0</v>
      </c>
      <c r="H20" s="7">
        <v>61000.0</v>
      </c>
      <c r="I20" s="7">
        <v>84.0</v>
      </c>
      <c r="J20" s="16" t="str">
        <f>VLOOKUP(D20,Data!$L$3:$M$6,2,FALSE)</f>
        <v>Information Technology</v>
      </c>
      <c r="K20" s="7" t="str">
        <f t="array" ref="K20">XLOOKUP(D20,Data!$L$3:$L$6,Data!$N$3:$N$6,"Not assigned",0)</f>
        <v>Meera Iyer</v>
      </c>
      <c r="L20" s="7" t="s">
        <v>95</v>
      </c>
      <c r="M20" s="7" t="s">
        <v>96</v>
      </c>
      <c r="N20" s="7" t="s">
        <v>97</v>
      </c>
      <c r="O20" s="7" t="s">
        <v>98</v>
      </c>
      <c r="P20" s="7" t="s">
        <v>99</v>
      </c>
    </row>
    <row r="21" ht="15.75" customHeight="1">
      <c r="A21" s="1" t="s">
        <v>100</v>
      </c>
      <c r="B21" s="1" t="s">
        <v>63</v>
      </c>
      <c r="C21" s="1" t="s">
        <v>101</v>
      </c>
      <c r="D21" s="1" t="s">
        <v>6</v>
      </c>
      <c r="E21" s="7" t="s">
        <v>102</v>
      </c>
      <c r="F21" s="7" t="s">
        <v>103</v>
      </c>
      <c r="G21" s="15">
        <v>45904.0</v>
      </c>
      <c r="H21" s="7">
        <v>54000.0</v>
      </c>
      <c r="I21" s="7">
        <v>87.0</v>
      </c>
      <c r="J21" s="16" t="str">
        <f>VLOOKUP(D21,Data!$L$3:$M$6,2,FALSE)</f>
        <v>Sales</v>
      </c>
      <c r="K21" s="7" t="str">
        <f t="array" ref="K21">XLOOKUP(D21,Data!$L$3:$L$6,Data!$N$3:$N$6,"Not assigned",0)</f>
        <v>Anita Verma</v>
      </c>
      <c r="L21" s="7" t="s">
        <v>104</v>
      </c>
      <c r="M21" s="7">
        <v>0.12</v>
      </c>
      <c r="N21" s="7">
        <v>0.08</v>
      </c>
      <c r="O21" s="7">
        <v>0.05</v>
      </c>
      <c r="P21" s="7">
        <v>0.02</v>
      </c>
    </row>
    <row r="22" ht="15.75" customHeight="1">
      <c r="A22" s="1" t="s">
        <v>105</v>
      </c>
      <c r="B22" s="1" t="s">
        <v>53</v>
      </c>
      <c r="C22" s="1" t="s">
        <v>106</v>
      </c>
      <c r="D22" s="1" t="s">
        <v>29</v>
      </c>
      <c r="E22" s="7" t="s">
        <v>107</v>
      </c>
      <c r="F22" s="7" t="s">
        <v>108</v>
      </c>
      <c r="G22" s="15">
        <v>45905.0</v>
      </c>
      <c r="H22" s="7">
        <v>71000.0</v>
      </c>
      <c r="I22" s="7">
        <v>89.0</v>
      </c>
      <c r="J22" s="16" t="str">
        <f>VLOOKUP(D22,Data!$L$3:$M$6,2,FALSE)</f>
        <v>Finance</v>
      </c>
      <c r="K22" s="7" t="str">
        <f t="array" ref="K22">XLOOKUP(D22,Data!$L$3:$L$6,Data!$N$3:$N$6,"Not assigned",0)</f>
        <v>Arun Sharma</v>
      </c>
    </row>
    <row r="23" ht="15.75" customHeight="1">
      <c r="A23" s="1" t="s">
        <v>109</v>
      </c>
      <c r="B23" s="1" t="s">
        <v>39</v>
      </c>
      <c r="C23" s="1" t="s">
        <v>110</v>
      </c>
      <c r="D23" s="1" t="s">
        <v>12</v>
      </c>
      <c r="E23" s="7" t="s">
        <v>111</v>
      </c>
      <c r="F23" s="7" t="s">
        <v>112</v>
      </c>
      <c r="G23" s="15">
        <v>45906.0</v>
      </c>
      <c r="H23" s="7">
        <v>49000.0</v>
      </c>
      <c r="I23" s="7">
        <v>80.0</v>
      </c>
      <c r="J23" s="16" t="str">
        <f>VLOOKUP(D23,Data!$L$3:$M$6,2,FALSE)</f>
        <v>Human Resources</v>
      </c>
      <c r="K23" s="7" t="str">
        <f t="array" ref="K23">XLOOKUP(D23,Data!$L$3:$L$6,Data!$N$3:$N$6,"Not assigned",0)</f>
        <v>Vijay Rao</v>
      </c>
    </row>
    <row r="24" ht="14.25" customHeight="1">
      <c r="A24" s="1" t="s">
        <v>113</v>
      </c>
      <c r="B24" s="1" t="s">
        <v>58</v>
      </c>
      <c r="C24" s="1" t="s">
        <v>114</v>
      </c>
      <c r="D24" s="1" t="s">
        <v>16</v>
      </c>
      <c r="E24" s="7" t="s">
        <v>115</v>
      </c>
      <c r="F24" s="7" t="s">
        <v>116</v>
      </c>
      <c r="G24" s="15">
        <v>45907.0</v>
      </c>
      <c r="H24" s="7">
        <v>64000.0</v>
      </c>
      <c r="I24" s="7">
        <v>93.0</v>
      </c>
      <c r="J24" s="16" t="str">
        <f>VLOOKUP(D24,Data!$L$3:$M$6,2,FALSE)</f>
        <v>Information Technology</v>
      </c>
      <c r="K24" s="7" t="str">
        <f t="array" ref="K24">XLOOKUP(D24,Data!$L$3:$L$6,Data!$N$3:$N$6,"Not assigned",0)</f>
        <v>Meera Iyer</v>
      </c>
      <c r="L24" s="19" t="s">
        <v>117</v>
      </c>
    </row>
    <row r="25" ht="33.0" customHeight="1">
      <c r="A25" s="1" t="s">
        <v>118</v>
      </c>
      <c r="B25" s="1" t="s">
        <v>34</v>
      </c>
      <c r="C25" s="1" t="s">
        <v>119</v>
      </c>
      <c r="D25" s="1" t="s">
        <v>6</v>
      </c>
      <c r="E25" s="7" t="s">
        <v>120</v>
      </c>
      <c r="F25" s="7" t="s">
        <v>121</v>
      </c>
      <c r="G25" s="15">
        <v>45908.0</v>
      </c>
      <c r="H25" s="7">
        <v>56000.0</v>
      </c>
      <c r="I25" s="7">
        <v>84.0</v>
      </c>
      <c r="J25" s="16" t="str">
        <f>VLOOKUP(D25,Data!$L$3:$M$6,2,FALSE)</f>
        <v>Sales</v>
      </c>
      <c r="K25" s="7" t="str">
        <f t="array" ref="K25">XLOOKUP(D25,Data!$L$3:$L$6,Data!$N$3:$N$6,"Not assigned",0)</f>
        <v>Anita Verma</v>
      </c>
    </row>
    <row r="26" ht="14.25" customHeight="1">
      <c r="A26" s="1" t="s">
        <v>122</v>
      </c>
      <c r="B26" s="1" t="s">
        <v>53</v>
      </c>
      <c r="C26" s="1" t="s">
        <v>123</v>
      </c>
      <c r="D26" s="1" t="s">
        <v>29</v>
      </c>
      <c r="E26" s="7" t="s">
        <v>124</v>
      </c>
      <c r="F26" s="7" t="s">
        <v>125</v>
      </c>
      <c r="G26" s="15">
        <v>45909.0</v>
      </c>
      <c r="H26" s="7">
        <v>73000.0</v>
      </c>
      <c r="I26" s="7">
        <v>90.0</v>
      </c>
      <c r="J26" s="16" t="str">
        <f>VLOOKUP(D26,Data!$L$3:$M$6,2,FALSE)</f>
        <v>Finance</v>
      </c>
      <c r="K26" s="7" t="str">
        <f t="array" ref="K26">XLOOKUP(D26,Data!$L$3:$L$6,Data!$N$3:$N$6,"Not assigned",0)</f>
        <v>Arun Sharma</v>
      </c>
      <c r="L26" s="19"/>
      <c r="M26" s="19"/>
      <c r="N26" s="19"/>
    </row>
    <row r="27" ht="15.75" customHeight="1">
      <c r="A27" s="1"/>
      <c r="B27" s="1"/>
      <c r="C27" s="1"/>
      <c r="D27" s="1"/>
      <c r="E27" s="1"/>
      <c r="F27" s="1"/>
      <c r="G27" s="2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2"/>
      <c r="H28" s="1"/>
      <c r="I28" s="1"/>
    </row>
    <row r="29" ht="15.75" customHeight="1">
      <c r="A29" s="1"/>
      <c r="B29" s="1"/>
      <c r="C29" s="1"/>
      <c r="D29" s="1"/>
      <c r="E29" s="1"/>
      <c r="F29" s="20"/>
      <c r="G29" s="21"/>
      <c r="H29" s="21"/>
      <c r="I29" s="1"/>
      <c r="L29" s="22" t="s">
        <v>126</v>
      </c>
      <c r="M29" s="22" t="s">
        <v>127</v>
      </c>
      <c r="N29" s="23" t="s">
        <v>128</v>
      </c>
    </row>
    <row r="30" ht="15.75" customHeight="1">
      <c r="A30" s="1"/>
      <c r="B30" s="1"/>
      <c r="C30" s="1"/>
      <c r="D30" s="1"/>
      <c r="E30" s="1"/>
      <c r="F30" s="2"/>
      <c r="G30" s="1"/>
      <c r="H30" s="1"/>
      <c r="I30" s="1"/>
      <c r="L30" s="7">
        <v>0.0</v>
      </c>
      <c r="M30" s="7" t="s">
        <v>99</v>
      </c>
      <c r="N30" s="16">
        <f>HLOOKUP(Data!$M30,Data!$M$20:$P$21,2,FALSE)</f>
        <v>0.02</v>
      </c>
    </row>
    <row r="31" ht="15.75" customHeight="1">
      <c r="A31" s="1"/>
      <c r="B31" s="1"/>
      <c r="C31" s="1"/>
      <c r="D31" s="1"/>
      <c r="E31" s="1"/>
      <c r="F31" s="2"/>
      <c r="G31" s="1"/>
      <c r="H31" s="1"/>
      <c r="I31" s="1"/>
      <c r="L31" s="7">
        <v>75.0</v>
      </c>
      <c r="M31" s="7" t="s">
        <v>98</v>
      </c>
      <c r="N31" s="16">
        <f>HLOOKUP(Data!$M31,Data!$M$20:$P$21,2,FALSE)</f>
        <v>0.05</v>
      </c>
    </row>
    <row r="32" ht="15.75" customHeight="1">
      <c r="A32" s="1"/>
      <c r="B32" s="1"/>
      <c r="C32" s="24" t="s">
        <v>129</v>
      </c>
      <c r="F32" s="2"/>
      <c r="G32" s="1"/>
      <c r="H32" s="1"/>
      <c r="I32" s="1"/>
      <c r="L32" s="7">
        <v>85.0</v>
      </c>
      <c r="M32" s="7" t="s">
        <v>97</v>
      </c>
      <c r="N32" s="16">
        <f>HLOOKUP(Data!$M32,Data!$M$20:$P$21,2,FALSE)</f>
        <v>0.08</v>
      </c>
    </row>
    <row r="33" ht="15.75" customHeight="1">
      <c r="A33" s="1"/>
      <c r="B33" s="1"/>
      <c r="C33" s="1"/>
      <c r="D33" s="1"/>
      <c r="E33" s="1"/>
      <c r="F33" s="2"/>
      <c r="G33" s="1"/>
      <c r="H33" s="1"/>
      <c r="I33" s="1"/>
      <c r="L33" s="7">
        <v>92.0</v>
      </c>
      <c r="M33" s="7" t="s">
        <v>96</v>
      </c>
      <c r="N33" s="16">
        <f>HLOOKUP(Data!$M33,Data!$M$20:$P$21,2,FALSE)</f>
        <v>0.12</v>
      </c>
    </row>
    <row r="34" ht="15.75" customHeight="1">
      <c r="A34" s="1"/>
      <c r="B34" s="1"/>
      <c r="C34" s="25" t="s">
        <v>130</v>
      </c>
      <c r="D34" s="26" t="s">
        <v>131</v>
      </c>
      <c r="E34" s="27">
        <f>TODAY()</f>
        <v>45972</v>
      </c>
      <c r="F34" s="2"/>
      <c r="G34" s="1"/>
      <c r="H34" s="1"/>
      <c r="I34" s="1"/>
    </row>
    <row r="35" ht="15.75" customHeight="1">
      <c r="A35" s="1"/>
      <c r="B35" s="1"/>
      <c r="C35" s="25"/>
      <c r="E35" s="28"/>
      <c r="F35" s="2"/>
      <c r="G35" s="1"/>
      <c r="H35" s="1"/>
      <c r="I35" s="1"/>
    </row>
    <row r="36" ht="15.75" customHeight="1">
      <c r="A36" s="1"/>
      <c r="B36" s="1"/>
      <c r="C36" s="25" t="s">
        <v>132</v>
      </c>
      <c r="D36" s="26" t="s">
        <v>133</v>
      </c>
      <c r="E36" s="29">
        <f>now()</f>
        <v>45972.21579</v>
      </c>
      <c r="F36" s="1"/>
      <c r="G36" s="2"/>
      <c r="H36" s="1"/>
      <c r="I36" s="1"/>
    </row>
    <row r="37" ht="162.0" customHeight="1">
      <c r="A37" s="1"/>
      <c r="B37" s="1"/>
      <c r="C37" s="25" t="s">
        <v>134</v>
      </c>
      <c r="D37" s="30" t="s">
        <v>135</v>
      </c>
      <c r="E37" s="31">
        <f>year(E24)</f>
        <v>2017</v>
      </c>
      <c r="F37" s="1"/>
      <c r="G37" s="2"/>
      <c r="H37" s="1"/>
      <c r="I37" s="1"/>
      <c r="L37" s="32" t="s">
        <v>136</v>
      </c>
      <c r="O37" s="33" t="s">
        <v>137</v>
      </c>
    </row>
    <row r="38" ht="15.0" customHeight="1">
      <c r="A38" s="1"/>
      <c r="B38" s="1"/>
      <c r="C38" s="25" t="s">
        <v>138</v>
      </c>
      <c r="E38" s="31">
        <f>month(D39)</f>
        <v>11</v>
      </c>
      <c r="F38" s="1"/>
      <c r="G38" s="2"/>
      <c r="H38" s="1"/>
      <c r="I38" s="1"/>
      <c r="L38" s="19"/>
      <c r="M38" s="19"/>
      <c r="N38" s="19"/>
      <c r="O38" s="33"/>
    </row>
    <row r="39" ht="15.0" customHeight="1">
      <c r="A39" s="1"/>
      <c r="B39" s="1"/>
      <c r="C39" s="25" t="s">
        <v>139</v>
      </c>
      <c r="D39" s="34">
        <f>today()</f>
        <v>45972</v>
      </c>
      <c r="E39" s="31">
        <f>DAY(E34)</f>
        <v>11</v>
      </c>
      <c r="F39" s="1"/>
      <c r="G39" s="2"/>
      <c r="H39" s="1"/>
      <c r="I39" s="1"/>
      <c r="O39" s="33"/>
    </row>
    <row r="40" ht="15.0" customHeight="1">
      <c r="A40" s="1"/>
      <c r="B40" s="1"/>
      <c r="C40" s="25" t="s">
        <v>140</v>
      </c>
      <c r="D40" s="3" t="s">
        <v>141</v>
      </c>
      <c r="E40" s="1">
        <f>weekday(E18)</f>
        <v>2</v>
      </c>
      <c r="F40" s="17" t="s">
        <v>142</v>
      </c>
      <c r="H40" s="3" t="s">
        <v>141</v>
      </c>
      <c r="I40" s="1"/>
      <c r="O40" s="33"/>
      <c r="T40" s="33"/>
    </row>
    <row r="41" ht="15.0" customHeight="1">
      <c r="A41" s="1"/>
      <c r="B41" s="1"/>
      <c r="C41" s="25" t="s">
        <v>143</v>
      </c>
      <c r="D41" s="35" t="s">
        <v>144</v>
      </c>
      <c r="E41" s="31" t="str">
        <f>CHOOSE(WEEKDAY(E34),"monday""tue","wednesday","thursday","friday")</f>
        <v>thursday</v>
      </c>
      <c r="F41" s="3" t="s">
        <v>145</v>
      </c>
      <c r="G41" s="2"/>
      <c r="H41" s="1"/>
      <c r="I41" s="1"/>
      <c r="L41" s="36" t="s">
        <v>21</v>
      </c>
      <c r="M41" s="22" t="s">
        <v>146</v>
      </c>
      <c r="N41" s="22" t="s">
        <v>147</v>
      </c>
      <c r="Q41" s="33"/>
    </row>
    <row r="42" ht="15.0" customHeight="1">
      <c r="A42" s="1"/>
      <c r="B42" s="1"/>
      <c r="C42" s="25" t="s">
        <v>148</v>
      </c>
      <c r="D42" s="37"/>
      <c r="F42" s="1"/>
      <c r="G42" s="2"/>
      <c r="H42" s="1"/>
      <c r="I42" s="1"/>
      <c r="J42" s="31" t="str">
        <f t="array" ref="J42">INDEX(A7:C10,2,3)</f>
        <v>Anna Lee</v>
      </c>
      <c r="L42" s="15" t="s">
        <v>34</v>
      </c>
      <c r="M42" s="7" t="s">
        <v>149</v>
      </c>
      <c r="N42" s="7">
        <v>1200.0</v>
      </c>
    </row>
    <row r="43" ht="15.0" customHeight="1">
      <c r="A43" s="1"/>
      <c r="B43" s="1"/>
      <c r="C43" s="25" t="s">
        <v>150</v>
      </c>
      <c r="D43" s="38" t="s">
        <v>151</v>
      </c>
      <c r="E43" s="31">
        <f>DATEDIF(E8,TODAY(),"yM")</f>
        <v>7</v>
      </c>
      <c r="F43" s="1"/>
      <c r="G43" s="2"/>
      <c r="H43" s="1"/>
      <c r="I43" s="1"/>
      <c r="L43" s="15" t="s">
        <v>39</v>
      </c>
      <c r="M43" s="7" t="s">
        <v>152</v>
      </c>
      <c r="N43" s="7">
        <v>900.0</v>
      </c>
    </row>
    <row r="44" ht="15.0" customHeight="1">
      <c r="A44" s="1"/>
      <c r="B44" s="1"/>
      <c r="C44" s="25" t="s">
        <v>153</v>
      </c>
      <c r="D44" s="30" t="s">
        <v>154</v>
      </c>
      <c r="E44" s="30">
        <f>DATEDIF(F2,TODAY(),"Y")</f>
        <v>125</v>
      </c>
      <c r="F44" s="1"/>
      <c r="G44" s="2"/>
      <c r="H44" s="1"/>
      <c r="I44" s="1"/>
      <c r="L44" s="15" t="s">
        <v>44</v>
      </c>
      <c r="M44" s="7" t="s">
        <v>155</v>
      </c>
      <c r="N44" s="7">
        <v>1500.0</v>
      </c>
    </row>
    <row r="45" ht="15.0" customHeight="1">
      <c r="A45" s="1"/>
      <c r="B45" s="1"/>
      <c r="F45" s="1"/>
      <c r="G45" s="2"/>
      <c r="H45" s="1"/>
      <c r="I45" s="1"/>
      <c r="L45" s="15" t="s">
        <v>53</v>
      </c>
      <c r="M45" s="7" t="s">
        <v>156</v>
      </c>
      <c r="N45" s="7">
        <v>2000.0</v>
      </c>
    </row>
    <row r="46" ht="15.0" customHeight="1">
      <c r="A46" s="1"/>
      <c r="B46" s="1"/>
      <c r="C46" s="1"/>
      <c r="D46" s="1"/>
      <c r="E46" s="1"/>
      <c r="F46" s="1"/>
      <c r="G46" s="2"/>
      <c r="H46" s="1"/>
      <c r="I46" s="1"/>
      <c r="L46" s="15" t="s">
        <v>58</v>
      </c>
      <c r="M46" s="7" t="s">
        <v>157</v>
      </c>
      <c r="N46" s="7">
        <v>1100.0</v>
      </c>
    </row>
    <row r="47" ht="24.75" customHeight="1">
      <c r="A47" s="1"/>
      <c r="B47" s="1"/>
      <c r="C47" s="1"/>
      <c r="D47" s="1"/>
      <c r="E47" s="1"/>
      <c r="F47" s="1"/>
      <c r="G47" s="2"/>
      <c r="H47" s="1"/>
      <c r="I47" s="1"/>
      <c r="L47" s="15" t="s">
        <v>63</v>
      </c>
      <c r="M47" s="7" t="s">
        <v>158</v>
      </c>
      <c r="N47" s="7">
        <v>800.0</v>
      </c>
    </row>
    <row r="48" ht="40.5" customHeight="1">
      <c r="A48" s="1"/>
      <c r="B48" s="1"/>
      <c r="C48" s="1"/>
      <c r="D48" s="1"/>
      <c r="E48" s="1"/>
      <c r="F48" s="1"/>
      <c r="G48" s="2"/>
      <c r="H48" s="1"/>
      <c r="I48" s="1"/>
    </row>
    <row r="49" ht="15.0" customHeight="1">
      <c r="A49" s="1"/>
      <c r="B49" s="1"/>
      <c r="C49" s="1"/>
      <c r="D49" s="1"/>
      <c r="E49" s="1"/>
      <c r="F49" s="1"/>
      <c r="G49" s="2"/>
      <c r="H49" s="1"/>
      <c r="I49" s="1"/>
      <c r="M49" s="25" t="s">
        <v>159</v>
      </c>
      <c r="N49" s="31">
        <f>MATCH("P100",Data!$L$42:$L$47,0)</f>
        <v>1</v>
      </c>
    </row>
    <row r="50" ht="39.75" customHeight="1">
      <c r="A50" s="1"/>
      <c r="B50" s="1"/>
      <c r="C50" s="1"/>
      <c r="D50" s="1"/>
      <c r="E50" s="1"/>
      <c r="F50" s="1"/>
      <c r="G50" s="2"/>
      <c r="H50" s="1"/>
      <c r="I50" s="1"/>
      <c r="L50" s="39"/>
      <c r="M50" s="40" t="s">
        <v>160</v>
      </c>
      <c r="N50" s="39">
        <f t="array" ref="N50">INDEX(Data!$L$42:$N$47,4,3)</f>
        <v>2000</v>
      </c>
      <c r="O50" s="39"/>
    </row>
    <row r="51" ht="15.0" customHeight="1">
      <c r="A51" s="1"/>
      <c r="B51" s="1"/>
      <c r="C51" s="1"/>
      <c r="D51" s="1"/>
      <c r="E51" s="1"/>
      <c r="F51" s="1"/>
      <c r="G51" s="2"/>
      <c r="H51" s="1"/>
      <c r="I51" s="1"/>
      <c r="L51" s="41"/>
      <c r="M51" s="42" t="s">
        <v>161</v>
      </c>
      <c r="N51" s="43" t="str">
        <f t="array" ref="N51:P51">INDEX(Data!$L$42:$N$47,MATCH("P103",Data!$L$42:$L$47,0),0)</f>
        <v>P103</v>
      </c>
      <c r="O51" s="44" t="s">
        <v>156</v>
      </c>
      <c r="P51" s="31">
        <v>2000.0</v>
      </c>
    </row>
    <row r="52" ht="15.0" customHeight="1">
      <c r="A52" s="1"/>
      <c r="B52" s="1"/>
      <c r="C52" s="1"/>
      <c r="D52" s="1"/>
      <c r="E52" s="1"/>
      <c r="F52" s="1"/>
      <c r="G52" s="2"/>
      <c r="H52" s="1"/>
      <c r="I52" s="1"/>
      <c r="M52" s="42"/>
    </row>
    <row r="53" ht="15.75" customHeight="1">
      <c r="A53" s="1"/>
      <c r="B53" s="1"/>
      <c r="C53" s="1"/>
      <c r="D53" s="1"/>
      <c r="E53" s="1"/>
      <c r="F53" s="1"/>
      <c r="G53" s="2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2"/>
      <c r="H54" s="1"/>
      <c r="I54" s="1"/>
    </row>
    <row r="55" ht="231.75" customHeight="1">
      <c r="A55" s="1"/>
      <c r="B55" s="1"/>
      <c r="C55" s="1"/>
      <c r="D55" s="1"/>
      <c r="E55" s="1"/>
      <c r="F55" s="1"/>
      <c r="G55" s="2"/>
      <c r="H55" s="1"/>
      <c r="I55" s="1"/>
      <c r="M55" s="33" t="s">
        <v>162</v>
      </c>
    </row>
    <row r="56" ht="15.75" customHeight="1">
      <c r="A56" s="1"/>
      <c r="B56" s="1"/>
      <c r="C56" s="1"/>
      <c r="D56" s="1"/>
      <c r="E56" s="1"/>
      <c r="F56" s="1"/>
      <c r="G56" s="2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2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2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2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2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2"/>
      <c r="H61" s="1"/>
      <c r="I61" s="1"/>
    </row>
    <row r="62" ht="15.0" customHeight="1">
      <c r="A62" s="1"/>
      <c r="B62" s="1"/>
      <c r="F62" s="1"/>
      <c r="G62" s="2"/>
      <c r="H62" s="1"/>
      <c r="I62" s="1"/>
    </row>
    <row r="63" ht="15.0" customHeight="1">
      <c r="A63" s="1"/>
      <c r="B63" s="1"/>
      <c r="F63" s="1"/>
      <c r="G63" s="2"/>
      <c r="H63" s="1"/>
      <c r="I63" s="1"/>
    </row>
    <row r="64" ht="15.0" customHeight="1">
      <c r="A64" s="1"/>
      <c r="B64" s="1"/>
      <c r="F64" s="1"/>
      <c r="G64" s="2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2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2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2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2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2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2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2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2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2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2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2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2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2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2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2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2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2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2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2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2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2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2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2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2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2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2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2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2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2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2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2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2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2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2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2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2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2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2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2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2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2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2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2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2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2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2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2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2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2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2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2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2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2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2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2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2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2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2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2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2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2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2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2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2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2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2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2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2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2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2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2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2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2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2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2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2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2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2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2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2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2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2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2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2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2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2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2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2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2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2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2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2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2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2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2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2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2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2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2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2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2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2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2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2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2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2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2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2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2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2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2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2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2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2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2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2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2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2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2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2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2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2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2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2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2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2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2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2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2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2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2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2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2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2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2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2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2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2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2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2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2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2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2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2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2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2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2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2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2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2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2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2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2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2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2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2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2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2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2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2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2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2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2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2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2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2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2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2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2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2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2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2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2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2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2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2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2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2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2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2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2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2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2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2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2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2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2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2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2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2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2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2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2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2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2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2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2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2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2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2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2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2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2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2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2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2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2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2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2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2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2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2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2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2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2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2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2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2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2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2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2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2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2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2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2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2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2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2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2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2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2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2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2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2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2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2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2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2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2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2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2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2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2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2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2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2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2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2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2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2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2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2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2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2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2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2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2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2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2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2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2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2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2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2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2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2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2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2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2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2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2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2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2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2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2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2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2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2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2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2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2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2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2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2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2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2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2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2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2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2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2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2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2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2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2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2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2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2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2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2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2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2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2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2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2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2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2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2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2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2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2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2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2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2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2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2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2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2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2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2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2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2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2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2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2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2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2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2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2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2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2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2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2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2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2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2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2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2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2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2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2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2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2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2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2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2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2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2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2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2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2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2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2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2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2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2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2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2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2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2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2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2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2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2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2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2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2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2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2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2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2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2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2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2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2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2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2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2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2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2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2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2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2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2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2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2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2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2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2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2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2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2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2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2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2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2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2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2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2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2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2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2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2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2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2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2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2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2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2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2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2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2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2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2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2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2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2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2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2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2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2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2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2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2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2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2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2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2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2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2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2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2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2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2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2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2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2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2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2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2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2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2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2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2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2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2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2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2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2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2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2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2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2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2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2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2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2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2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2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2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2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2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2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2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2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2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2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2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2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2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2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2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2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2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2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2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2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2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2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2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2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2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2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2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2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2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2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2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2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2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2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2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2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2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2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2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2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2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2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2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2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2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2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2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2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2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2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2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2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2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2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2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2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2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2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2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2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2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2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2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2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2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2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2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2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2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2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2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2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2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2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2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2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2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2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2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2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2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2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2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2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2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2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2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2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2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2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2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2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2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2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2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2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2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2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2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2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2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2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2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2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2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2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2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2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2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2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2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2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2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2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2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2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2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2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2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2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2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2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2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2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2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2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2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2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2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2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2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2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2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2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2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2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2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2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2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2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2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2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2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2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2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2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2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2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2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2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2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2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2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2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2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2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2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2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2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2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2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2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2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2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2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2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2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2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2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2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2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2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2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2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2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2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2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2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2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2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2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2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2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2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2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2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2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2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2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2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2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2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2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2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2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2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2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2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2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2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2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2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2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2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2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2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2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2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2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2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2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2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2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2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2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2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2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2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2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2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2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2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2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2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2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2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2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2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2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2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2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2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2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2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2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2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2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2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2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2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2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2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2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2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2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2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2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2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2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2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2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2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2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2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2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2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2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2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2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2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2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2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2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2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2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2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2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2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2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2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2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2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2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2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2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2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2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2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2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2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2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2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2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2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2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2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2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2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2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2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2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2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2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2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2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2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2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2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2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2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2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2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2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2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2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2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2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2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2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2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2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2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2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2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2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2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2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2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2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2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2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2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2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2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2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2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2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2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2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2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2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2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2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2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2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2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2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2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2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2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2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2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2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2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2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2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2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2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2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2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2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2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2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2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2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2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2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2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2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2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2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2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2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2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2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2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2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2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2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2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2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2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2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2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2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2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2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2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2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2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2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2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2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2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2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2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2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2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2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2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2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2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2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2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2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2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2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2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2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2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2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2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2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2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2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2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2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2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2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2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2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2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2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2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2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2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2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2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2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2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2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2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2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2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2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2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2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2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2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2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2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2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2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2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2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2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2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2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2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2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2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2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2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2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2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2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2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2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2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2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2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2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2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2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2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2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2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2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2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2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2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2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2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2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2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2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2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2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2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2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2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2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2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2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2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2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2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2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2"/>
      <c r="H1000" s="1"/>
      <c r="I1000" s="1"/>
    </row>
  </sheetData>
  <mergeCells count="4">
    <mergeCell ref="L24:N25"/>
    <mergeCell ref="C32:E32"/>
    <mergeCell ref="L37:N37"/>
    <mergeCell ref="F40:G40"/>
  </mergeCells>
  <printOptions/>
  <pageMargins bottom="0.75" footer="0.0" header="0.0" left="0.7" right="0.7" top="0.75"/>
  <pageSetup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2025-08-23T10:14:07Z</dcterms:created>
</cp:coreProperties>
</file>